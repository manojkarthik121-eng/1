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Action Plan" sheetId="3" state="visible" r:id="rId5"/>
    <sheet name="Content Themes" sheetId="4" state="visible" r:id="rId6"/>
    <sheet name="Format &amp; Packaging" sheetId="5" state="visible" r:id="rId7"/>
    <sheet name="Timeline" sheetId="6" state="visible" r:id="rId8"/>
    <sheet name="Launch Velocity" sheetId="7" state="visible" r:id="rId9"/>
    <sheet name="Video Data" sheetId="8" state="visible" r:id="rId10"/>
    <sheet name="Market Research" sheetId="9" state="visible" r:id="rId11"/>
    <sheet name="Data Gaps &amp; How-To" sheetId="10" state="visible" r:id="rId12"/>
    <sheet name="Daily Views (raw)" sheetId="11" state="visible" r:id="rId13"/>
  </sheets>
  <definedNames>
    <definedName function="false" hidden="true" localSheetId="7" name="_xlnm._FilterDatabase" vbProcedure="false">'Video Data'!$A$4:$AC$71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Source: YouTube Studio channel total row from the export you shared (hardcoded input, shown in blue).</t>
        </r>
      </text>
    </comment>
    <comment ref="C7" authorId="0">
      <text>
        <r>
          <rPr>
            <sz val="10"/>
            <rFont val="Arial"/>
            <family val="2"/>
          </rPr>
          <t xml:space="preserve">Source: YouTube Studio channel total row from the export you shared (hardcoded input, shown in blue).</t>
        </r>
      </text>
    </comment>
    <comment ref="C8" authorId="0">
      <text>
        <r>
          <rPr>
            <sz val="10"/>
            <rFont val="Arial"/>
            <family val="2"/>
          </rPr>
          <t xml:space="preserve">Source: YouTube Studio channel total row from the export you shared (hardcoded input, shown in blue).</t>
        </r>
      </text>
    </comment>
    <comment ref="C10" authorId="0">
      <text>
        <r>
          <rPr>
            <sz val="10"/>
            <rFont val="Arial"/>
            <family val="2"/>
          </rPr>
          <t xml:space="preserve">Source: YouTube Studio channel total row from the export you shared (hardcoded input, shown in blue).</t>
        </r>
      </text>
    </comment>
    <comment ref="C11" authorId="0">
      <text>
        <r>
          <rPr>
            <sz val="10"/>
            <rFont val="Arial"/>
            <family val="2"/>
          </rPr>
          <t xml:space="preserve">Source: YouTube Studio channel total row from the export you shared (hardcoded input, shown in blue).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Pick from the dropdown: Not started / In progress / Done. The cell colours itself.</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N4" authorId="0">
      <text>
        <r>
          <rPr>
            <sz val="10"/>
            <rFont val="Arial"/>
            <family val="2"/>
          </rPr>
          <t xml:space="preserve">Average view duration ÷ video length. Over 100% means people re-watched or looped the Short.</t>
        </r>
      </text>
    </comment>
    <comment ref="R5" authorId="0">
      <text>
        <r>
          <rPr>
            <sz val="10"/>
            <rFont val="Arial"/>
            <family val="2"/>
          </rPr>
          <t xml:space="preserve">Thumbnail CTR = clicks ÷ times your thumbnail was shown. Blank = YouTube reported no CTR.</t>
        </r>
      </text>
    </comment>
    <comment ref="T4" authorId="0">
      <text>
        <r>
          <rPr>
            <sz val="10"/>
            <rFont val="Arial"/>
            <family val="2"/>
          </rPr>
          <t xml:space="preserve">Views minus thumbnail clicks. For Shorts this is mostly the swipe feed, where YouTube does not count a thumbnail impression. A high % means the Shorts feed, not your thumbnail, drove the views.</t>
        </r>
      </text>
    </comment>
    <comment ref="AB4" authorId="0">
      <text>
        <r>
          <rPr>
            <sz val="10"/>
            <rFont val="Arial"/>
            <family val="2"/>
          </rPr>
          <t xml:space="preserve">Tiers based on this channel's own distribution: median video = ~120 views.</t>
        </r>
      </text>
    </comment>
  </commentList>
</comments>
</file>

<file path=xl/sharedStrings.xml><?xml version="1.0" encoding="utf-8"?>
<sst xmlns="http://schemas.openxmlformats.org/spreadsheetml/2006/main" count="1025" uniqueCount="601">
  <si>
    <t xml:space="preserve">YouTube Channel Assessment &amp; New-Channel Strategy</t>
  </si>
  <si>
    <t xml:space="preserve">Prepared October 2026 from your YouTube Studio export: 67 videos, 29,044 views, daily data Jul 2021 – Oct 2026.</t>
  </si>
  <si>
    <t xml:space="preserve">How to use this workbook</t>
  </si>
  <si>
    <t xml:space="preserve">Tab</t>
  </si>
  <si>
    <t xml:space="preserve">What you'll find</t>
  </si>
  <si>
    <t xml:space="preserve">Read it if you want to…</t>
  </si>
  <si>
    <t xml:space="preserve">Dashboard</t>
  </si>
  <si>
    <t xml:space="preserve">Headline stats, scorecard vs benchmarks, top 10 videos, 10 key findings, charts.</t>
  </si>
  <si>
    <t xml:space="preserve">Get the whole story in 2 minutes.</t>
  </si>
  <si>
    <t xml:space="preserve">Action Plan</t>
  </si>
  <si>
    <t xml:space="preserve">17 prioritised actions, a 90-day plan, KPI targets, and a status tracker.</t>
  </si>
  <si>
    <t xml:space="preserve">Know exactly what to do next.</t>
  </si>
  <si>
    <t xml:space="preserve">Content Themes</t>
  </si>
  <si>
    <t xml:space="preserve">Which topics worked, with a verdict for each (Double down / Keep / Stop).</t>
  </si>
  <si>
    <t xml:space="preserve">Decide what to make.</t>
  </si>
  <si>
    <t xml:space="preserve">Format &amp; Packaging</t>
  </si>
  <si>
    <t xml:space="preserve">Shorts vs long-form, titles, hashtags, emoji, video length, upload day.</t>
  </si>
  <si>
    <t xml:space="preserve">Improve titles, length and clicks.</t>
  </si>
  <si>
    <t xml:space="preserve">Timeline</t>
  </si>
  <si>
    <t xml:space="preserve">Views and uploads month by month, plus year-by-year.</t>
  </si>
  <si>
    <t xml:space="preserve">See how consistency affected views.</t>
  </si>
  <si>
    <t xml:space="preserve">Launch Velocity</t>
  </si>
  <si>
    <t xml:space="preserve">How fast your top videos got their views: feed spike vs evergreen.</t>
  </si>
  <si>
    <t xml:space="preserve">Understand why your #1 video was different.</t>
  </si>
  <si>
    <t xml:space="preserve">Video Data</t>
  </si>
  <si>
    <t xml:space="preserve">Every video with 29 columns of stats and calculations, filterable.</t>
  </si>
  <si>
    <t xml:space="preserve">Dig into any single video.</t>
  </si>
  <si>
    <t xml:space="preserve">Market Research</t>
  </si>
  <si>
    <t xml:space="preserve">14 research findings on Shorts, CTR, AI, gaming and monetization in 2026, with sources.</t>
  </si>
  <si>
    <t xml:space="preserve">Understand the 2026 landscape.</t>
  </si>
  <si>
    <t xml:space="preserve">Data Gaps &amp; How-To</t>
  </si>
  <si>
    <t xml:space="preserve">Metrics missing from the export (comments, retention…) and how to get them.</t>
  </si>
  <si>
    <t xml:space="preserve">Make the next analysis even sharper.</t>
  </si>
  <si>
    <t xml:space="preserve">Daily Views (raw)</t>
  </si>
  <si>
    <t xml:space="preserve">Raw daily views from YouTube.</t>
  </si>
  <si>
    <t xml:space="preserve">Check the source data.</t>
  </si>
  <si>
    <t xml:space="preserve">Colour legend</t>
  </si>
  <si>
    <t xml:space="preserve">Sample</t>
  </si>
  <si>
    <t xml:space="preserve">Green = strong / on track / double down</t>
  </si>
  <si>
    <t xml:space="preserve">Yellow = average / close / be careful</t>
  </si>
  <si>
    <t xml:space="preserve">Red = weak / fix / stop</t>
  </si>
  <si>
    <t xml:space="preserve">Light blue = keep but repackage</t>
  </si>
  <si>
    <t xml:space="preserve">Yellow cell + blue text = editable input or target</t>
  </si>
  <si>
    <t xml:space="preserve">Navy header = raw data from YouTube</t>
  </si>
  <si>
    <t xml:space="preserve">Blue header = calculated column</t>
  </si>
  <si>
    <t xml:space="preserve">Glossary</t>
  </si>
  <si>
    <t xml:space="preserve">Impressions</t>
  </si>
  <si>
    <t xml:space="preserve">How many times YouTube showed your thumbnail (home, suggested, search). Shorts-feed swipes are NOT counted.</t>
  </si>
  <si>
    <t xml:space="preserve">CTR</t>
  </si>
  <si>
    <t xml:space="preserve">Click-through rate = clicks ÷ impressions. Measures how good your title + thumbnail are.</t>
  </si>
  <si>
    <t xml:space="preserve">Avg view duration</t>
  </si>
  <si>
    <t xml:space="preserve">Watch time ÷ views. How long a typical viewer stayed.</t>
  </si>
  <si>
    <t xml:space="preserve">Avg % watched</t>
  </si>
  <si>
    <t xml:space="preserve">Avg view duration ÷ video length. Over 100% = people looped the Short.</t>
  </si>
  <si>
    <t xml:space="preserve">Subs per 1K views</t>
  </si>
  <si>
    <t xml:space="preserve">How well a video turns viewers into subscribers.</t>
  </si>
  <si>
    <t xml:space="preserve">Feed / swipe views</t>
  </si>
  <si>
    <t xml:space="preserve">Views that did not come from someone clicking a thumbnail, mostly the Shorts feed.</t>
  </si>
  <si>
    <t xml:space="preserve">Evergreen</t>
  </si>
  <si>
    <t xml:space="preserve">A video that keeps getting views for months, not just launch week.</t>
  </si>
  <si>
    <t xml:space="preserve">Method note: data was pulled from the YouTube Studio export you shared via Google Sheets (Table data, Chart data, Totals). Comments, likes and retention were not in that export; see "Data Gaps &amp; How-To".</t>
  </si>
  <si>
    <t xml:space="preserve">Old Channel Performance: Dashboard</t>
  </si>
  <si>
    <t xml:space="preserve">Data: your YouTube Studio export (lifetime, Jul 2021 – Oct 2026). Every number below is a live formula linked to the other tabs.</t>
  </si>
  <si>
    <t xml:space="preserve">Headline numbers</t>
  </si>
  <si>
    <t xml:space="preserve">Scorecard vs 2026 benchmarks</t>
  </si>
  <si>
    <t xml:space="preserve">Metric</t>
  </si>
  <si>
    <t xml:space="preserve">Value</t>
  </si>
  <si>
    <t xml:space="preserve">What it means</t>
  </si>
  <si>
    <t xml:space="preserve">You</t>
  </si>
  <si>
    <t xml:space="preserve">Benchmark</t>
  </si>
  <si>
    <t xml:space="preserve">Status</t>
  </si>
  <si>
    <t xml:space="preserve">Total views (channel)</t>
  </si>
  <si>
    <t xml:space="preserve">Lifetime views per YouTube's channel total.</t>
  </si>
  <si>
    <t xml:space="preserve">Thumbnail CTR</t>
  </si>
  <si>
    <t xml:space="preserve">Watch time (hours)</t>
  </si>
  <si>
    <t xml:space="preserve">Far from the 4,000-hour YPP threshold; long-form is the fix.</t>
  </si>
  <si>
    <t xml:space="preserve">Subscribers gained</t>
  </si>
  <si>
    <t xml:space="preserve">Net subscribers gained over the channel's life.</t>
  </si>
  <si>
    <t xml:space="preserve">Avg view duration, Shorts (sec)</t>
  </si>
  <si>
    <t xml:space="preserve">Videos analysed</t>
  </si>
  <si>
    <t xml:space="preserve">62 Shorts + 5 long-form.</t>
  </si>
  <si>
    <t xml:space="preserve">% of views from top video</t>
  </si>
  <si>
    <t xml:space="preserve">Thumbnail impressions</t>
  </si>
  <si>
    <t xml:space="preserve">Times YouTube showed your thumbnail (mainly browse/suggested; Shorts-feed views are not counted).</t>
  </si>
  <si>
    <t xml:space="preserve">Uploads in last 90 days</t>
  </si>
  <si>
    <t xml:space="preserve">Average range 4–6%; gaming norm ~8.5%. Your hit did 8.3%.</t>
  </si>
  <si>
    <t xml:space="preserve">On-niche share of views</t>
  </si>
  <si>
    <t xml:space="preserve">Avg views per video</t>
  </si>
  <si>
    <t xml:space="preserve">Skewed by one hit; see median.</t>
  </si>
  <si>
    <t xml:space="preserve">Benchmarks: CTR 6% = solid (typical 4–6%, gaming ~8.5%, focus-digital/subsub 2026). Subs/1K: long-form 2.27, Shorts 1.69 (Galloway). Shorts AVD 15s = a well-held 15–35s Short. Top-video share 15% = a healthy, non-hit-dependent channel. Uploads: ~1 per week minimum. Blue numbers are editable benchmarks.</t>
  </si>
  <si>
    <t xml:space="preserve">About the Shorts benchmark (1.7). Long-form benchmark is ~2.3.</t>
  </si>
  <si>
    <t xml:space="preserve">Median views per video</t>
  </si>
  <si>
    <t xml:space="preserve">The "typical" video. Half did worse than this.</t>
  </si>
  <si>
    <t xml:space="preserve">Avg view duration (sec)</t>
  </si>
  <si>
    <t xml:space="preserve">People watched for only seconds. Retention is the biggest gap.</t>
  </si>
  <si>
    <t xml:space="preserve">Share of views from #1 video</t>
  </si>
  <si>
    <t xml:space="preserve">Extremely hit-driven: one video carried the channel.</t>
  </si>
  <si>
    <t xml:space="preserve">Share of views from top 6 videos</t>
  </si>
  <si>
    <t xml:space="preserve">Six videos = most of your views. The other 61 = the rest.</t>
  </si>
  <si>
    <t xml:space="preserve">Top 10 videos</t>
  </si>
  <si>
    <t xml:space="preserve">#</t>
  </si>
  <si>
    <t xml:space="preserve">Title</t>
  </si>
  <si>
    <t xml:space="preserve">Views</t>
  </si>
  <si>
    <t xml:space="preserve">Theme</t>
  </si>
  <si>
    <t xml:space="preserve">10 key findings (the "so what")</t>
  </si>
  <si>
    <t xml:space="preserve">1. Hit-driven channel</t>
  </si>
  <si>
    <t xml:space="preserve">One video ("Umpire Caught Cheating In Cricket 07", 8.6K views) = ~30% of all views. The top 6 = ~57%. You found a winning format but never built on it with follow-ups.</t>
  </si>
  <si>
    <t xml:space="preserve">2. Your niche is cricket umpire drama</t>
  </si>
  <si>
    <t xml:space="preserve">Umpire/decision videos = 27 uploads and ~66% of video views, with the best CTR (6.9%). Game-hopping into Smash Hit, MCOC and Counter-Strike averaged ~140 views.</t>
  </si>
  <si>
    <t xml:space="preserve">3. The evergreen hit worked differently</t>
  </si>
  <si>
    <t xml:space="preserve">Your #1 video got just 267 views in week 1, then grew for months (peaking in Mar 2024 with zero new uploads), from 91K impressions at an 8.3% CTR. Your other top Shorts died after 7 days.</t>
  </si>
  <si>
    <t xml:space="preserve">4. Retention is the biggest gap</t>
  </si>
  <si>
    <t xml:space="preserve">Average view duration was only ~6.6 seconds on Shorts. Recent clips are 3–5 seconds long. Raw views look fine, but watch time (84 hours lifetime) and subscribers barely moved.</t>
  </si>
  <si>
    <t xml:space="preserve">5. Clean titles beat hashtag titles about 5x</t>
  </si>
  <si>
    <t xml:space="preserve">Clean titles averaged 659 views at 7.3% CTR. Titles with 6+ hashtags averaged 135 views at 3.7% CTR. Question and outrage titles won ("How Is That NOT OUT?!").</t>
  </si>
  <si>
    <t xml:space="preserve">6. Long-form = watch-time engine</t>
  </si>
  <si>
    <t xml:space="preserve">5 long-form videos (7% of uploads) made ~30% of watch hours, with 46-second average views. "The Tenth World War" is your top watch-time video (9.8 hours).</t>
  </si>
  <si>
    <t xml:space="preserve">7. Consistency = views</t>
  </si>
  <si>
    <t xml:space="preserve">Monthly uploads and views correlate at 0.67. Your best active month (Nov 2025, 4.8K views) had 13 uploads. Every quiet month fell to near zero.</t>
  </si>
  <si>
    <t xml:space="preserve">8. CTR is average, not great</t>
  </si>
  <si>
    <t xml:space="preserve">5.44% overall vs a ~8.5% gaming norm. Many Shorts show 0% CTR because their views came from swipes, not thumbnail clicks.</t>
  </si>
  <si>
    <t xml:space="preserve">9. Subscriber conversion is weak</t>
  </si>
  <si>
    <t xml:space="preserve">About 1.8 subs per 1K views (51 subs from 29K views). Viewers had no reason to subscribe: no series, no voice, no recurring promise.</t>
  </si>
  <si>
    <t xml:space="preserve">10. Monetization rules now reward long-form</t>
  </si>
  <si>
    <t xml:space="preserve">2027 YPP rules: 1,000 subs plus 8,000 long-form watch hours (or 20M Shorts views in 90 days). Your old pace would never get there, so the new channel needs long-form from day one.</t>
  </si>
  <si>
    <t xml:space="preserve">➡ See the "Action Plan" tab for exactly what to do on the new channel.</t>
  </si>
  <si>
    <t xml:space="preserve">Action Plan for Your New Channel</t>
  </si>
  <si>
    <t xml:space="preserve">Every action is tied to evidence from your old channel and/or the 2026 research. Do the P1s first. Use the Status column to track progress.</t>
  </si>
  <si>
    <t xml:space="preserve">Priority</t>
  </si>
  <si>
    <t xml:space="preserve">Area</t>
  </si>
  <si>
    <t xml:space="preserve">Action (do this)</t>
  </si>
  <si>
    <t xml:space="preserve">Why: the evidence</t>
  </si>
  <si>
    <t xml:space="preserve">Target / KPI to track</t>
  </si>
  <si>
    <t xml:space="preserve">When</t>
  </si>
  <si>
    <t xml:space="preserve">P1</t>
  </si>
  <si>
    <t xml:space="preserve">Niche</t>
  </si>
  <si>
    <t xml:space="preserve">Pick ONE lane and stay in it for the first 30 videos: cricket gaming (umpire drama, wild moments, Cricket 26 + EA Cricket 07 nostalgia), with AI as an angle, not a separate topic.</t>
  </si>
  <si>
    <t xml:space="preserve">Cricket umpire/decision content was 66% of your views. Smash Hit, MCOC and off-topic posts averaged 11–140 views. Game-hopping confused the algorithm.</t>
  </si>
  <si>
    <t xml:space="preserve">≥90% of uploads on-niche</t>
  </si>
  <si>
    <t xml:space="preserve">Week 0</t>
  </si>
  <si>
    <t xml:space="preserve">Not started</t>
  </si>
  <si>
    <t xml:space="preserve">Hook</t>
  </si>
  <si>
    <t xml:space="preserve">Open every Short on the most shocking frame (the decision, the appeal, the replay) within 0.5 seconds. No intro, no run-up.</t>
  </si>
  <si>
    <t xml:space="preserve">In the Shorts feed the first frame works like a thumbnail. Swipe-away rate is the main Shorts signal. Your top Shorts got 90%+ of their views from the feed, not thumbnails.</t>
  </si>
  <si>
    <t xml:space="preserve">Viewed (vs swiped away) ≥ 70%</t>
  </si>
  <si>
    <t xml:space="preserve">Every Short</t>
  </si>
  <si>
    <t xml:space="preserve">Length</t>
  </si>
  <si>
    <t xml:space="preserve">Make Shorts 15–35 seconds with a setup, the moment, a replay or reaction, and a payoff. Stop posting 3–5 second clips.</t>
  </si>
  <si>
    <t xml:space="preserve">Your 2025–26 clips averaged 4.4 seconds of watch per view. Watch time fell about 75% vs the old era and subs per 1K views collapsed. Ultra-short loops inflate raw views but build nothing.</t>
  </si>
  <si>
    <t xml:space="preserve">Avg view duration ≥ 12 seconds; avg % watched ≥ 80%</t>
  </si>
  <si>
    <t xml:space="preserve">Next 10 Shorts</t>
  </si>
  <si>
    <t xml:space="preserve">Long-form</t>
  </si>
  <si>
    <t xml:space="preserve">Publish 1 long-form video per week (8–15 minutes): full matches with commentary, "Top 10 worst umpire calls", and Cricket 26 career-mode series.</t>
  </si>
  <si>
    <t xml:space="preserve">Your 5 long-form uploads (7% of videos) made ~30% of watch hours and converted ~1.8x more subs per view than your Shorts. The 2027 YPP rules need 8,000 long-form watch hours. Long-form converts ~35% more subs per view.</t>
  </si>
  <si>
    <t xml:space="preserve">1/week; 4,000 watch hours in 12 months</t>
  </si>
  <si>
    <t xml:space="preserve">Weekly</t>
  </si>
  <si>
    <t xml:space="preserve">Titles</t>
  </si>
  <si>
    <t xml:space="preserve">Write clean 30–50 character titles that open a curiosity loop or ask a question ("How Is That NOT OUT?!"). No hashtags in titles. Put 3 hashtags in the description.</t>
  </si>
  <si>
    <t xml:space="preserve">Clean titles averaged 659 views vs 135 for 6+-hashtag titles, and CTR was 7.3% vs 3.7%. Your best title is a question with outrage.</t>
  </si>
  <si>
    <t xml:space="preserve">Long-form CTR ≥ 7%</t>
  </si>
  <si>
    <t xml:space="preserve">Every upload</t>
  </si>
  <si>
    <t xml:space="preserve">Consistency</t>
  </si>
  <si>
    <t xml:space="preserve">Commit to a fixed schedule: 4–5 Shorts plus 1 long-form per week, every week. Batch-record on weekends.</t>
  </si>
  <si>
    <t xml:space="preserve">Uploads and monthly views correlate at 0.67. Every quiet month dropped to near-zero views (Jul 2026: 32 views after a 2,358-view June).</t>
  </si>
  <si>
    <t xml:space="preserve">Zero missed weeks for 12 weeks</t>
  </si>
  <si>
    <t xml:space="preserve">P2</t>
  </si>
  <si>
    <t xml:space="preserve">Series</t>
  </si>
  <si>
    <t xml:space="preserve">Turn your winners into named, numbered series: "Worst Umpire Decisions #1, #2…", "Cricket 07 Chaos", "AI Umpire vs Me".</t>
  </si>
  <si>
    <t xml:space="preserve">Your "Plum LBW #1" got 1,331 views. Series give viewers a reason to subscribe and come back, which feeds the satisfaction signal.</t>
  </si>
  <si>
    <t xml:space="preserve">≥ 3 subs per 1K views</t>
  </si>
  <si>
    <t xml:space="preserve">Month 1</t>
  </si>
  <si>
    <t xml:space="preserve">Thumbnails</t>
  </si>
  <si>
    <t xml:space="preserve">For long-form, design 3 thumbnail variants per video (AI-assisted in Canva or Nano Banana) and use YouTube's Test &amp; Compare. Use a big face or reaction, a red arrow on the moment, and 3 words max.</t>
  </si>
  <si>
    <t xml:space="preserve">Your evergreen hit won on CTR (8.3% at 91K impressions). Gaming niche CTR is about 8.5%. Your channel average is 5.4%.</t>
  </si>
  <si>
    <t xml:space="preserve">CTR ≥ 7%; winner kept after test</t>
  </si>
  <si>
    <t xml:space="preserve">Every long-form</t>
  </si>
  <si>
    <t xml:space="preserve">Make 1 in 4 videos evergreen: searchable topics people look up any time ("Cricket 07 2026 patch install", "best Cricket 26 settings", "funniest umpire bugs").</t>
  </si>
  <si>
    <t xml:space="preserve">Your #1 video got only 267 views in week 1, then 8.3K more over months via browse and suggested. Feed-spike Shorts died within a week.</t>
  </si>
  <si>
    <t xml:space="preserve">≥ 30% of monthly views from videos older than 30 days</t>
  </si>
  <si>
    <t xml:space="preserve">Month 1–3</t>
  </si>
  <si>
    <t xml:space="preserve">Voice / identity</t>
  </si>
  <si>
    <t xml:space="preserve">Add your voice: commentary, reactions or text callouts. Be a person viewers recognise, not an anonymous clip channel.</t>
  </si>
  <si>
    <t xml:space="preserve">YouTube's 2025/2026 inauthentic-content policy targets templated, low-effort content. Your clip uploads had no persona, so few viewers subscribed.</t>
  </si>
  <si>
    <t xml:space="preserve">Comments per 1K views ≥ 5</t>
  </si>
  <si>
    <t xml:space="preserve">Engagement</t>
  </si>
  <si>
    <t xml:space="preserve">End every Short with a question ("OUT or NOT OUT? Comment 👇") and pin a comment. Reply to every comment in the first hour.</t>
  </si>
  <si>
    <t xml:space="preserve">Your outrage and question titles were your best performers. Comments and replies are satisfaction signals.</t>
  </si>
  <si>
    <t xml:space="preserve">AI workflow</t>
  </si>
  <si>
    <t xml:space="preserve">Run an AI pipeline: record a session, edit one long-form, use Opus Clip or CapCut to cut 3–5 Shorts with auto-captions, then AI-draft the title and thumbnail options. You make the final call.</t>
  </si>
  <si>
    <t xml:space="preserve">Turns 1 recording into 6 uploads and makes the consistent schedule realistic for a solo creator. Keep human judgment to stay clear of the "mass-produced" policy.</t>
  </si>
  <si>
    <t xml:space="preserve">6 uploads per recording session</t>
  </si>
  <si>
    <t xml:space="preserve">Timing</t>
  </si>
  <si>
    <t xml:space="preserve">Plan content around real cricket moments (IPL, World Cup, Ashes, big controversies) and new game patches. Post within 24–48 hours of the event.</t>
  </si>
  <si>
    <t xml:space="preserve">Your 2011 World Cup patch videos and IPL-tagged clips got traction. Cricket 26 launched with the Ashes. Topical relevance boosts both search and browse.</t>
  </si>
  <si>
    <t xml:space="preserve">≥ 2 event-tied videos per month</t>
  </si>
  <si>
    <t xml:space="preserve">Ongoing</t>
  </si>
  <si>
    <t xml:space="preserve">P3</t>
  </si>
  <si>
    <t xml:space="preserve">AI x gaming angle</t>
  </si>
  <si>
    <t xml:space="preserve">Test AI-themed formats: "I let AI pick my team", "AI commentary vs real", "Breaking the game AI". Measure them against your core cricket content.</t>
  </si>
  <si>
    <t xml:space="preserve">Generative AI in games is a 2026 novelty trend. Challenge formats hold attention, and novelty helps CTR.</t>
  </si>
  <si>
    <t xml:space="preserve">1 test per 2 weeks; keep only what beats channel average</t>
  </si>
  <si>
    <t xml:space="preserve">Month 2</t>
  </si>
  <si>
    <t xml:space="preserve">Cross-post</t>
  </si>
  <si>
    <t xml:space="preserve">Re-post the best Shorts to TikTok and Instagram Reels with native captions.</t>
  </si>
  <si>
    <t xml:space="preserve">Multi-platform is the 2026 norm for gaming creators, and it adds reach at no extra recording cost.</t>
  </si>
  <si>
    <t xml:space="preserve">Extra 30% reach</t>
  </si>
  <si>
    <t xml:space="preserve">Measure weekly</t>
  </si>
  <si>
    <t xml:space="preserve">Every Sunday, export Studio data with extra columns (see the Data Gaps tab) and paste it into this workbook's Video Data tab. Review CTR, retention and swipe rate.</t>
  </si>
  <si>
    <t xml:space="preserve">This export lacked comments, likes, retention and traffic sources, so you could not see why videos worked. Measurement closes that loop.</t>
  </si>
  <si>
    <t xml:space="preserve">Weekly review done</t>
  </si>
  <si>
    <t xml:space="preserve">Kill rule</t>
  </si>
  <si>
    <t xml:space="preserve">If a theme gets 5 uploads below the channel median, drop it. If a video beats 2x the median, make 3 follow-ups within 2 weeks.</t>
  </si>
  <si>
    <t xml:space="preserve">You posted 14 Smash Hit videos with no traction, and you never followed up your 8.6K hit with a series.</t>
  </si>
  <si>
    <t xml:space="preserve">Applied monthly</t>
  </si>
  <si>
    <t xml:space="preserve">Monthly</t>
  </si>
  <si>
    <t xml:space="preserve">Your first 90 days</t>
  </si>
  <si>
    <t xml:space="preserve">Days 1–30: Foundation</t>
  </si>
  <si>
    <t xml:space="preserve">Channel name, banner and trailer around ONE promise ("the funniest moments in cricket gaming"). 20 Shorts (15–35s) + 4 long-form. Launch 2 named series. Set up the AI editing pipeline.</t>
  </si>
  <si>
    <t xml:space="preserve">Days 31–60: Find the winners</t>
  </si>
  <si>
    <t xml:space="preserve">Double down on the top 20% of videos by CTR and retention. Make 3 follow-ups to any video above 2x the median. Start A/B thumbnail tests on every long-form. Try 2 AI-angle experiments.</t>
  </si>
  <si>
    <t xml:space="preserve">Days 61–90: Scale what works</t>
  </si>
  <si>
    <t xml:space="preserve">Drop the bottom themes (kill rule). Lock the schedule. Start cross-posting. Aim for 300+ subscribers and 500+ watch hours. Review the KPI targets below and reset goals.</t>
  </si>
  <si>
    <t xml:space="preserve">KPI targets: old channel vs new-channel goal</t>
  </si>
  <si>
    <t xml:space="preserve">Old channel</t>
  </si>
  <si>
    <t xml:space="preserve">New-channel target</t>
  </si>
  <si>
    <t xml:space="preserve">Why this target</t>
  </si>
  <si>
    <t xml:space="preserve">Thumbnail CTR (all)</t>
  </si>
  <si>
    <t xml:space="preserve">Gaming niche averages about 8.5%. Your hit did 8.3%.</t>
  </si>
  <si>
    <t xml:space="preserve">Your Shorts averaged ~6.6s. 15–35s Shorts should hold 12s+.</t>
  </si>
  <si>
    <t xml:space="preserve">Old channel ~1.8. Long-form plus series should roughly double the Shorts benchmark.</t>
  </si>
  <si>
    <t xml:space="preserve">Uploads per month</t>
  </si>
  <si>
    <t xml:space="preserve">Old: 67 uploads over ~51 months. New: 4–5 Shorts + 1 long-form per week.</t>
  </si>
  <si>
    <t xml:space="preserve">Watch hours per year</t>
  </si>
  <si>
    <t xml:space="preserve">Old: lifetime watch hours ÷ ~4 active years. Target is the full YPP threshold; 2027 rules need 8,000.</t>
  </si>
  <si>
    <t xml:space="preserve">% uploads on-niche</t>
  </si>
  <si>
    <t xml:space="preserve">Focus trains the algorithm on your audience.</t>
  </si>
  <si>
    <t xml:space="preserve">Yellow cells with blue text are targets you can edit. "% uploads on-niche" for the old channel is approximated by the share of views from cricket themes.</t>
  </si>
  <si>
    <t xml:space="preserve">What Topics Worked?</t>
  </si>
  <si>
    <t xml:space="preserve">Every video is tagged with a theme. These numbers are live formulas over the Video Data tab. Green = strong, yellow = OK, red = weak.</t>
  </si>
  <si>
    <t xml:space="preserve">Content theme</t>
  </si>
  <si>
    <t xml:space="preserve">Videos</t>
  </si>
  <si>
    <t xml:space="preserve">Total views</t>
  </si>
  <si>
    <t xml:space="preserve">% of all views</t>
  </si>
  <si>
    <t xml:space="preserve">Avg views / video</t>
  </si>
  <si>
    <t xml:space="preserve">Best video views</t>
  </si>
  <si>
    <t xml:space="preserve">Watch hours</t>
  </si>
  <si>
    <t xml:space="preserve">Subs gained</t>
  </si>
  <si>
    <t xml:space="preserve">Weighted CTR</t>
  </si>
  <si>
    <t xml:space="preserve">Verdict</t>
  </si>
  <si>
    <t xml:space="preserve">Why (analyst notes)</t>
  </si>
  <si>
    <t xml:space="preserve">Cricket: Umpire/Decision Drama</t>
  </si>
  <si>
    <t xml:space="preserve">DOUBLE DOWN</t>
  </si>
  <si>
    <t xml:space="preserve">Your proven format. 4 of your 5 biggest videos. Outrage + a question ("How is that NOT OUT?!") earns the click and the comments. But the median is low: most uploads got under 100 views. The winners had a clear "wait, what?!" moment in the first second.</t>
  </si>
  <si>
    <t xml:space="preserve">Cricket: Gameplay &amp; Moments</t>
  </si>
  <si>
    <t xml:space="preserve">KEEP, REPACKAGE</t>
  </si>
  <si>
    <t xml:space="preserve">Gets your highest watch time per view, and the long-form "Tenth World War" video is your #1 watch-time video. Plain labels like "EA Cricket 07 Gameplay" did badly; story titles like "An Outstanding Collapse In Just 1 Over" did better.</t>
  </si>
  <si>
    <t xml:space="preserve">Counter-Strike: CZ</t>
  </si>
  <si>
    <t xml:space="preserve">ONE-OFF SPIKE</t>
  </si>
  <si>
    <t xml:space="preserve">Strong average, but it is one Short (1,603 views in its first 2 days). CTR of 0.9% means people who saw the thumbnail did not click, so the views came from the feed. Not a repeatable pillar.</t>
  </si>
  <si>
    <t xml:space="preserve">Smash Hit</t>
  </si>
  <si>
    <t xml:space="preserve">STOP</t>
  </si>
  <si>
    <t xml:space="preserve">14 uploads for ~140 views each: the most effort for the least return. Generic titles ("smash hit #smashhit…") give nobody a reason to click.</t>
  </si>
  <si>
    <t xml:space="preserve">Marvel Contest of Champions</t>
  </si>
  <si>
    <t xml:space="preserve">Only 3 tests, no traction, CTR under 2%. It also splits the audience away from cricket.</t>
  </si>
  <si>
    <t xml:space="preserve">Other / Off-topic</t>
  </si>
  <si>
    <t xml:space="preserve">AVOID</t>
  </si>
  <si>
    <t xml:space="preserve">Off-topic or untitled uploads ("November 5, 2025", "How's the view") average under 5 views. Every upload trains the algorithm on who your viewers are, so off-topic posts confuse it.</t>
  </si>
  <si>
    <t xml:space="preserve">ALL VIDEOS</t>
  </si>
  <si>
    <t xml:space="preserve">Format, Titles &amp; Packaging: What Got Clicks?</t>
  </si>
  <si>
    <t xml:space="preserve">Each table groups your videos one way. Live formulas over Video Data. Small groups (n&lt;5) are flagged; treat them as hints, not proof.</t>
  </si>
  <si>
    <t xml:space="preserve">1. Shorts vs long-form</t>
  </si>
  <si>
    <t xml:space="preserve">Group</t>
  </si>
  <si>
    <t xml:space="preserve">Sample size</t>
  </si>
  <si>
    <t xml:space="preserve">Short</t>
  </si>
  <si>
    <t xml:space="preserve">💡 Shorts brought the reach (most of your views), but people watched them for only ~6 seconds on average. Your 5 long-form videos averaged ~46 seconds per view and produced ~30% of your total watch hours from just 7% of uploads. Shorts get discovered; long-form builds watch time (the 4,000-hour monetization path).</t>
  </si>
  <si>
    <t xml:space="preserve">2. Old era vs new era</t>
  </si>
  <si>
    <t xml:space="preserve">2022–24: mixed games, hashtag titles</t>
  </si>
  <si>
    <t xml:space="preserve">2025–26: cricket focus, clean titles</t>
  </si>
  <si>
    <t xml:space="preserve">💡 Your 2025–26 videos are more focused, but they are also extremely short (often 3–5 seconds), so watch time dropped about 75% and subscriber conversion collapsed. Focus was the right move. The clips themselves need to be longer and give people a reason to stay.</t>
  </si>
  <si>
    <t xml:space="preserve">3. Hashtags in the title</t>
  </si>
  <si>
    <t xml:space="preserve">0 (clean title)</t>
  </si>
  <si>
    <t xml:space="preserve">1–2</t>
  </si>
  <si>
    <t xml:space="preserve">3–5</t>
  </si>
  <si>
    <t xml:space="preserve">6+</t>
  </si>
  <si>
    <t xml:space="preserve">💡 Clean, readable titles beat hashtag-stuffed ones by about 5x on average views and roughly doubled CTR. The 28 titles with 6+ hashtags ("smash hit #smashhit #mediocre #yt20…") are your weakest group. Put 2–3 hashtags in the description instead.</t>
  </si>
  <si>
    <t xml:space="preserve">4. Emoji in the title</t>
  </si>
  <si>
    <t xml:space="preserve">Yes</t>
  </si>
  <si>
    <t xml:space="preserve">No</t>
  </si>
  <si>
    <t xml:space="preserve">💡 Titles with emoji averaged less than half the views. This is partly an era effect (most emoji titles are from late 2025), so treat it as "emoji don't replace a real hook", not "never use emoji".</t>
  </si>
  <si>
    <t xml:space="preserve">5. Title length</t>
  </si>
  <si>
    <t xml:space="preserve">Short (≤30)</t>
  </si>
  <si>
    <t xml:space="preserve">Medium (31–50)</t>
  </si>
  <si>
    <t xml:space="preserve">Long (51+)</t>
  </si>
  <si>
    <t xml:space="preserve">💡 Medium-length titles (31–50 characters) won clearly: highest average views and an 8% CTR. Very short titles ("BLIND UMPIRE") lacked context, and long ones were almost all hashtag-stuffed. Aim for 30–50 characters with the hook first.</t>
  </si>
  <si>
    <t xml:space="preserve">6. Video length</t>
  </si>
  <si>
    <t xml:space="preserve">a) ≤10s</t>
  </si>
  <si>
    <t xml:space="preserve">b) 11–30s</t>
  </si>
  <si>
    <t xml:space="preserve">c) 31–60s</t>
  </si>
  <si>
    <t xml:space="preserve">d) 61–180s</t>
  </si>
  <si>
    <t xml:space="preserve">e) Long-form 3m+</t>
  </si>
  <si>
    <t xml:space="preserve">💡 ≤10-second clips have the highest average views (mostly thanks to your 3-second viral hit) because they loop. But viewers stayed only ~3 seconds and subs per 1K views were lowest. 11–60 second clips earned 2x the subscribers per view. Test 15–35 second Shorts with a setup, the moment, and a payoff or reaction.</t>
  </si>
  <si>
    <t xml:space="preserve">7. Upload weekday (low confidence)</t>
  </si>
  <si>
    <t xml:space="preserve">Mon</t>
  </si>
  <si>
    <t xml:space="preserve">Tue</t>
  </si>
  <si>
    <t xml:space="preserve">Wed</t>
  </si>
  <si>
    <t xml:space="preserve">Thu</t>
  </si>
  <si>
    <t xml:space="preserve">Fri</t>
  </si>
  <si>
    <t xml:space="preserve">Sat</t>
  </si>
  <si>
    <t xml:space="preserve">Sun</t>
  </si>
  <si>
    <t xml:space="preserve">💡 Saturday looks best, but only because your viral hit was posted on a Saturday. The day you upload matters far less than the topic and the hook. Pick a consistent schedule and stick to it.</t>
  </si>
  <si>
    <t xml:space="preserve">Channel Timeline: Views &amp; Uploads by Month</t>
  </si>
  <si>
    <t xml:space="preserve">Monthly views come from your daily export; uploads are counted from Video Data. Look at how views follow upload bursts.</t>
  </si>
  <si>
    <t xml:space="preserve">Month</t>
  </si>
  <si>
    <t xml:space="preserve">Uploads</t>
  </si>
  <si>
    <t xml:space="preserve">Views per upload that month</t>
  </si>
  <si>
    <t xml:space="preserve">Note</t>
  </si>
  <si>
    <t xml:space="preserve">Counter-Strike Short spike (1.5K views in 2 days)</t>
  </si>
  <si>
    <t xml:space="preserve">No uploads, but "Umpire Caught Cheating" took off in browse/suggested</t>
  </si>
  <si>
    <t xml:space="preserve">Best month ever, driven by the evergreen umpire video</t>
  </si>
  <si>
    <t xml:space="preserve">13 uploads (cricket umpire burst): your best active month</t>
  </si>
  <si>
    <t xml:space="preserve">Second burst (BLIND UMPIRE hit 1.5K)</t>
  </si>
  <si>
    <t xml:space="preserve">Uploads slowed and views collapsed within weeks</t>
  </si>
  <si>
    <t xml:space="preserve">Year by year</t>
  </si>
  <si>
    <t xml:space="preserve">Year</t>
  </si>
  <si>
    <t xml:space="preserve">Views per upload</t>
  </si>
  <si>
    <t xml:space="preserve">2022</t>
  </si>
  <si>
    <t xml:space="preserve">2023</t>
  </si>
  <si>
    <t xml:space="preserve">2024</t>
  </si>
  <si>
    <t xml:space="preserve">2025</t>
  </si>
  <si>
    <t xml:space="preserve">2026</t>
  </si>
  <si>
    <t xml:space="preserve">💡 Uploads and views move together (correlation ≈ 0.67 across 51 months). Every month you went quiet, views fell to near zero. The one exception is early 2024, when an old video kept getting recommended. That is the evergreen effect, and it is worth designing for.</t>
  </si>
  <si>
    <t xml:space="preserve">Launch Velocity: Spike vs Slow-Burn</t>
  </si>
  <si>
    <t xml:space="preserve">YouTube's export includes day-by-day views for your top 5 videos. This shows how fast each one got its views. Values come from the "Chart data" tab of your export.</t>
  </si>
  <si>
    <t xml:space="preserve">Video</t>
  </si>
  <si>
    <t xml:space="preserve">Published</t>
  </si>
  <si>
    <t xml:space="preserve">Lifetime views</t>
  </si>
  <si>
    <t xml:space="preserve">Views in first 7 days</t>
  </si>
  <si>
    <t xml:space="preserve">Views in first 30 days</t>
  </si>
  <si>
    <t xml:space="preserve">% of views in week 1</t>
  </si>
  <si>
    <t xml:space="preserve">Peak day</t>
  </si>
  <si>
    <t xml:space="preserve">Peak-day views</t>
  </si>
  <si>
    <t xml:space="preserve">Pattern</t>
  </si>
  <si>
    <t xml:space="preserve">Umpire Caught Cheating In Cricket 07</t>
  </si>
  <si>
    <t xml:space="preserve">How Is That NOT OUT?! 😳</t>
  </si>
  <si>
    <t xml:space="preserve">counter strike condition zero#counterstrike#counterstrikeconditionzero#shorts</t>
  </si>
  <si>
    <t xml:space="preserve">The Calm Before LBW</t>
  </si>
  <si>
    <t xml:space="preserve">BLIND UMPIRE</t>
  </si>
  <si>
    <t xml:space="preserve">💡 The big lesson: 4 of your top 5 got nearly 100% of their views in the first week through the Shorts feed, then died. Your #1 video ("Umpire Caught Cheating") got only 267 views in week 1, then kept getting recommended for months. It peaked 4 months after upload and pulled 91K thumbnail impressions at an 8.3% CTR, the best click-through of any video with real reach. It had a clear, curiosity-driven title and a thumbnail people clicked. Build some videos to be evergreen: searchable titles, strong thumbnails, and a moment people want to see again.</t>
  </si>
  <si>
    <t xml:space="preserve">Monthly views: "Umpire Caught Cheating In Cricket 07" (the slow-burn)</t>
  </si>
  <si>
    <t xml:space="preserve">Every Video — Full Stats</t>
  </si>
  <si>
    <t xml:space="preserve">All 67 videos from your YouTube Studio export, sorted by views. Grey columns are raw data from YouTube; blue-header columns are calculated. Use the filter arrows to sort or slice.</t>
  </si>
  <si>
    <t xml:space="preserve">Rank</t>
  </si>
  <si>
    <t xml:space="preserve">Video ID</t>
  </si>
  <si>
    <t xml:space="preserve">Weekday</t>
  </si>
  <si>
    <t xml:space="preserve">Format</t>
  </si>
  <si>
    <t xml:space="preserve">Era</t>
  </si>
  <si>
    <t xml:space="preserve">Duration (sec)</t>
  </si>
  <si>
    <t xml:space="preserve">Watch time (hrs)</t>
  </si>
  <si>
    <t xml:space="preserve">Avg % of video watched</t>
  </si>
  <si>
    <t xml:space="preserve">Clicks from thumbnails</t>
  </si>
  <si>
    <t xml:space="preserve">Views NOT from thumbnail clicks (feed/swipe/other)</t>
  </si>
  <si>
    <t xml:space="preserve">% of views from feed/other</t>
  </si>
  <si>
    <t xml:space="preserve">Hashtags in title</t>
  </si>
  <si>
    <t xml:space="preserve">Emoji in title?</t>
  </si>
  <si>
    <t xml:space="preserve">Title length (chars)</t>
  </si>
  <si>
    <t xml:space="preserve">Hashtag group</t>
  </si>
  <si>
    <t xml:space="preserve">Title-length group</t>
  </si>
  <si>
    <t xml:space="preserve">Length group</t>
  </si>
  <si>
    <t xml:space="preserve">Performance tier</t>
  </si>
  <si>
    <t xml:space="preserve">Watch</t>
  </si>
  <si>
    <t xml:space="preserve">9srtvMvNdHE</t>
  </si>
  <si>
    <t xml:space="preserve">uhVoNiY4MBg</t>
  </si>
  <si>
    <t xml:space="preserve">RAfXFnj14Vo</t>
  </si>
  <si>
    <t xml:space="preserve">ME765cmAuUY</t>
  </si>
  <si>
    <t xml:space="preserve">JO21rkfLXIU</t>
  </si>
  <si>
    <t xml:space="preserve">QHivJyx-aYs</t>
  </si>
  <si>
    <t xml:space="preserve">Plum LBW As F***ing Hell #1</t>
  </si>
  <si>
    <t xml:space="preserve">iZzVJQU-c_g</t>
  </si>
  <si>
    <t xml:space="preserve">CRICKET 07 2011 THE TENTH WORLD WAR!</t>
  </si>
  <si>
    <t xml:space="preserve">dG3Y_PJcRac</t>
  </si>
  <si>
    <t xml:space="preserve">Impossible CS: Condition Zero Shot – You Won’t Believe This!</t>
  </si>
  <si>
    <t xml:space="preserve">eDSHeMeqqRw</t>
  </si>
  <si>
    <t xml:space="preserve">Eventful First Over#shorts #ipl</t>
  </si>
  <si>
    <t xml:space="preserve">Q5GFat6Xcrs</t>
  </si>
  <si>
    <t xml:space="preserve">EA SPORTS CRICKET 07 2011 world cup patch#wc2011#yt20 #easports #easportscricket07 #msdhoni#shorts</t>
  </si>
  <si>
    <t xml:space="preserve">9keTUQcwKD4</t>
  </si>
  <si>
    <t xml:space="preserve">An Outstanding Collapse In Just 1 Over</t>
  </si>
  <si>
    <t xml:space="preserve">JGX2UvOZuDM</t>
  </si>
  <si>
    <t xml:space="preserve">OUT GIVEN NOT OUT BY A VERY MUCH OF A BONEHEAD UMPIRE</t>
  </si>
  <si>
    <t xml:space="preserve">MC0O2wouTtY</t>
  </si>
  <si>
    <t xml:space="preserve">Worst LBW Decision Ever!? #shorts</t>
  </si>
  <si>
    <t xml:space="preserve">wgBipPmStXg</t>
  </si>
  <si>
    <t xml:space="preserve">EA SPORTS CRICKET 07 2011 WORLD CUP PATCH#easports#eacricket07 #2011worldcup#shorts#YT20#shorts</t>
  </si>
  <si>
    <t xml:space="preserve">tXk79jKSJfA</t>
  </si>
  <si>
    <t xml:space="preserve">smash hit #smashhit #mediocre #2023 #yt20 #yt20shorts #kabam #valve #mcoc #ytshorts</t>
  </si>
  <si>
    <t xml:space="preserve">_IrJCfSDmnY</t>
  </si>
  <si>
    <t xml:space="preserve">Umpire Absolutely Spot On 👏</t>
  </si>
  <si>
    <t xml:space="preserve">58PePzfjFec</t>
  </si>
  <si>
    <t xml:space="preserve">EA Cricket 07 Gameplay#2023 #Cricket07#gaming#videogames#2011WorldCup#Patch #indvaus #easports</t>
  </si>
  <si>
    <t xml:space="preserve">txa0-v0i8b4</t>
  </si>
  <si>
    <t xml:space="preserve">Ricky Ponting Watching The LBW Like 👀</t>
  </si>
  <si>
    <t xml:space="preserve">oWW3btuZlKc</t>
  </si>
  <si>
    <t xml:space="preserve">smash hit #smashhit #yt20 #mediocre #shorts#2023#yt20shorts#2022inshort</t>
  </si>
  <si>
    <t xml:space="preserve">fyprtSDvTFM</t>
  </si>
  <si>
    <t xml:space="preserve">Even the Replay Couldn’t Decide! Umpire’s Call</t>
  </si>
  <si>
    <t xml:space="preserve">zBFiIFSUpQA</t>
  </si>
  <si>
    <t xml:space="preserve">smash hit #smashhit #2022inshort #yt20 #shorts #mediocre #2023 #yt20shorts</t>
  </si>
  <si>
    <t xml:space="preserve">4k0wprDQoW0</t>
  </si>
  <si>
    <t xml:space="preserve">COUNTER STRIKE CONDITION ZERO#shorts #ytshorts #valve #csgo #valve #counterstrike  #cscz</t>
  </si>
  <si>
    <t xml:space="preserve">4gIP1vRVTxA</t>
  </si>
  <si>
    <t xml:space="preserve">WESTERN AUSTRALIA VS VICTORIA BUSHRANGERS#youtubeshorts #youtube #2024 #shorts #cricket #easports</t>
  </si>
  <si>
    <t xml:space="preserve">3J88bocUWoo</t>
  </si>
  <si>
    <t xml:space="preserve">smash hit#smashhit#mediocre#shorts</t>
  </si>
  <si>
    <t xml:space="preserve">JbqeifCho3o</t>
  </si>
  <si>
    <t xml:space="preserve">HOOK SHOT GONE WRONG IN THE FIRST CLASS MATCH#youtubeshorts #youtube#2024 #shorts #cricket #easports</t>
  </si>
  <si>
    <t xml:space="preserve">hDjkIVWNP94</t>
  </si>
  <si>
    <t xml:space="preserve">marvel contest of champions#mcoc#kabam#shorts</t>
  </si>
  <si>
    <t xml:space="preserve">CODppQdEyEA</t>
  </si>
  <si>
    <t xml:space="preserve">Was it OUT Or NOT OUT 🤔</t>
  </si>
  <si>
    <t xml:space="preserve">uQQAxwp5DIA</t>
  </si>
  <si>
    <t xml:space="preserve">smash hit#shorts#ytshorts#yt20#yt20shorts#valve#2023#counterstrike2#minecraft#csgo#kabam#mcoc</t>
  </si>
  <si>
    <t xml:space="preserve">SxnUx7lDb7s</t>
  </si>
  <si>
    <t xml:space="preserve">Smash Hit 100% Skill or Luck? Crazy Level!</t>
  </si>
  <si>
    <t xml:space="preserve">h8FFKUmiNAc</t>
  </si>
  <si>
    <t xml:space="preserve">smash hit#smashhit#mediocre#yt20#shorts#2022inshort</t>
  </si>
  <si>
    <t xml:space="preserve">ukocplLF07g</t>
  </si>
  <si>
    <t xml:space="preserve">l5bsL_B8qN0</t>
  </si>
  <si>
    <t xml:space="preserve">smash hit#smashhit #shorts #mediocre #2022inshort #yt20 #2023 #yt20shorts #kabam #mcoc #valve</t>
  </si>
  <si>
    <t xml:space="preserve">A1bChjJnc3E</t>
  </si>
  <si>
    <t xml:space="preserve">marvel contest of champions#mcoc#kabam#shorts#2022inshort#yt20#yt20#hulkbuster</t>
  </si>
  <si>
    <t xml:space="preserve">X1vHJ-CBLzM</t>
  </si>
  <si>
    <t xml:space="preserve">Marvel contest of champions#mcoc#kabam #2023 #yt20#valve#shorts#ytshorts#yt20#yt20shorts</t>
  </si>
  <si>
    <t xml:space="preserve">yIyFoksyNes</t>
  </si>
  <si>
    <t xml:space="preserve">smash hit#shorts#ytshorts#yt20#yt20shorts#valve#minecraft#smashhit#mediocre#2023#mcoc #csgo</t>
  </si>
  <si>
    <t xml:space="preserve">VRz3XMQVRiM</t>
  </si>
  <si>
    <t xml:space="preserve">ckIiJzpvcaE</t>
  </si>
  <si>
    <t xml:space="preserve">When EA Umpires Lose Their Mind 😂💀</t>
  </si>
  <si>
    <t xml:space="preserve">yPgxxdDKlHc</t>
  </si>
  <si>
    <t xml:space="preserve">I Played a "Belter" Pitch and This Happened... (Cricket 07 2020 IC patch Gameplay)</t>
  </si>
  <si>
    <t xml:space="preserve">GAKo_CXCN7c</t>
  </si>
  <si>
    <t xml:space="preserve">“Worst LBW Decision Ever?#shorts #cricket #ytshorts #easports #cricket07 #gaming #minecraft</t>
  </si>
  <si>
    <t xml:space="preserve">AvnPqs2bKwU</t>
  </si>
  <si>
    <t xml:space="preserve">smash hit #shorts #mediocre #smashhit #2022inshort #yt20 #2023 #yt20shorts #kabam #mcoc #valve</t>
  </si>
  <si>
    <t xml:space="preserve">20a0y2jclEY</t>
  </si>
  <si>
    <t xml:space="preserve">smash hit #shorts #mediocre #smashhit #2022inshort #yt20 #2023 #yt20shorts #kabam #mcoc</t>
  </si>
  <si>
    <t xml:space="preserve">KAOHEFhUeN4</t>
  </si>
  <si>
    <t xml:space="preserve">That's out for sure for sure💯</t>
  </si>
  <si>
    <t xml:space="preserve">UwBZtx9ol1M</t>
  </si>
  <si>
    <t xml:space="preserve">OUT OR NOTOUT??#youtubeshorts #youtube#2024 #shorts #cricket #easports #ytshorts #minecraft</t>
  </si>
  <si>
    <t xml:space="preserve">-J6f72chzzc</t>
  </si>
  <si>
    <t xml:space="preserve">EA Cricket 07 Gameplay#2023  #youtubeshorts#gaming#videogames#ytshorts#Patch#easports#youtube</t>
  </si>
  <si>
    <t xml:space="preserve">JqvTo8bbit8</t>
  </si>
  <si>
    <t xml:space="preserve">Smash Hit Gameplay#smashhit#mediocre#2023#2024#gaming#videogame#minecraft#counterstrike #yt#youtube</t>
  </si>
  <si>
    <t xml:space="preserve">D0gY6BsPb7A</t>
  </si>
  <si>
    <t xml:space="preserve">CLEAR OUT... But Given NOT OUT 😭</t>
  </si>
  <si>
    <t xml:space="preserve">rejiK9lAgT0</t>
  </si>
  <si>
    <t xml:space="preserve">Umpire Was Blind or What? 😂</t>
  </si>
  <si>
    <t xml:space="preserve">aBAa8G_OpME</t>
  </si>
  <si>
    <t xml:space="preserve">AMAEZING CATCH BY THE FIELDER#youtubeshorts #youtube#2024 #shorts #cricket #easports #ytshorts</t>
  </si>
  <si>
    <t xml:space="preserve">Fe4BxpW8tGQ</t>
  </si>
  <si>
    <t xml:space="preserve">A DOUBLE HAT-TRICK</t>
  </si>
  <si>
    <t xml:space="preserve">8EArb0adq_E</t>
  </si>
  <si>
    <t xml:space="preserve">out or not out#shorts #ipl#cricket #easports</t>
  </si>
  <si>
    <t xml:space="preserve">W-2vgakHtBA</t>
  </si>
  <si>
    <t xml:space="preserve">Worst Umpiring Ever?! This Makes NO Sense 🤯</t>
  </si>
  <si>
    <t xml:space="preserve">wHJOUeaoW8o</t>
  </si>
  <si>
    <t xml:space="preserve">smash hit#shorts#ytshorts#yt20#yt20shorts#valve#2023#counterstrike2#minecraft#csgo#mcoc #gaming</t>
  </si>
  <si>
    <t xml:space="preserve">Ys_ZDyZxCRA</t>
  </si>
  <si>
    <t xml:space="preserve">OUT OR NOT OUT#youtube #youtubeshorts #shorts #ytshorts</t>
  </si>
  <si>
    <t xml:space="preserve">fm_19QwAMvc</t>
  </si>
  <si>
    <t xml:space="preserve">Plum LBW As F***ing Hell #2</t>
  </si>
  <si>
    <t xml:space="preserve">GMnEztKsx2w</t>
  </si>
  <si>
    <t xml:space="preserve">Umpire’s Call... And Everyone Lost It 😳 #shorts #minecraft #cricket #easports #nfl</t>
  </si>
  <si>
    <t xml:space="preserve">FjECTz6iBGU</t>
  </si>
  <si>
    <t xml:space="preserve">1n5WVTg2dZg</t>
  </si>
  <si>
    <t xml:space="preserve">First ball of the match😭😭</t>
  </si>
  <si>
    <t xml:space="preserve">tgYdpE5Lnlo</t>
  </si>
  <si>
    <t xml:space="preserve">EA Cricket 07 Gameplay#2023 #gaming#videogames#patch #easports #cricketworldcup2023 #indvsnz #cwc23</t>
  </si>
  <si>
    <t xml:space="preserve">h8pkGF0LksA</t>
  </si>
  <si>
    <t xml:space="preserve">Was That Really Out?  #shorts  #cricket #sports#minecraft #easports #cricket07  #gaming #nfl</t>
  </si>
  <si>
    <t xml:space="preserve">csFz9h-MAbQ</t>
  </si>
  <si>
    <t xml:space="preserve">NOT OUT As F***ing Hell #1</t>
  </si>
  <si>
    <t xml:space="preserve">nC1xaNta2Kg</t>
  </si>
  <si>
    <t xml:space="preserve">EA Cricket but in 2x Speed ⚡</t>
  </si>
  <si>
    <t xml:space="preserve">50HvTx46xIk</t>
  </si>
  <si>
    <t xml:space="preserve">BRILLIANT CATCH BY FIELDER IN SQUARE LEG</t>
  </si>
  <si>
    <t xml:space="preserve">i3faz37FJYk</t>
  </si>
  <si>
    <t xml:space="preserve">No clue whether it was out or not out?🤔</t>
  </si>
  <si>
    <t xml:space="preserve">9YoTDB33KBA</t>
  </si>
  <si>
    <t xml:space="preserve">I just want your attention MOFOS😅!</t>
  </si>
  <si>
    <t xml:space="preserve">JoqXwqybq6s</t>
  </si>
  <si>
    <t xml:space="preserve">November 5, 2025</t>
  </si>
  <si>
    <t xml:space="preserve">jMDByBDlfg4</t>
  </si>
  <si>
    <t xml:space="preserve">Worst LBW Decision Ever 😭 #shorts #cricket07 #easports #cricket #sports #gaming</t>
  </si>
  <si>
    <t xml:space="preserve">I0VmUmyhn74</t>
  </si>
  <si>
    <t xml:space="preserve">How's the view😎?</t>
  </si>
  <si>
    <t xml:space="preserve">TOTAL / AVERAGE (videos listed)</t>
  </si>
  <si>
    <t xml:space="preserve">Note: YouTube's channel total is 29,044 views / 51 subscribers. The listed videos add up to less because the channel total also counts deleted/private videos and subscribers gained from your channel page rather than from a specific video.</t>
  </si>
  <si>
    <t xml:space="preserve">Research: The 2026 Landscape (Gaming, AI, Creator Economy)</t>
  </si>
  <si>
    <t xml:space="preserve">What is true on YouTube right now, what it means for you, and where it came from. Researched October 2026. Vendor/blog stats are marked "indicative".</t>
  </si>
  <si>
    <t xml:space="preserve">Finding</t>
  </si>
  <si>
    <t xml:space="preserve">What it means for YOUR new channel</t>
  </si>
  <si>
    <t xml:space="preserve">Confidence</t>
  </si>
  <si>
    <t xml:space="preserve">Source</t>
  </si>
  <si>
    <t xml:space="preserve">Shorts algorithm</t>
  </si>
  <si>
    <t xml:space="preserve">Since Mar 2025 a Shorts "view" counts the moment it starts playing or replays. The old metric is now "engaged views", and payouts use engaged views. Reports say all formats switch to play-start counting from 24 Aug 2026.</t>
  </si>
  <si>
    <t xml:space="preserve">Raw view counts are inflated, so judge Shorts on engaged views, "viewed vs swiped away" and avg % watched, not raw views. Your 3–5 second clips may look better on raw views than they really perform.</t>
  </si>
  <si>
    <t xml:space="preserve">High (YouTube-confirmed change; Aug 2026 date from secondary press)</t>
  </si>
  <si>
    <t xml:space="preserve">gigazine.net/gsc_news/en/20260818-youtube-count-public-view ; subsub.io/blog/how-does-youtube-count-views</t>
  </si>
  <si>
    <t xml:space="preserve">Creator testing points to "viewed vs swiped away" in the first ~1–2 seconds as the main Shorts signal. Distribution expands in audience waves while engagement holds, and a Short can resurface weeks later.</t>
  </si>
  <si>
    <t xml:space="preserve">Your first frame is your thumbnail. Open on the most shocking frame (the bad umpire decision), not on a run-up. Track swipe-away % on every Short.</t>
  </si>
  <si>
    <t xml:space="preserve">Medium (creator testing, not official)</t>
  </si>
  <si>
    <t xml:space="preserve">outlierkit.com/resources/youtube-shorts-algorithm ; aituber.app/blog/youtube-shorts-algorithm-explained</t>
  </si>
  <si>
    <t xml:space="preserve">Recommendations</t>
  </si>
  <si>
    <t xml:space="preserve">Recommendations increasingly weigh viewer satisfaction (surveys, likes, return visits, and flat retention curves), not just raw watch time.</t>
  </si>
  <si>
    <t xml:space="preserve">Clickbait that disappoints hurts you. Make the title promise and deliver it fast. Series that bring viewers back are rewarded.</t>
  </si>
  <si>
    <t xml:space="preserve">Medium</t>
  </si>
  <si>
    <t xml:space="preserve">gyre.pro/blog/youtube-gaming-channel-ways-to-increase-the-number-of-subscribers-in</t>
  </si>
  <si>
    <t xml:space="preserve">CTR benchmarks</t>
  </si>
  <si>
    <t xml:space="preserve">Typical YouTube CTR is 4–6%. 5–10% is strong and 10%+ is excellent. Gaming averages around 8.5% (the highest niche). CTR naturally falls as impressions grow.</t>
  </si>
  <si>
    <t xml:space="preserve">Your channel CTR of 5.44% is average and below the gaming norm. Your hit did 8.3% at 91K impressions, so that is your bar. Target 7%+ on long-form.</t>
  </si>
  <si>
    <t xml:space="preserve">Indicative (blog benchmarks)</t>
  </si>
  <si>
    <t xml:space="preserve">focus-digital.co/average-youtube-ctr-organic-paid-benchmarks-2026 ; subsub.io/blog/youtube-ctr-what-is-a-good-click-through-rate</t>
  </si>
  <si>
    <t xml:space="preserve">Shorts + long-form</t>
  </si>
  <si>
    <t xml:space="preserve">Metricool 2026: channels posting ~5 Shorts/month got 8,789 avg views per long-form video vs 4,364 for channels with no Shorts. The lift disappears at 35+ Shorts/month.</t>
  </si>
  <si>
    <t xml:space="preserve">Hybrid is optimal: about 1 Short per day at most, with long-form as the core. Spamming Shorts does not help your long-form.</t>
  </si>
  <si>
    <t xml:space="preserve">Medium-High (large dataset)</t>
  </si>
  <si>
    <t xml:space="preserve">air.io/en/audience-growth/do-youtube-shorts-help-your-long-form-videos-grow-data-from-18000-channels</t>
  </si>
  <si>
    <t xml:space="preserve">Subscriber conversion</t>
  </si>
  <si>
    <t xml:space="preserve">Long-form converted about 22.7 subs per 10K views vs 16.9 for Shorts (Paddy Galloway analysis). Shorts subscribers watch less long-form.</t>
  </si>
  <si>
    <t xml:space="preserve">Your channel converted about 17.6 subs per 10K views, right at the Shorts benchmark. To build a real audience, long-form and series content is the subscriber engine.</t>
  </si>
  <si>
    <t xml:space="preserve">Medium (2023 data)</t>
  </si>
  <si>
    <t xml:space="preserve">Monetization</t>
  </si>
  <si>
    <t xml:space="preserve">YPP today: 500 subs plus 3K watch hours or 3M Shorts views for Tier 1 (fan funding and Shopping). Full ads need 1,000 subs plus 4,000 watch hours or 10M Shorts views. From 1 Feb 2027 new creators need 1,000 subs plus 8,000 long-form watch hours or 20M Shorts views in 90 days.</t>
  </si>
  <si>
    <t xml:space="preserve">At your old pace (~84 watch hours in 4 years) monetization is out of reach. The 2027 rules reward long-form watch time, so build long-form from day one.</t>
  </si>
  <si>
    <t xml:space="preserve">High (multiple guides; verify on YouTube's YPP page)</t>
  </si>
  <si>
    <t xml:space="preserve">vidiq.com/blog/post/monetize-youtube-guide ; air.io/en/monetization/youtube-partner-program-requirements-2026-the-complete-guide</t>
  </si>
  <si>
    <t xml:space="preserve">AI policy</t>
  </si>
  <si>
    <t xml:space="preserve">YouTube's "inauthentic content" policy (Jul 2025, clarified Jul 2026) demonetizes mass-produced, template-based or low-effort AI content. AI as a tool is fine.</t>
  </si>
  <si>
    <t xml:space="preserve">Use AI to speed up editing, ideas, captions and thumbnails, but keep YOUR voice, commentary and judgment in every video. Faceless templated AI channels are the ones being cut.</t>
  </si>
  <si>
    <t xml:space="preserve">High (TechCrunch, YouTube policy)</t>
  </si>
  <si>
    <t xml:space="preserve">techcrunch.com/2026/07/20/youtube-clarifies-policies-around-ai-slop-and-upsetting-videos ; vidiq.com/blog/post/youtube-ai-monetization</t>
  </si>
  <si>
    <t xml:space="preserve">AI tools</t>
  </si>
  <si>
    <t xml:space="preserve">YouTube's own Veo-powered tools (Reimagine for Shorts, YouTube Create) generate vertical clips. Opus Clip, CapCut and Vozo turn long videos into Shorts with captions. Canva, Midjourney and Nano Banana make thumbnails.</t>
  </si>
  <si>
    <t xml:space="preserve">A one-person channel can now run a long-form → 3–5 Shorts pipeline. Record one gameplay session, edit one long video, then let AI cut the Shorts and draft 3 thumbnail variants.</t>
  </si>
  <si>
    <t xml:space="preserve">Medium (vendor sources)</t>
  </si>
  <si>
    <t xml:space="preserve">air.io/en/ai-tools/8-ai-tools-to-automate-youtube-growth-in-2026 ; vozo.ai/blogs/youtube/ai-tools-youtube-creators</t>
  </si>
  <si>
    <t xml:space="preserve">AI x gaming</t>
  </si>
  <si>
    <t xml:space="preserve">Generative-AI NPCs (LLM dialogue plus character engines) are arriving in mainstream games, and NVIDIA, Microsoft, Ubisoft and Epic are investing in AI NPCs.</t>
  </si>
  <si>
    <t xml:space="preserve">A fresh content angle: "I tried to break the AI umpire/NPC", AI vs human challenges, and testing new AI features in games. Novelty plus a challenge format suits both Shorts and long-form.</t>
  </si>
  <si>
    <t xml:space="preserve">Medium (industry reports, partly speculative)</t>
  </si>
  <si>
    <t xml:space="preserve">unite.ai/beyond-scripts-the-future-of-video-game-npcs-with-generative-ai ; researchandmarkets.com/reports/6226388</t>
  </si>
  <si>
    <t xml:space="preserve">Gaming market</t>
  </si>
  <si>
    <t xml:space="preserve">YouTube Gaming is gaining share vs Twitch (one Q1 2026 estimate is +15%). Growing gaming channels run Shorts alongside long-form, and multi-platform posting (YouTube + TikTok + Kick) is common.</t>
  </si>
  <si>
    <t xml:space="preserve">YouTube is the right home base. Re-post your best Shorts to TikTok and Instagram Reels for extra reach at no extra recording cost.</t>
  </si>
  <si>
    <t xml:space="preserve">Indicative (single industry estimate)</t>
  </si>
  <si>
    <t xml:space="preserve">tribality.com/articles/youtube-gaming-captures-15-percent-more-market-share-from-twitch-in-q1-2026</t>
  </si>
  <si>
    <t xml:space="preserve">Cricket gaming</t>
  </si>
  <si>
    <t xml:space="preserve">Cricket 26 (Big Ant/Nacon) launched 19 Nov 2025 as the official Ashes game (Metacritic 64), and an Indian edition targets the huge Indian audience. India has ~840 cricket YouTubers and ~6,200 gaming YouTubers, but very few specialise in cricket games.</t>
  </si>
  <si>
    <t xml:space="preserve">Cricket gaming is underserved: lots of cricket fans, few dedicated cricket-gaming creators. Cover Cricket 26 and current games alongside nostalgic EA Cricket 07, and time content to real matches (IPL, World Cups, Ashes).</t>
  </si>
  <si>
    <t xml:space="preserve">en.wikipedia.org/wiki/Cricket_26 ; respawn.outlookindia.com (Cricket 26 Indian Edition) ; modash.io/find-influencers/youtube/india/cricket</t>
  </si>
  <si>
    <t xml:space="preserve">Titles &amp; hashtags</t>
  </si>
  <si>
    <t xml:space="preserve">Best practice is 3–5 relevant hashtags, mostly in the description (the first 3 show above the title). Over-tagging (15+) gets all of them ignored and looks spammy.</t>
  </si>
  <si>
    <t xml:space="preserve">Your data agrees: hashtag-stuffed titles were your weakest group. Titles are for humans, hashtags go in the description.</t>
  </si>
  <si>
    <t xml:space="preserve">Medium (consistent across sources)</t>
  </si>
  <si>
    <t xml:space="preserve">hashtagtools.io/blog/youtube-shorts-hashtags-title-vs-description-2026 ; tubecore.xpanddigital.io/blog/youtube-hashtags-guide</t>
  </si>
  <si>
    <t xml:space="preserve">Trends</t>
  </si>
  <si>
    <t xml:space="preserve">Return of long-form, series formats, creator-led challenges and "gaming worlds" are holding attention in 2026. VR and AI integration are emerging gaming themes.</t>
  </si>
  <si>
    <t xml:space="preserve">Build recurring series with a name and episode number ("Worst Umpire Decisions #12", "AI vs Me Ep. 3"). Series give viewers a reason to subscribe.</t>
  </si>
  <si>
    <t xml:space="preserve">Indicative</t>
  </si>
  <si>
    <t xml:space="preserve">vidiq.com/blog (2026 trends) ; blog.mean.ceo (Sep 2026 trends)</t>
  </si>
  <si>
    <t xml:space="preserve">What This Export Did NOT Include (and How to Get It)</t>
  </si>
  <si>
    <t xml:space="preserve">I could not log into your YouTube Studio, so this analysis uses the export you shared. These metrics were missing; here is how to add them.</t>
  </si>
  <si>
    <t xml:space="preserve">Missing metric</t>
  </si>
  <si>
    <t xml:space="preserve">Why it matters</t>
  </si>
  <si>
    <t xml:space="preserve">How to export it from YouTube Studio</t>
  </si>
  <si>
    <t xml:space="preserve">Comments, likes, shares</t>
  </si>
  <si>
    <t xml:space="preserve">Engagement signals; tells you which videos sparked conversation (your outrage titles probably did).</t>
  </si>
  <si>
    <t xml:space="preserve">Studio → Analytics → Advanced mode → Content tab → column picker → add Comments added, Likes, Shares. Export → Google Sheets.</t>
  </si>
  <si>
    <t xml:space="preserve">Average % viewed &amp; retention curve</t>
  </si>
  <si>
    <t xml:space="preserve">The #1 Shorts quality signal. Shows exactly where people drop off.</t>
  </si>
  <si>
    <t xml:space="preserve">Advanced mode → add "Average percentage viewed" and "Average view duration". Per video: Analytics → Engagement → Audience retention.</t>
  </si>
  <si>
    <t xml:space="preserve">Viewed vs swiped away (Shorts)</t>
  </si>
  <si>
    <t xml:space="preserve">The main Shorts ranking signal per 2026 creator testing.</t>
  </si>
  <si>
    <t xml:space="preserve">Open any Short → Analytics → Engagement → "Viewed vs swiped away".</t>
  </si>
  <si>
    <t xml:space="preserve">Engaged views</t>
  </si>
  <si>
    <t xml:space="preserve">Since 2025, raw Shorts views count every play. Engaged views are the "real" number and drive payouts.</t>
  </si>
  <si>
    <t xml:space="preserve">Advanced mode → add "Engaged views".</t>
  </si>
  <si>
    <t xml:space="preserve">Traffic sources</t>
  </si>
  <si>
    <t xml:space="preserve">Shows whether views came from Shorts feed, Browse, Suggested or Search, i.e. why something worked.</t>
  </si>
  <si>
    <t xml:space="preserve">Advanced mode → "Traffic source" tab → Export.</t>
  </si>
  <si>
    <t xml:space="preserve">Audience: country, age, device, returning vs new viewers</t>
  </si>
  <si>
    <t xml:space="preserve">Tells you who you are making videos for (likely India and Pakistan for cricket) and the best time to post.</t>
  </si>
  <si>
    <t xml:space="preserve">Advanced mode → Geography / Age / Gender / Viewer type tabs. Audience tab → "When your viewers are on YouTube".</t>
  </si>
  <si>
    <t xml:space="preserve">Search terms</t>
  </si>
  <si>
    <t xml:space="preserve">Free title ideas; shows what people typed to find you.</t>
  </si>
  <si>
    <t xml:space="preserve">Advanced mode → Traffic source: YouTube search → expand.</t>
  </si>
  <si>
    <t xml:space="preserve">Tip: export these each month, paste them into new columns on the Video Data tab, and the whole workbook stays your living dashboard. Share the sheet with "Anyone with the link" (as you did) and I can rebuild this analysis with the richer data.</t>
  </si>
  <si>
    <t xml:space="preserve">Daily Channel Views (raw)</t>
  </si>
  <si>
    <t xml:space="preserve">Every day from Jul 2021 to Oct 2026, straight from your YouTube export ("Totals" tab). Feeds the Timeline tab.</t>
  </si>
  <si>
    <t xml:space="preserve">Date</t>
  </si>
</sst>
</file>

<file path=xl/styles.xml><?xml version="1.0" encoding="utf-8"?>
<styleSheet xmlns="http://schemas.openxmlformats.org/spreadsheetml/2006/main">
  <numFmts count="11">
    <numFmt numFmtId="164" formatCode="General"/>
    <numFmt numFmtId="165" formatCode="#,##0"/>
    <numFmt numFmtId="166" formatCode="0.00%"/>
    <numFmt numFmtId="167" formatCode="#,##0.0"/>
    <numFmt numFmtId="168" formatCode="0.00"/>
    <numFmt numFmtId="169" formatCode="0.0"/>
    <numFmt numFmtId="170" formatCode="0"/>
    <numFmt numFmtId="171" formatCode="0%"/>
    <numFmt numFmtId="172" formatCode="0.0%"/>
    <numFmt numFmtId="173" formatCode="mmm\ yyyy"/>
    <numFmt numFmtId="174" formatCode="dd\-mmm\-yyyy"/>
  </numFmts>
  <fonts count="32">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0"/>
      <color rgb="FF595959"/>
      <name val="Arial"/>
      <family val="0"/>
      <charset val="1"/>
    </font>
    <font>
      <b val="true"/>
      <sz val="13"/>
      <color rgb="FF1F3864"/>
      <name val="Arial"/>
      <family val="0"/>
      <charset val="1"/>
    </font>
    <font>
      <b val="true"/>
      <sz val="10"/>
      <color rgb="FFFFFFFF"/>
      <name val="Arial"/>
      <family val="0"/>
      <charset val="1"/>
    </font>
    <font>
      <b val="true"/>
      <u val="single"/>
      <sz val="11"/>
      <color rgb="FF0563C1"/>
      <name val="Arial"/>
      <family val="0"/>
      <charset val="1"/>
    </font>
    <font>
      <sz val="10"/>
      <color rgb="FF000000"/>
      <name val="Arial"/>
      <family val="0"/>
      <charset val="1"/>
    </font>
    <font>
      <b val="true"/>
      <sz val="11"/>
      <color rgb="FF006100"/>
      <name val="Arial"/>
      <family val="0"/>
      <charset val="1"/>
    </font>
    <font>
      <b val="true"/>
      <sz val="11"/>
      <color rgb="FF7F6000"/>
      <name val="Arial"/>
      <family val="0"/>
      <charset val="1"/>
    </font>
    <font>
      <b val="true"/>
      <sz val="11"/>
      <color rgb="FF9C0006"/>
      <name val="Arial"/>
      <family val="0"/>
      <charset val="1"/>
    </font>
    <font>
      <b val="true"/>
      <sz val="11"/>
      <color rgb="FF1F4E79"/>
      <name val="Arial"/>
      <family val="0"/>
      <charset val="1"/>
    </font>
    <font>
      <b val="true"/>
      <sz val="11"/>
      <color rgb="FF0000FF"/>
      <name val="Arial"/>
      <family val="0"/>
      <charset val="1"/>
    </font>
    <font>
      <b val="true"/>
      <sz val="11"/>
      <color rgb="FFFFFFFF"/>
      <name val="Arial"/>
      <family val="0"/>
      <charset val="1"/>
    </font>
    <font>
      <b val="true"/>
      <sz val="10"/>
      <color rgb="FF000000"/>
      <name val="Arial"/>
      <family val="0"/>
      <charset val="1"/>
    </font>
    <font>
      <i val="true"/>
      <sz val="9"/>
      <color rgb="FF595959"/>
      <name val="Arial"/>
      <family val="0"/>
      <charset val="1"/>
    </font>
    <font>
      <b val="true"/>
      <sz val="12"/>
      <color rgb="FF0000FF"/>
      <name val="Arial"/>
      <family val="0"/>
      <charset val="1"/>
    </font>
    <font>
      <sz val="10"/>
      <color rgb="FF0000FF"/>
      <name val="Arial"/>
      <family val="0"/>
      <charset val="1"/>
    </font>
    <font>
      <b val="true"/>
      <sz val="12"/>
      <color rgb="FF1F3864"/>
      <name val="Arial"/>
      <family val="0"/>
      <charset val="1"/>
    </font>
    <font>
      <b val="true"/>
      <sz val="10"/>
      <color rgb="FF1F3864"/>
      <name val="Arial"/>
      <family val="0"/>
      <charset val="1"/>
    </font>
    <font>
      <b val="true"/>
      <sz val="11"/>
      <color rgb="FFC00000"/>
      <name val="Arial"/>
      <family val="0"/>
      <charset val="1"/>
    </font>
    <font>
      <sz val="10"/>
      <name val="Arial"/>
      <family val="2"/>
    </font>
    <font>
      <b val="true"/>
      <sz val="18"/>
      <color rgb="FF000000"/>
      <name val="Calibri"/>
      <family val="2"/>
    </font>
    <font>
      <sz val="10"/>
      <color rgb="FF000000"/>
      <name val="Calibri"/>
      <family val="2"/>
    </font>
    <font>
      <b val="true"/>
      <sz val="10"/>
      <color rgb="FF0000FF"/>
      <name val="Arial"/>
      <family val="0"/>
      <charset val="1"/>
    </font>
    <font>
      <b val="true"/>
      <sz val="10"/>
      <color rgb="FF000000"/>
      <name val="Calibri"/>
      <family val="2"/>
    </font>
    <font>
      <b val="true"/>
      <sz val="13"/>
      <color rgb="FF2E75B6"/>
      <name val="Arial"/>
      <family val="0"/>
      <charset val="1"/>
    </font>
    <font>
      <i val="true"/>
      <sz val="10"/>
      <color rgb="FF1F4E79"/>
      <name val="Arial"/>
      <family val="0"/>
      <charset val="1"/>
    </font>
    <font>
      <u val="single"/>
      <sz val="11"/>
      <color rgb="FF0563C1"/>
      <name val="Arial"/>
      <family val="0"/>
      <charset val="1"/>
    </font>
    <font>
      <sz val="9"/>
      <color rgb="FF0563C1"/>
      <name val="Arial"/>
      <family val="0"/>
      <charset val="1"/>
    </font>
  </fonts>
  <fills count="11">
    <fill>
      <patternFill patternType="none"/>
    </fill>
    <fill>
      <patternFill patternType="gray125"/>
    </fill>
    <fill>
      <patternFill patternType="solid">
        <fgColor rgb="FF1F3864"/>
        <bgColor rgb="FF1F4E79"/>
      </patternFill>
    </fill>
    <fill>
      <patternFill patternType="solid">
        <fgColor rgb="FFC6EFCE"/>
        <bgColor rgb="FFE2EFDA"/>
      </patternFill>
    </fill>
    <fill>
      <patternFill patternType="solid">
        <fgColor rgb="FFFFEB9C"/>
        <bgColor rgb="FFFFF2CC"/>
      </patternFill>
    </fill>
    <fill>
      <patternFill patternType="solid">
        <fgColor rgb="FFFFC7CE"/>
        <bgColor rgb="FFFCE4D6"/>
      </patternFill>
    </fill>
    <fill>
      <patternFill patternType="solid">
        <fgColor rgb="FFDDEBF7"/>
        <bgColor rgb="FFEAF1FB"/>
      </patternFill>
    </fill>
    <fill>
      <patternFill patternType="solid">
        <fgColor rgb="FFFFF2CC"/>
        <bgColor rgb="FFFCE4D6"/>
      </patternFill>
    </fill>
    <fill>
      <patternFill patternType="solid">
        <fgColor rgb="FF2E75B6"/>
        <bgColor rgb="FF4F81BD"/>
      </patternFill>
    </fill>
    <fill>
      <patternFill patternType="solid">
        <fgColor rgb="FFEAF1FB"/>
        <bgColor rgb="FFF2F2F2"/>
      </patternFill>
    </fill>
    <fill>
      <patternFill patternType="solid">
        <fgColor rgb="FFF2F2F2"/>
        <bgColor rgb="FFEAF1FB"/>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6" fontId="16" fillId="0" borderId="1" xfId="0" applyFont="true" applyBorder="true" applyAlignment="true" applyProtection="false">
      <alignment horizontal="general" vertical="center" textRotation="0" wrapText="false" indent="0" shrinkToFit="false"/>
      <protection locked="true" hidden="false"/>
    </xf>
    <xf numFmtId="166" fontId="19" fillId="0" borderId="1" xfId="0" applyFont="true" applyBorder="tru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7" fontId="18" fillId="0" borderId="1" xfId="0" applyFont="true" applyBorder="true" applyAlignment="true" applyProtection="false">
      <alignment horizontal="center" vertical="center" textRotation="0" wrapText="false" indent="0" shrinkToFit="false"/>
      <protection locked="true" hidden="false"/>
    </xf>
    <xf numFmtId="168" fontId="16" fillId="0" borderId="1" xfId="0" applyFont="true" applyBorder="true" applyAlignment="true" applyProtection="false">
      <alignment horizontal="general" vertical="center" textRotation="0" wrapText="false" indent="0" shrinkToFit="false"/>
      <protection locked="true" hidden="false"/>
    </xf>
    <xf numFmtId="168" fontId="19" fillId="0" borderId="1" xfId="0" applyFont="true" applyBorder="true" applyAlignment="true" applyProtection="false">
      <alignment horizontal="general" vertical="center" textRotation="0" wrapText="false" indent="0" shrinkToFit="false"/>
      <protection locked="true" hidden="false"/>
    </xf>
    <xf numFmtId="169" fontId="16" fillId="0" borderId="1" xfId="0" applyFont="true" applyBorder="true" applyAlignment="true" applyProtection="false">
      <alignment horizontal="general" vertical="center" textRotation="0" wrapText="false" indent="0" shrinkToFit="false"/>
      <protection locked="true" hidden="false"/>
    </xf>
    <xf numFmtId="169" fontId="19" fillId="0" borderId="1" xfId="0" applyFont="true" applyBorder="true" applyAlignment="true" applyProtection="false">
      <alignment horizontal="general" vertical="center" textRotation="0" wrapText="false" indent="0" shrinkToFit="false"/>
      <protection locked="true" hidden="false"/>
    </xf>
    <xf numFmtId="170" fontId="20" fillId="0" borderId="1" xfId="0" applyFont="true" applyBorder="true" applyAlignment="true" applyProtection="false">
      <alignment horizontal="center" vertical="center" textRotation="0" wrapText="false" indent="0" shrinkToFit="false"/>
      <protection locked="true" hidden="false"/>
    </xf>
    <xf numFmtId="171" fontId="16" fillId="0" borderId="1" xfId="0" applyFont="true" applyBorder="true" applyAlignment="true" applyProtection="false">
      <alignment horizontal="general" vertical="center" textRotation="0" wrapText="false" indent="0" shrinkToFit="false"/>
      <protection locked="true" hidden="false"/>
    </xf>
    <xf numFmtId="171" fontId="19" fillId="0" borderId="1" xfId="0" applyFont="true" applyBorder="true" applyAlignment="true" applyProtection="false">
      <alignment horizontal="general" vertical="center" textRotation="0" wrapText="false" indent="0" shrinkToFit="false"/>
      <protection locked="true" hidden="false"/>
    </xf>
    <xf numFmtId="170" fontId="16" fillId="0" borderId="1" xfId="0" applyFont="true" applyBorder="true" applyAlignment="true" applyProtection="false">
      <alignment horizontal="general" vertical="center" textRotation="0" wrapText="false" indent="0" shrinkToFit="false"/>
      <protection locked="true" hidden="false"/>
    </xf>
    <xf numFmtId="170" fontId="19" fillId="0" borderId="1" xfId="0" applyFont="true" applyBorder="true" applyAlignment="true" applyProtection="false">
      <alignment horizontal="general" vertical="center" textRotation="0" wrapText="fals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9" fontId="20" fillId="0" borderId="1" xfId="0" applyFont="true" applyBorder="true" applyAlignment="true" applyProtection="false">
      <alignment horizontal="center" vertical="center" textRotation="0" wrapText="false" indent="0" shrinkToFit="false"/>
      <protection locked="true" hidden="false"/>
    </xf>
    <xf numFmtId="172" fontId="20"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72" fontId="9" fillId="0" borderId="1" xfId="0" applyFont="true" applyBorder="true" applyAlignment="true" applyProtection="false">
      <alignment horizontal="general" vertical="center" textRotation="0" wrapText="false" indent="0" shrinkToFit="false"/>
      <protection locked="true" hidden="false"/>
    </xf>
    <xf numFmtId="164" fontId="21" fillId="9"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9" borderId="2" xfId="0" applyFont="true" applyBorder="true" applyAlignment="true" applyProtection="false">
      <alignment horizontal="general" vertical="center" textRotation="0" wrapText="true" indent="0" shrinkToFit="false"/>
      <protection locked="true" hidden="false"/>
    </xf>
    <xf numFmtId="164" fontId="16" fillId="0" borderId="2" xfId="0" applyFont="true" applyBorder="true" applyAlignment="true" applyProtection="false">
      <alignment horizontal="general" vertical="center" textRotation="0" wrapText="false" indent="0" shrinkToFit="false"/>
      <protection locked="true" hidden="false"/>
    </xf>
    <xf numFmtId="172" fontId="26" fillId="7" borderId="1" xfId="0" applyFont="true" applyBorder="true" applyAlignment="true" applyProtection="false">
      <alignment horizontal="general" vertical="center" textRotation="0" wrapText="false" indent="0" shrinkToFit="false"/>
      <protection locked="true" hidden="false"/>
    </xf>
    <xf numFmtId="169" fontId="9" fillId="0" borderId="1" xfId="0" applyFont="true" applyBorder="true" applyAlignment="true" applyProtection="false">
      <alignment horizontal="general" vertical="center" textRotation="0" wrapText="false" indent="0" shrinkToFit="false"/>
      <protection locked="true" hidden="false"/>
    </xf>
    <xf numFmtId="169" fontId="26" fillId="7" borderId="1" xfId="0" applyFont="true" applyBorder="true" applyAlignment="true" applyProtection="false">
      <alignment horizontal="general" vertical="center" textRotation="0" wrapText="false" indent="0" shrinkToFit="false"/>
      <protection locked="true" hidden="false"/>
    </xf>
    <xf numFmtId="165" fontId="26" fillId="7" borderId="1" xfId="0" applyFont="true" applyBorder="true" applyAlignment="true" applyProtection="false">
      <alignment horizontal="general" vertical="center" textRotation="0" wrapText="false" indent="0" shrinkToFit="false"/>
      <protection locked="true" hidden="false"/>
    </xf>
    <xf numFmtId="171" fontId="9" fillId="0" borderId="1" xfId="0" applyFont="true" applyBorder="true" applyAlignment="true" applyProtection="false">
      <alignment horizontal="general" vertical="center" textRotation="0" wrapText="false" indent="0" shrinkToFit="false"/>
      <protection locked="true" hidden="false"/>
    </xf>
    <xf numFmtId="171" fontId="26" fillId="7" borderId="1"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center" textRotation="0" wrapText="false" indent="0" shrinkToFit="false"/>
      <protection locked="true" hidden="false"/>
    </xf>
    <xf numFmtId="166" fontId="9" fillId="0" borderId="1" xfId="0" applyFont="true" applyBorder="true" applyAlignment="true" applyProtection="false">
      <alignment horizontal="general" vertical="center" textRotation="0" wrapText="false" indent="0" shrinkToFit="false"/>
      <protection locked="true" hidden="false"/>
    </xf>
    <xf numFmtId="170" fontId="16" fillId="9" borderId="1" xfId="0" applyFont="true" applyBorder="true" applyAlignment="true" applyProtection="false">
      <alignment horizontal="general" vertical="center" textRotation="0" wrapText="false" indent="0" shrinkToFit="false"/>
      <protection locked="true" hidden="false"/>
    </xf>
    <xf numFmtId="165" fontId="16" fillId="9" borderId="1" xfId="0" applyFont="true" applyBorder="true" applyAlignment="true" applyProtection="false">
      <alignment horizontal="general" vertical="center" textRotation="0" wrapText="false" indent="0" shrinkToFit="false"/>
      <protection locked="true" hidden="false"/>
    </xf>
    <xf numFmtId="172" fontId="16" fillId="9" borderId="1" xfId="0" applyFont="true" applyBorder="true" applyAlignment="true" applyProtection="false">
      <alignment horizontal="general" vertical="center" textRotation="0" wrapText="false" indent="0" shrinkToFit="false"/>
      <protection locked="true" hidden="false"/>
    </xf>
    <xf numFmtId="169" fontId="16" fillId="9" borderId="1" xfId="0" applyFont="true" applyBorder="true" applyAlignment="true" applyProtection="false">
      <alignment horizontal="general" vertical="center" textRotation="0" wrapText="false" indent="0" shrinkToFit="false"/>
      <protection locked="true" hidden="false"/>
    </xf>
    <xf numFmtId="168" fontId="16" fillId="9" borderId="1" xfId="0" applyFont="true" applyBorder="true" applyAlignment="true" applyProtection="false">
      <alignment horizontal="general" vertical="center" textRotation="0" wrapText="false" indent="0" shrinkToFit="false"/>
      <protection locked="true" hidden="false"/>
    </xf>
    <xf numFmtId="166" fontId="16" fillId="9" borderId="1" xfId="0" applyFont="true" applyBorder="true" applyAlignment="true" applyProtection="false">
      <alignment horizontal="general" vertical="center"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general" vertical="center" textRotation="0" wrapText="false" indent="0" shrinkToFit="false"/>
      <protection locked="true" hidden="false"/>
    </xf>
    <xf numFmtId="174" fontId="9" fillId="0" borderId="1" xfId="0" applyFont="true" applyBorder="true" applyAlignment="true" applyProtection="false">
      <alignment horizontal="general"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30" fillId="0" borderId="1" xfId="0" applyFont="true" applyBorder="true" applyAlignment="true" applyProtection="false">
      <alignment horizontal="general" vertical="center" textRotation="0" wrapText="false" indent="0" shrinkToFit="false"/>
      <protection locked="true" hidden="false"/>
    </xf>
    <xf numFmtId="164" fontId="9" fillId="10" borderId="1" xfId="0" applyFont="true" applyBorder="true" applyAlignment="true" applyProtection="false">
      <alignment horizontal="general" vertical="center" textRotation="0" wrapText="false" indent="0" shrinkToFit="false"/>
      <protection locked="true" hidden="false"/>
    </xf>
    <xf numFmtId="174" fontId="9" fillId="10" borderId="1" xfId="0" applyFont="true" applyBorder="true" applyAlignment="true" applyProtection="false">
      <alignment horizontal="general" vertical="center" textRotation="0" wrapText="false" indent="0" shrinkToFit="false"/>
      <protection locked="true" hidden="false"/>
    </xf>
    <xf numFmtId="170" fontId="9" fillId="10" borderId="1" xfId="0" applyFont="true" applyBorder="true" applyAlignment="true" applyProtection="false">
      <alignment horizontal="general" vertical="center" textRotation="0" wrapText="false" indent="0" shrinkToFit="false"/>
      <protection locked="true" hidden="false"/>
    </xf>
    <xf numFmtId="165" fontId="9" fillId="10" borderId="1" xfId="0" applyFont="true" applyBorder="true" applyAlignment="true" applyProtection="false">
      <alignment horizontal="general" vertical="center" textRotation="0" wrapText="false" indent="0" shrinkToFit="false"/>
      <protection locked="true" hidden="false"/>
    </xf>
    <xf numFmtId="168" fontId="9" fillId="10" borderId="1" xfId="0" applyFont="true" applyBorder="true" applyAlignment="true" applyProtection="false">
      <alignment horizontal="general" vertical="center" textRotation="0" wrapText="false" indent="0" shrinkToFit="false"/>
      <protection locked="true" hidden="false"/>
    </xf>
    <xf numFmtId="169" fontId="9" fillId="10" borderId="1" xfId="0" applyFont="true" applyBorder="true" applyAlignment="true" applyProtection="false">
      <alignment horizontal="general" vertical="center" textRotation="0" wrapText="false" indent="0" shrinkToFit="false"/>
      <protection locked="true" hidden="false"/>
    </xf>
    <xf numFmtId="171" fontId="9" fillId="10" borderId="1" xfId="0" applyFont="true" applyBorder="true" applyAlignment="true" applyProtection="false">
      <alignment horizontal="general" vertical="center" textRotation="0" wrapText="false" indent="0" shrinkToFit="false"/>
      <protection locked="true" hidden="false"/>
    </xf>
    <xf numFmtId="166" fontId="9" fillId="10" borderId="1" xfId="0" applyFont="true" applyBorder="true" applyAlignment="true" applyProtection="false">
      <alignment horizontal="general" vertical="center" textRotation="0" wrapText="false" indent="0" shrinkToFit="false"/>
      <protection locked="true" hidden="false"/>
    </xf>
    <xf numFmtId="164" fontId="30" fillId="10" borderId="1" xfId="0" applyFont="true" applyBorder="true" applyAlignment="true" applyProtection="false">
      <alignment horizontal="general" vertical="center" textRotation="0" wrapText="false" indent="0" shrinkToFit="false"/>
      <protection locked="true" hidden="false"/>
    </xf>
    <xf numFmtId="171" fontId="16" fillId="9" borderId="1"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center" textRotation="0" wrapText="tru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4">
    <dxf>
      <font>
        <name val="Arial"/>
        <charset val="1"/>
        <family val="0"/>
        <b val="1"/>
        <color rgb="FF006100"/>
      </font>
      <fill>
        <patternFill>
          <bgColor rgb="FFC6EFCE"/>
        </patternFill>
      </fill>
    </dxf>
    <dxf>
      <font>
        <name val="Arial"/>
        <charset val="1"/>
        <family val="0"/>
        <b val="1"/>
        <color rgb="FF7F6000"/>
      </font>
      <fill>
        <patternFill>
          <bgColor rgb="FFFFEB9C"/>
        </patternFill>
      </fill>
    </dxf>
    <dxf>
      <font>
        <name val="Arial"/>
        <charset val="1"/>
        <family val="0"/>
        <b val="1"/>
        <color rgb="FF9C0006"/>
      </font>
      <fill>
        <patternFill>
          <bgColor rgb="FFFFC7CE"/>
        </patternFill>
      </fill>
    </dxf>
    <dxf>
      <font>
        <name val="Arial"/>
        <charset val="1"/>
        <family val="0"/>
        <b val="1"/>
        <color rgb="FFFFFFFF"/>
      </font>
      <fill>
        <patternFill>
          <bgColor rgb="FFC00000"/>
        </patternFill>
      </fill>
    </dxf>
    <dxf>
      <font>
        <name val="Arial"/>
        <charset val="1"/>
        <family val="0"/>
        <b val="1"/>
        <color rgb="FFFFFFFF"/>
      </font>
      <fill>
        <patternFill>
          <bgColor rgb="FFED7D31"/>
        </patternFill>
      </fill>
    </dxf>
    <dxf>
      <font>
        <name val="Arial"/>
        <charset val="1"/>
        <family val="0"/>
        <b val="1"/>
        <color rgb="FF000000"/>
      </font>
      <fill>
        <patternFill>
          <bgColor rgb="FFFFC000"/>
        </patternFill>
      </fill>
    </dxf>
    <dxf>
      <font>
        <name val="Arial"/>
        <charset val="1"/>
        <family val="0"/>
        <b val="1"/>
        <color rgb="FF595959"/>
      </font>
      <fill>
        <patternFill>
          <bgColor rgb="FFF2F2F2"/>
        </patternFill>
      </fill>
    </dxf>
    <dxf>
      <font>
        <name val="Arial"/>
        <charset val="1"/>
        <family val="0"/>
        <b val="1"/>
        <color rgb="FF1F4E79"/>
      </font>
      <fill>
        <patternFill>
          <bgColor rgb="FFDDEBF7"/>
        </patternFill>
      </fill>
    </dxf>
    <dxf>
      <font>
        <name val="Arial"/>
        <charset val="1"/>
        <family val="0"/>
        <color rgb="FFBFBFBF"/>
      </font>
    </dxf>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E2EFDA"/>
          <bgColor rgb="FF000000"/>
        </patternFill>
      </fill>
    </dxf>
    <dxf>
      <fill>
        <patternFill patternType="solid">
          <fgColor rgb="FF375623"/>
          <bgColor rgb="FF000000"/>
        </patternFill>
      </fill>
    </dxf>
    <dxf>
      <fill>
        <patternFill patternType="solid">
          <fgColor rgb="FF63BE7B"/>
          <bgColor rgb="FF000000"/>
        </patternFill>
      </fill>
    </dxf>
    <dxf>
      <fill>
        <patternFill patternType="solid">
          <fgColor rgb="FF84CC97"/>
          <bgColor rgb="FF000000"/>
        </patternFill>
      </fill>
    </dxf>
    <dxf>
      <fill>
        <patternFill patternType="solid">
          <fgColor rgb="FF8ED0A0"/>
          <bgColor rgb="FF000000"/>
        </patternFill>
      </fill>
    </dxf>
    <dxf>
      <fill>
        <patternFill patternType="solid">
          <fgColor rgb="FFBCE3C7"/>
          <bgColor rgb="FF000000"/>
        </patternFill>
      </fill>
    </dxf>
    <dxf>
      <fill>
        <patternFill patternType="solid">
          <fgColor rgb="FFC0E5C9"/>
          <bgColor rgb="FF000000"/>
        </patternFill>
      </fill>
    </dxf>
    <dxf>
      <fill>
        <patternFill patternType="solid">
          <fgColor rgb="FFD1ECD8"/>
          <bgColor rgb="FF000000"/>
        </patternFill>
      </fill>
    </dxf>
    <dxf>
      <fill>
        <patternFill patternType="solid">
          <fgColor rgb="FFD3EDDA"/>
          <bgColor rgb="FF000000"/>
        </patternFill>
      </fill>
    </dxf>
    <dxf>
      <fill>
        <patternFill patternType="solid">
          <fgColor rgb="FFD6EEDC"/>
          <bgColor rgb="FF000000"/>
        </patternFill>
      </fill>
    </dxf>
    <dxf>
      <fill>
        <patternFill patternType="solid">
          <fgColor rgb="FFDCF1E2"/>
          <bgColor rgb="FF000000"/>
        </patternFill>
      </fill>
    </dxf>
    <dxf>
      <fill>
        <patternFill patternType="solid">
          <fgColor rgb="FFE7F5EB"/>
          <bgColor rgb="FF000000"/>
        </patternFill>
      </fill>
    </dxf>
    <dxf>
      <fill>
        <patternFill patternType="solid">
          <fgColor rgb="FFE8F6EB"/>
          <bgColor rgb="FF000000"/>
        </patternFill>
      </fill>
    </dxf>
    <dxf>
      <fill>
        <patternFill patternType="solid">
          <fgColor rgb="FFE8F6EC"/>
          <bgColor rgb="FF000000"/>
        </patternFill>
      </fill>
    </dxf>
    <dxf>
      <fill>
        <patternFill patternType="solid">
          <fgColor rgb="FFEAF6ED"/>
          <bgColor rgb="FF000000"/>
        </patternFill>
      </fill>
    </dxf>
    <dxf>
      <fill>
        <patternFill patternType="solid">
          <fgColor rgb="FFEAF7EE"/>
          <bgColor rgb="FF000000"/>
        </patternFill>
      </fill>
    </dxf>
    <dxf>
      <fill>
        <patternFill patternType="solid">
          <fgColor rgb="FFECF8EF"/>
          <bgColor rgb="FF000000"/>
        </patternFill>
      </fill>
    </dxf>
    <dxf>
      <fill>
        <patternFill patternType="solid">
          <fgColor rgb="FFEEF8F0"/>
          <bgColor rgb="FF000000"/>
        </patternFill>
      </fill>
    </dxf>
    <dxf>
      <fill>
        <patternFill patternType="solid">
          <fgColor rgb="FFEFF9F1"/>
          <bgColor rgb="FF000000"/>
        </patternFill>
      </fill>
    </dxf>
    <dxf>
      <fill>
        <patternFill patternType="solid">
          <fgColor rgb="FFF1FAF3"/>
          <bgColor rgb="FF000000"/>
        </patternFill>
      </fill>
    </dxf>
    <dxf>
      <fill>
        <patternFill patternType="solid">
          <fgColor rgb="FFF4FBF5"/>
          <bgColor rgb="FF000000"/>
        </patternFill>
      </fill>
    </dxf>
    <dxf>
      <fill>
        <patternFill patternType="solid">
          <fgColor rgb="FFF5FBF7"/>
          <bgColor rgb="FF000000"/>
        </patternFill>
      </fill>
    </dxf>
    <dxf>
      <fill>
        <patternFill patternType="solid">
          <fgColor rgb="FFF6FCF7"/>
          <bgColor rgb="FF000000"/>
        </patternFill>
      </fill>
    </dxf>
    <dxf>
      <fill>
        <patternFill patternType="solid">
          <fgColor rgb="FFF6FCF8"/>
          <bgColor rgb="FF000000"/>
        </patternFill>
      </fill>
    </dxf>
    <dxf>
      <fill>
        <patternFill patternType="solid">
          <fgColor rgb="FFF7FCF8"/>
          <bgColor rgb="FF000000"/>
        </patternFill>
      </fill>
    </dxf>
    <dxf>
      <fill>
        <patternFill patternType="solid">
          <fgColor rgb="FFF8FCF9"/>
          <bgColor rgb="FF000000"/>
        </patternFill>
      </fill>
    </dxf>
    <dxf>
      <fill>
        <patternFill patternType="solid">
          <fgColor rgb="FFF9FDFA"/>
          <bgColor rgb="FF000000"/>
        </patternFill>
      </fill>
    </dxf>
    <dxf>
      <fill>
        <patternFill patternType="solid">
          <fgColor rgb="FFFAFDFB"/>
          <bgColor rgb="FF000000"/>
        </patternFill>
      </fill>
    </dxf>
    <dxf>
      <fill>
        <patternFill patternType="solid">
          <fgColor rgb="FFFBFEFC"/>
          <bgColor rgb="FF000000"/>
        </patternFill>
      </fill>
    </dxf>
    <dxf>
      <fill>
        <patternFill patternType="solid">
          <fgColor rgb="FFFCFEFD"/>
          <bgColor rgb="FF000000"/>
        </patternFill>
      </fill>
    </dxf>
    <dxf>
      <fill>
        <patternFill patternType="solid">
          <fgColor rgb="FFFDFEFD"/>
          <bgColor rgb="FF000000"/>
        </patternFill>
      </fill>
    </dxf>
    <dxf>
      <fill>
        <patternFill patternType="solid">
          <fgColor rgb="FFFDFFFE"/>
          <bgColor rgb="FF000000"/>
        </patternFill>
      </fill>
    </dxf>
    <dxf>
      <fill>
        <patternFill patternType="solid">
          <fgColor rgb="FFFEFFFE"/>
          <bgColor rgb="FF000000"/>
        </patternFill>
      </fill>
    </dxf>
    <dxf>
      <fill>
        <patternFill patternType="solid">
          <fgColor rgb="FFFEFFFF"/>
          <bgColor rgb="FF000000"/>
        </patternFill>
      </fill>
    </dxf>
    <dxf>
      <fill>
        <patternFill patternType="solid">
          <fgColor rgb="FF66BF7C"/>
          <bgColor rgb="FF000000"/>
        </patternFill>
      </fill>
    </dxf>
    <dxf>
      <fill>
        <patternFill patternType="solid">
          <fgColor rgb="FF6DC17C"/>
          <bgColor rgb="FF000000"/>
        </patternFill>
      </fill>
    </dxf>
    <dxf>
      <fill>
        <patternFill patternType="solid">
          <fgColor rgb="FF73C37C"/>
          <bgColor rgb="FF000000"/>
        </patternFill>
      </fill>
    </dxf>
    <dxf>
      <fill>
        <patternFill patternType="solid">
          <fgColor rgb="FF9ACE7F"/>
          <bgColor rgb="FF000000"/>
        </patternFill>
      </fill>
    </dxf>
    <dxf>
      <fill>
        <patternFill patternType="solid">
          <fgColor rgb="FF9CCF7F"/>
          <bgColor rgb="FF000000"/>
        </patternFill>
      </fill>
    </dxf>
    <dxf>
      <fill>
        <patternFill patternType="solid">
          <fgColor rgb="FF9ECF7F"/>
          <bgColor rgb="FF000000"/>
        </patternFill>
      </fill>
    </dxf>
    <dxf>
      <fill>
        <patternFill patternType="solid">
          <fgColor rgb="FFA2D07F"/>
          <bgColor rgb="FF000000"/>
        </patternFill>
      </fill>
    </dxf>
    <dxf>
      <fill>
        <patternFill patternType="solid">
          <fgColor rgb="FFAED480"/>
          <bgColor rgb="FF000000"/>
        </patternFill>
      </fill>
    </dxf>
    <dxf>
      <fill>
        <patternFill patternType="solid">
          <fgColor rgb="FFB0D580"/>
          <bgColor rgb="FF000000"/>
        </patternFill>
      </fill>
    </dxf>
    <dxf>
      <fill>
        <patternFill patternType="solid">
          <fgColor rgb="FFB5D680"/>
          <bgColor rgb="FF000000"/>
        </patternFill>
      </fill>
    </dxf>
    <dxf>
      <fill>
        <patternFill patternType="solid">
          <fgColor rgb="FFBED981"/>
          <bgColor rgb="FF000000"/>
        </patternFill>
      </fill>
    </dxf>
    <dxf>
      <fill>
        <patternFill patternType="solid">
          <fgColor rgb="FFCDDD82"/>
          <bgColor rgb="FF000000"/>
        </patternFill>
      </fill>
    </dxf>
    <dxf>
      <fill>
        <patternFill patternType="solid">
          <fgColor rgb="FFD1DE82"/>
          <bgColor rgb="FF000000"/>
        </patternFill>
      </fill>
    </dxf>
    <dxf>
      <fill>
        <patternFill patternType="solid">
          <fgColor rgb="FFD8E082"/>
          <bgColor rgb="FF000000"/>
        </patternFill>
      </fill>
    </dxf>
    <dxf>
      <fill>
        <patternFill patternType="solid">
          <fgColor rgb="FFDBE182"/>
          <bgColor rgb="FF000000"/>
        </patternFill>
      </fill>
    </dxf>
    <dxf>
      <fill>
        <patternFill patternType="solid">
          <fgColor rgb="FFE5E483"/>
          <bgColor rgb="FF000000"/>
        </patternFill>
      </fill>
    </dxf>
    <dxf>
      <fill>
        <patternFill patternType="solid">
          <fgColor rgb="FFEBE683"/>
          <bgColor rgb="FF000000"/>
        </patternFill>
      </fill>
    </dxf>
    <dxf>
      <fill>
        <patternFill patternType="solid">
          <fgColor rgb="FFF8706C"/>
          <bgColor rgb="FF000000"/>
        </patternFill>
      </fill>
    </dxf>
    <dxf>
      <fill>
        <patternFill patternType="solid">
          <fgColor rgb="FFF8716C"/>
          <bgColor rgb="FF000000"/>
        </patternFill>
      </fill>
    </dxf>
    <dxf>
      <fill>
        <patternFill patternType="solid">
          <fgColor rgb="FFF8726C"/>
          <bgColor rgb="FF000000"/>
        </patternFill>
      </fill>
    </dxf>
    <dxf>
      <fill>
        <patternFill patternType="solid">
          <fgColor rgb="FFF87A6E"/>
          <bgColor rgb="FF000000"/>
        </patternFill>
      </fill>
    </dxf>
    <dxf>
      <fill>
        <patternFill patternType="solid">
          <fgColor rgb="FFF8E984"/>
          <bgColor rgb="FF000000"/>
        </patternFill>
      </fill>
    </dxf>
    <dxf>
      <fill>
        <patternFill patternType="solid">
          <fgColor rgb="FFF9806F"/>
          <bgColor rgb="FF000000"/>
        </patternFill>
      </fill>
    </dxf>
    <dxf>
      <fill>
        <patternFill patternType="solid">
          <fgColor rgb="FFF98770"/>
          <bgColor rgb="FF000000"/>
        </patternFill>
      </fill>
    </dxf>
    <dxf>
      <fill>
        <patternFill patternType="solid">
          <fgColor rgb="FFF98A71"/>
          <bgColor rgb="FF000000"/>
        </patternFill>
      </fill>
    </dxf>
    <dxf>
      <fill>
        <patternFill patternType="solid">
          <fgColor rgb="FFFA8F72"/>
          <bgColor rgb="FF000000"/>
        </patternFill>
      </fill>
    </dxf>
    <dxf>
      <fill>
        <patternFill patternType="solid">
          <fgColor rgb="FFFA9072"/>
          <bgColor rgb="FF000000"/>
        </patternFill>
      </fill>
    </dxf>
    <dxf>
      <fill>
        <patternFill patternType="solid">
          <fgColor rgb="FFFA9473"/>
          <bgColor rgb="FF000000"/>
        </patternFill>
      </fill>
    </dxf>
    <dxf>
      <fill>
        <patternFill patternType="solid">
          <fgColor rgb="FFFA9974"/>
          <bgColor rgb="FF000000"/>
        </patternFill>
      </fill>
    </dxf>
    <dxf>
      <fill>
        <patternFill patternType="solid">
          <fgColor rgb="FFFA9A74"/>
          <bgColor rgb="FF000000"/>
        </patternFill>
      </fill>
    </dxf>
    <dxf>
      <fill>
        <patternFill patternType="solid">
          <fgColor rgb="FFFA9C74"/>
          <bgColor rgb="FF000000"/>
        </patternFill>
      </fill>
    </dxf>
    <dxf>
      <fill>
        <patternFill patternType="solid">
          <fgColor rgb="FFFA9D75"/>
          <bgColor rgb="FF000000"/>
        </patternFill>
      </fill>
    </dxf>
    <dxf>
      <fill>
        <patternFill patternType="solid">
          <fgColor rgb="FFFA9E75"/>
          <bgColor rgb="FF000000"/>
        </patternFill>
      </fill>
    </dxf>
    <dxf>
      <fill>
        <patternFill patternType="solid">
          <fgColor rgb="FFFBA276"/>
          <bgColor rgb="FF000000"/>
        </patternFill>
      </fill>
    </dxf>
    <dxf>
      <fill>
        <patternFill patternType="solid">
          <fgColor rgb="FFFBA376"/>
          <bgColor rgb="FF000000"/>
        </patternFill>
      </fill>
    </dxf>
    <dxf>
      <fill>
        <patternFill patternType="solid">
          <fgColor rgb="FFFBA576"/>
          <bgColor rgb="FF000000"/>
        </patternFill>
      </fill>
    </dxf>
    <dxf>
      <fill>
        <patternFill patternType="solid">
          <fgColor rgb="FFFBA676"/>
          <bgColor rgb="FF000000"/>
        </patternFill>
      </fill>
    </dxf>
    <dxf>
      <fill>
        <patternFill patternType="solid">
          <fgColor rgb="FFFBA977"/>
          <bgColor rgb="FF000000"/>
        </patternFill>
      </fill>
    </dxf>
    <dxf>
      <fill>
        <patternFill patternType="solid">
          <fgColor rgb="FFFBAA77"/>
          <bgColor rgb="FF000000"/>
        </patternFill>
      </fill>
    </dxf>
    <dxf>
      <fill>
        <patternFill patternType="solid">
          <fgColor rgb="FFFBAB77"/>
          <bgColor rgb="FF000000"/>
        </patternFill>
      </fill>
    </dxf>
    <dxf>
      <fill>
        <patternFill patternType="solid">
          <fgColor rgb="FFFBAF78"/>
          <bgColor rgb="FF000000"/>
        </patternFill>
      </fill>
    </dxf>
    <dxf>
      <fill>
        <patternFill patternType="solid">
          <fgColor rgb="FFFCB379"/>
          <bgColor rgb="FF000000"/>
        </patternFill>
      </fill>
    </dxf>
    <dxf>
      <fill>
        <patternFill patternType="solid">
          <fgColor rgb="FFFCBD7B"/>
          <bgColor rgb="FF000000"/>
        </patternFill>
      </fill>
    </dxf>
    <dxf>
      <fill>
        <patternFill patternType="solid">
          <fgColor rgb="FFFCBF7B"/>
          <bgColor rgb="FF000000"/>
        </patternFill>
      </fill>
    </dxf>
    <dxf>
      <fill>
        <patternFill patternType="solid">
          <fgColor rgb="FFFCC27C"/>
          <bgColor rgb="FF000000"/>
        </patternFill>
      </fill>
    </dxf>
    <dxf>
      <fill>
        <patternFill patternType="solid">
          <fgColor rgb="FFFDC67C"/>
          <bgColor rgb="FF000000"/>
        </patternFill>
      </fill>
    </dxf>
    <dxf>
      <fill>
        <patternFill patternType="solid">
          <fgColor rgb="FFFDC67D"/>
          <bgColor rgb="FF000000"/>
        </patternFill>
      </fill>
    </dxf>
    <dxf>
      <fill>
        <patternFill patternType="solid">
          <fgColor rgb="FFFDD17F"/>
          <bgColor rgb="FF000000"/>
        </patternFill>
      </fill>
    </dxf>
    <dxf>
      <fill>
        <patternFill patternType="solid">
          <fgColor rgb="FFFDD27F"/>
          <bgColor rgb="FF000000"/>
        </patternFill>
      </fill>
    </dxf>
    <dxf>
      <fill>
        <patternFill patternType="solid">
          <fgColor rgb="FFFDD780"/>
          <bgColor rgb="FF000000"/>
        </patternFill>
      </fill>
    </dxf>
    <dxf>
      <fill>
        <patternFill patternType="solid">
          <fgColor rgb="FFFEDD81"/>
          <bgColor rgb="FF000000"/>
        </patternFill>
      </fill>
    </dxf>
    <dxf>
      <fill>
        <patternFill patternType="solid">
          <fgColor rgb="FFFEE683"/>
          <bgColor rgb="FF000000"/>
        </patternFill>
      </fill>
    </dxf>
    <dxf>
      <fill>
        <patternFill patternType="solid">
          <fgColor rgb="FFFFEB84"/>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7F6000"/>
          <bgColor rgb="FF000000"/>
        </patternFill>
      </fill>
    </dxf>
    <dxf>
      <fill>
        <patternFill patternType="solid">
          <fgColor rgb="FF9C0006"/>
          <bgColor rgb="FF000000"/>
        </patternFill>
      </fill>
    </dxf>
    <dxf>
      <fill>
        <patternFill patternType="solid">
          <fgColor rgb="FFDDEBF7"/>
          <bgColor rgb="FF000000"/>
        </patternFill>
      </fill>
    </dxf>
    <dxf>
      <fill>
        <patternFill patternType="solid">
          <fgColor rgb="FF1F4E79"/>
          <bgColor rgb="FF000000"/>
        </patternFill>
      </fill>
    </dxf>
    <dxf>
      <fill>
        <patternFill patternType="solid">
          <fgColor rgb="FF0563C1"/>
          <bgColor rgb="FF000000"/>
        </patternFill>
      </fill>
    </dxf>
    <dxf>
      <font>
        <name val="Arial"/>
        <charset val="1"/>
        <family val="0"/>
        <color rgb="FF9C0006"/>
      </font>
      <fill>
        <patternFill>
          <bgColor rgb="FFFFC7CE"/>
        </patternFill>
      </fill>
    </dxf>
    <dxf>
      <font>
        <name val="Arial"/>
        <charset val="1"/>
        <family val="0"/>
        <b val="1"/>
        <color rgb="FF375623"/>
      </font>
      <fill>
        <patternFill>
          <bgColor rgb="FFE2EFDA"/>
        </patternFill>
      </fill>
    </dxf>
    <dxf>
      <font>
        <name val="Arial"/>
        <charset val="1"/>
        <family val="0"/>
        <b val="1"/>
        <color rgb="FF833C0B"/>
      </font>
      <fill>
        <patternFill>
          <bgColor rgb="FFFCE4D6"/>
        </patternFill>
      </fill>
    </dxf>
  </dxfs>
  <colors>
    <indexedColors>
      <rgbColor rgb="FF000000"/>
      <rgbColor rgb="FFFFFFFF"/>
      <rgbColor rgb="FFC00000"/>
      <rgbColor rgb="FF00FF00"/>
      <rgbColor rgb="FF0000FF"/>
      <rgbColor rgb="FFF9F9F9"/>
      <rgbColor rgb="FFFF00FF"/>
      <rgbColor rgb="FF00FFFF"/>
      <rgbColor rgb="FF9C0006"/>
      <rgbColor rgb="FF006100"/>
      <rgbColor rgb="FF000080"/>
      <rgbColor rgb="FF7F6000"/>
      <rgbColor rgb="FF7030A0"/>
      <rgbColor rgb="FF0F766E"/>
      <rgbColor rgb="FFBFBFBF"/>
      <rgbColor rgb="FF7F7F7F"/>
      <rgbColor rgb="FF9999FF"/>
      <rgbColor rgb="FFAA433F"/>
      <rgbColor rgb="FFFFF2CC"/>
      <rgbColor rgb="FFDDEBF7"/>
      <rgbColor rgb="FF660066"/>
      <rgbColor rgb="FFD09493"/>
      <rgbColor rgb="FF0563C1"/>
      <rgbColor rgb="FFD9D9D9"/>
      <rgbColor rgb="FF000080"/>
      <rgbColor rgb="FFFF00FF"/>
      <rgbColor rgb="FFFFFF00"/>
      <rgbColor rgb="FF00FFFF"/>
      <rgbColor rgb="FFC0504D"/>
      <rgbColor rgb="FFC55A11"/>
      <rgbColor rgb="FF008080"/>
      <rgbColor rgb="FF0000FF"/>
      <rgbColor rgb="FF00CCFF"/>
      <rgbColor rgb="FFEAF1FB"/>
      <rgbColor rgb="FFC6EFCE"/>
      <rgbColor rgb="FFFFEB9C"/>
      <rgbColor rgb="FFE2EFDA"/>
      <rgbColor rgb="FFFCE4D6"/>
      <rgbColor rgb="FFF2F2F2"/>
      <rgbColor rgb="FFFFC7CE"/>
      <rgbColor rgb="FF2E75B6"/>
      <rgbColor rgb="FF33CCCC"/>
      <rgbColor rgb="FF99CC00"/>
      <rgbColor rgb="FFFFC000"/>
      <rgbColor rgb="FFBF8F00"/>
      <rgbColor rgb="FFED7D31"/>
      <rgbColor rgb="FF595959"/>
      <rgbColor rgb="FF878787"/>
      <rgbColor rgb="FF1F3864"/>
      <rgbColor rgb="FF4F81BD"/>
      <rgbColor rgb="FF003300"/>
      <rgbColor rgb="FF333300"/>
      <rgbColor rgb="FF833C0B"/>
      <rgbColor rgb="FFBE4B48"/>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Views by content theme</a:t>
            </a:r>
          </a:p>
        </c:rich>
      </c:tx>
      <c:overlay val="0"/>
      <c:spPr>
        <a:noFill/>
        <a:ln w="0">
          <a:noFill/>
        </a:ln>
      </c:spPr>
    </c:title>
    <c:autoTitleDeleted val="0"/>
    <c:plotArea>
      <c:barChart>
        <c:barDir val="bar"/>
        <c:grouping val="clustered"/>
        <c:varyColors val="0"/>
        <c:ser>
          <c:idx val="0"/>
          <c:order val="0"/>
          <c:tx>
            <c:strRef>
              <c:f>'Content Themes'!C4</c:f>
              <c:strCache>
                <c:ptCount val="1"/>
                <c:pt idx="0">
                  <c:v>Total views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'Content Themes'!$A$5:$A$10</c:f>
              <c:strCache>
                <c:ptCount val="6"/>
                <c:pt idx="0">
                  <c:v>Cricket: Umpire/Decision Drama</c:v>
                </c:pt>
                <c:pt idx="1">
                  <c:v>Cricket: Gameplay &amp; Moments</c:v>
                </c:pt>
                <c:pt idx="2">
                  <c:v>Counter-Strike: CZ</c:v>
                </c:pt>
                <c:pt idx="3">
                  <c:v>Smash Hit</c:v>
                </c:pt>
                <c:pt idx="4">
                  <c:v>Marvel Contest of Champions</c:v>
                </c:pt>
                <c:pt idx="5">
                  <c:v>Other / Off-topic</c:v>
                </c:pt>
              </c:strCache>
            </c:strRef>
          </c:cat>
          <c:val>
            <c:numRef>
              <c:f>'Content Themes'!$C$5:$C$10</c:f>
              <c:numCache>
                <c:formatCode>#,##0</c:formatCode>
                <c:ptCount val="6"/>
                <c:pt idx="0">
                  <c:v>17230</c:v>
                </c:pt>
                <c:pt idx="1">
                  <c:v>3776</c:v>
                </c:pt>
                <c:pt idx="2">
                  <c:v>2696</c:v>
                </c:pt>
                <c:pt idx="3">
                  <c:v>1963</c:v>
                </c:pt>
                <c:pt idx="4">
                  <c:v>410</c:v>
                </c:pt>
                <c:pt idx="5">
                  <c:v>5</c:v>
                </c:pt>
              </c:numCache>
            </c:numRef>
          </c:val>
        </c:ser>
        <c:gapWidth val="150"/>
        <c:overlap val="0"/>
        <c:axId val="52896139"/>
        <c:axId val="69230306"/>
      </c:barChart>
      <c:catAx>
        <c:axId val="5289613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230306"/>
        <c:crosses val="autoZero"/>
        <c:auto val="1"/>
        <c:lblAlgn val="ctr"/>
        <c:lblOffset val="100"/>
        <c:noMultiLvlLbl val="0"/>
      </c:catAx>
      <c:valAx>
        <c:axId val="6923030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8961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views (Aug 2022 – Oct 2026)</a:t>
            </a:r>
          </a:p>
        </c:rich>
      </c:tx>
      <c:overlay val="0"/>
      <c:spPr>
        <a:noFill/>
        <a:ln w="0">
          <a:noFill/>
        </a:ln>
      </c:spPr>
    </c:title>
    <c:autoTitleDeleted val="0"/>
    <c:plotArea>
      <c:lineChart>
        <c:grouping val="standard"/>
        <c:varyColors val="0"/>
        <c:ser>
          <c:idx val="0"/>
          <c:order val="0"/>
          <c:tx>
            <c:strRef>
              <c:f>Timeline!B4</c:f>
              <c:strCache>
                <c:ptCount val="1"/>
                <c:pt idx="0">
                  <c:v>Views</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Timeline!$A$5:$A$55</c:f>
              <c:strCache>
                <c:ptCount val="51"/>
                <c:pt idx="0">
                  <c:v>Aug 2022</c:v>
                </c:pt>
                <c:pt idx="1">
                  <c:v>Sep 2022</c:v>
                </c:pt>
                <c:pt idx="2">
                  <c:v>Oct 2022</c:v>
                </c:pt>
                <c:pt idx="3">
                  <c:v>Nov 2022</c:v>
                </c:pt>
                <c:pt idx="4">
                  <c:v>Dec 2022</c:v>
                </c:pt>
                <c:pt idx="5">
                  <c:v>Jan 2023</c:v>
                </c:pt>
                <c:pt idx="6">
                  <c:v>Feb 2023</c:v>
                </c:pt>
                <c:pt idx="7">
                  <c:v>Mar 2023</c:v>
                </c:pt>
                <c:pt idx="8">
                  <c:v>Apr 2023</c:v>
                </c:pt>
                <c:pt idx="9">
                  <c:v>May 2023</c:v>
                </c:pt>
                <c:pt idx="10">
                  <c:v>Jun 2023</c:v>
                </c:pt>
                <c:pt idx="11">
                  <c:v>Jul 2023</c:v>
                </c:pt>
                <c:pt idx="12">
                  <c:v>Aug 2023</c:v>
                </c:pt>
                <c:pt idx="13">
                  <c:v>Sep 2023</c:v>
                </c:pt>
                <c:pt idx="14">
                  <c:v>Oct 2023</c:v>
                </c:pt>
                <c:pt idx="15">
                  <c:v>Nov 2023</c:v>
                </c:pt>
                <c:pt idx="16">
                  <c:v>Dec 2023</c:v>
                </c:pt>
                <c:pt idx="17">
                  <c:v>Jan 2024</c:v>
                </c:pt>
                <c:pt idx="18">
                  <c:v>Feb 2024</c:v>
                </c:pt>
                <c:pt idx="19">
                  <c:v>Mar 2024</c:v>
                </c:pt>
                <c:pt idx="20">
                  <c:v>Apr 2024</c:v>
                </c:pt>
                <c:pt idx="21">
                  <c:v>May 2024</c:v>
                </c:pt>
                <c:pt idx="22">
                  <c:v>Jun 2024</c:v>
                </c:pt>
                <c:pt idx="23">
                  <c:v>Jul 2024</c:v>
                </c:pt>
                <c:pt idx="24">
                  <c:v>Aug 2024</c:v>
                </c:pt>
                <c:pt idx="25">
                  <c:v>Sep 2024</c:v>
                </c:pt>
                <c:pt idx="26">
                  <c:v>Oct 2024</c:v>
                </c:pt>
                <c:pt idx="27">
                  <c:v>Nov 2024</c:v>
                </c:pt>
                <c:pt idx="28">
                  <c:v>Dec 2024</c:v>
                </c:pt>
                <c:pt idx="29">
                  <c:v>Jan 2025</c:v>
                </c:pt>
                <c:pt idx="30">
                  <c:v>Feb 2025</c:v>
                </c:pt>
                <c:pt idx="31">
                  <c:v>Mar 2025</c:v>
                </c:pt>
                <c:pt idx="32">
                  <c:v>Apr 2025</c:v>
                </c:pt>
                <c:pt idx="33">
                  <c:v>May 2025</c:v>
                </c:pt>
                <c:pt idx="34">
                  <c:v>Jun 2025</c:v>
                </c:pt>
                <c:pt idx="35">
                  <c:v>Jul 2025</c:v>
                </c:pt>
                <c:pt idx="36">
                  <c:v>Aug 2025</c:v>
                </c:pt>
                <c:pt idx="37">
                  <c:v>Sep 2025</c:v>
                </c:pt>
                <c:pt idx="38">
                  <c:v>Oct 2025</c:v>
                </c:pt>
                <c:pt idx="39">
                  <c:v>Nov 2025</c:v>
                </c:pt>
                <c:pt idx="40">
                  <c:v>Dec 2025</c:v>
                </c:pt>
                <c:pt idx="41">
                  <c:v>Jan 2026</c:v>
                </c:pt>
                <c:pt idx="42">
                  <c:v>Feb 2026</c:v>
                </c:pt>
                <c:pt idx="43">
                  <c:v>Mar 2026</c:v>
                </c:pt>
                <c:pt idx="44">
                  <c:v>Apr 2026</c:v>
                </c:pt>
                <c:pt idx="45">
                  <c:v>May 2026</c:v>
                </c:pt>
                <c:pt idx="46">
                  <c:v>Jun 2026</c:v>
                </c:pt>
                <c:pt idx="47">
                  <c:v>Jul 2026</c:v>
                </c:pt>
                <c:pt idx="48">
                  <c:v>Aug 2026</c:v>
                </c:pt>
                <c:pt idx="49">
                  <c:v>Sep 2026</c:v>
                </c:pt>
                <c:pt idx="50">
                  <c:v>Oct 2026</c:v>
                </c:pt>
              </c:strCache>
            </c:strRef>
          </c:cat>
          <c:val>
            <c:numRef>
              <c:f>Timeline!$B$5:$B$55</c:f>
              <c:numCache>
                <c:formatCode>#,##0</c:formatCode>
                <c:ptCount val="51"/>
                <c:pt idx="0">
                  <c:v>36</c:v>
                </c:pt>
                <c:pt idx="1">
                  <c:v>84</c:v>
                </c:pt>
                <c:pt idx="2">
                  <c:v>53</c:v>
                </c:pt>
                <c:pt idx="3">
                  <c:v>1202</c:v>
                </c:pt>
                <c:pt idx="4">
                  <c:v>3193</c:v>
                </c:pt>
                <c:pt idx="5">
                  <c:v>840</c:v>
                </c:pt>
                <c:pt idx="6">
                  <c:v>844</c:v>
                </c:pt>
                <c:pt idx="7">
                  <c:v>731</c:v>
                </c:pt>
                <c:pt idx="8">
                  <c:v>675</c:v>
                </c:pt>
                <c:pt idx="9">
                  <c:v>453</c:v>
                </c:pt>
                <c:pt idx="10">
                  <c:v>89</c:v>
                </c:pt>
                <c:pt idx="11">
                  <c:v>148</c:v>
                </c:pt>
                <c:pt idx="12">
                  <c:v>176</c:v>
                </c:pt>
                <c:pt idx="13">
                  <c:v>71</c:v>
                </c:pt>
                <c:pt idx="14">
                  <c:v>488</c:v>
                </c:pt>
                <c:pt idx="15">
                  <c:v>602</c:v>
                </c:pt>
                <c:pt idx="16">
                  <c:v>357</c:v>
                </c:pt>
                <c:pt idx="17">
                  <c:v>1033</c:v>
                </c:pt>
                <c:pt idx="18">
                  <c:v>2410</c:v>
                </c:pt>
                <c:pt idx="19">
                  <c:v>4607</c:v>
                </c:pt>
                <c:pt idx="20">
                  <c:v>510</c:v>
                </c:pt>
                <c:pt idx="21">
                  <c:v>87</c:v>
                </c:pt>
                <c:pt idx="22">
                  <c:v>24</c:v>
                </c:pt>
                <c:pt idx="23">
                  <c:v>38</c:v>
                </c:pt>
                <c:pt idx="24">
                  <c:v>23</c:v>
                </c:pt>
                <c:pt idx="25">
                  <c:v>16</c:v>
                </c:pt>
                <c:pt idx="26">
                  <c:v>157</c:v>
                </c:pt>
                <c:pt idx="27">
                  <c:v>1</c:v>
                </c:pt>
                <c:pt idx="28">
                  <c:v>9</c:v>
                </c:pt>
                <c:pt idx="29">
                  <c:v>6</c:v>
                </c:pt>
                <c:pt idx="30">
                  <c:v>4</c:v>
                </c:pt>
                <c:pt idx="31">
                  <c:v>10</c:v>
                </c:pt>
                <c:pt idx="32">
                  <c:v>2</c:v>
                </c:pt>
                <c:pt idx="33">
                  <c:v>2</c:v>
                </c:pt>
                <c:pt idx="34">
                  <c:v>3</c:v>
                </c:pt>
                <c:pt idx="35">
                  <c:v>7</c:v>
                </c:pt>
                <c:pt idx="36">
                  <c:v>3</c:v>
                </c:pt>
                <c:pt idx="37">
                  <c:v>6</c:v>
                </c:pt>
                <c:pt idx="38">
                  <c:v>14</c:v>
                </c:pt>
                <c:pt idx="39">
                  <c:v>4781</c:v>
                </c:pt>
                <c:pt idx="40">
                  <c:v>201</c:v>
                </c:pt>
                <c:pt idx="41">
                  <c:v>14</c:v>
                </c:pt>
                <c:pt idx="42">
                  <c:v>7</c:v>
                </c:pt>
                <c:pt idx="43">
                  <c:v>10</c:v>
                </c:pt>
                <c:pt idx="44">
                  <c:v>803</c:v>
                </c:pt>
                <c:pt idx="45">
                  <c:v>1628</c:v>
                </c:pt>
                <c:pt idx="46">
                  <c:v>2358</c:v>
                </c:pt>
                <c:pt idx="47">
                  <c:v>32</c:v>
                </c:pt>
                <c:pt idx="48">
                  <c:v>19</c:v>
                </c:pt>
                <c:pt idx="49">
                  <c:v>47</c:v>
                </c:pt>
                <c:pt idx="50">
                  <c:v>7</c:v>
                </c:pt>
              </c:numCache>
            </c:numRef>
          </c:val>
          <c:smooth val="1"/>
        </c:ser>
        <c:hiLowLines>
          <c:spPr>
            <a:ln w="0">
              <a:noFill/>
            </a:ln>
          </c:spPr>
        </c:hiLowLines>
        <c:marker val="0"/>
        <c:axId val="36109339"/>
        <c:axId val="31682778"/>
      </c:lineChart>
      <c:catAx>
        <c:axId val="36109339"/>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682778"/>
        <c:crosses val="autoZero"/>
        <c:auto val="1"/>
        <c:lblAlgn val="ctr"/>
        <c:lblOffset val="100"/>
        <c:noMultiLvlLbl val="0"/>
      </c:catAx>
      <c:valAx>
        <c:axId val="3168277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1093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views by content theme</a:t>
            </a:r>
          </a:p>
        </c:rich>
      </c:tx>
      <c:overlay val="0"/>
      <c:spPr>
        <a:noFill/>
        <a:ln w="0">
          <a:noFill/>
        </a:ln>
      </c:spPr>
    </c:title>
    <c:autoTitleDeleted val="0"/>
    <c:plotArea>
      <c:barChart>
        <c:barDir val="bar"/>
        <c:grouping val="clustered"/>
        <c:varyColors val="0"/>
        <c:ser>
          <c:idx val="0"/>
          <c:order val="0"/>
          <c:tx>
            <c:strRef>
              <c:f>'Content Themes'!C4</c:f>
              <c:strCache>
                <c:ptCount val="1"/>
                <c:pt idx="0">
                  <c:v>Total views</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'Content Themes'!$A$5:$A$10</c:f>
              <c:strCache>
                <c:ptCount val="6"/>
                <c:pt idx="0">
                  <c:v>Cricket: Umpire/Decision Drama</c:v>
                </c:pt>
                <c:pt idx="1">
                  <c:v>Cricket: Gameplay &amp; Moments</c:v>
                </c:pt>
                <c:pt idx="2">
                  <c:v>Counter-Strike: CZ</c:v>
                </c:pt>
                <c:pt idx="3">
                  <c:v>Smash Hit</c:v>
                </c:pt>
                <c:pt idx="4">
                  <c:v>Marvel Contest of Champions</c:v>
                </c:pt>
                <c:pt idx="5">
                  <c:v>Other / Off-topic</c:v>
                </c:pt>
              </c:strCache>
            </c:strRef>
          </c:cat>
          <c:val>
            <c:numRef>
              <c:f>'Content Themes'!$C$5:$C$10</c:f>
              <c:numCache>
                <c:formatCode>#,##0</c:formatCode>
                <c:ptCount val="6"/>
                <c:pt idx="0">
                  <c:v>17230</c:v>
                </c:pt>
                <c:pt idx="1">
                  <c:v>3776</c:v>
                </c:pt>
                <c:pt idx="2">
                  <c:v>2696</c:v>
                </c:pt>
                <c:pt idx="3">
                  <c:v>1963</c:v>
                </c:pt>
                <c:pt idx="4">
                  <c:v>410</c:v>
                </c:pt>
                <c:pt idx="5">
                  <c:v>5</c:v>
                </c:pt>
              </c:numCache>
            </c:numRef>
          </c:val>
        </c:ser>
        <c:gapWidth val="150"/>
        <c:overlap val="0"/>
        <c:axId val="71265558"/>
        <c:axId val="80443612"/>
      </c:barChart>
      <c:catAx>
        <c:axId val="7126555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443612"/>
        <c:crosses val="autoZero"/>
        <c:auto val="1"/>
        <c:lblAlgn val="ctr"/>
        <c:lblOffset val="100"/>
        <c:noMultiLvlLbl val="0"/>
      </c:catAx>
      <c:valAx>
        <c:axId val="80443612"/>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Views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655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views per video by theme</a:t>
            </a:r>
          </a:p>
        </c:rich>
      </c:tx>
      <c:overlay val="0"/>
      <c:spPr>
        <a:noFill/>
        <a:ln w="0">
          <a:noFill/>
        </a:ln>
      </c:spPr>
    </c:title>
    <c:autoTitleDeleted val="0"/>
    <c:plotArea>
      <c:barChart>
        <c:barDir val="bar"/>
        <c:grouping val="clustered"/>
        <c:varyColors val="0"/>
        <c:ser>
          <c:idx val="0"/>
          <c:order val="0"/>
          <c:tx>
            <c:strRef>
              <c:f>'Content Themes'!E4</c:f>
              <c:strCache>
                <c:ptCount val="1"/>
                <c:pt idx="0">
                  <c:v>Avg views / video</c:v>
                </c:pt>
              </c:strCache>
            </c:strRef>
          </c:tx>
          <c:spPr>
            <a:solidFill>
              <a:srgbClr val="c0504d"/>
            </a:solidFill>
            <a:ln w="9360">
              <a:solidFill>
                <a:srgbClr val="f9f9f9"/>
              </a:solidFill>
              <a:round/>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'Content Themes'!$A$5:$A$10</c:f>
              <c:strCache>
                <c:ptCount val="6"/>
                <c:pt idx="0">
                  <c:v>Cricket: Umpire/Decision Drama</c:v>
                </c:pt>
                <c:pt idx="1">
                  <c:v>Cricket: Gameplay &amp; Moments</c:v>
                </c:pt>
                <c:pt idx="2">
                  <c:v>Counter-Strike: CZ</c:v>
                </c:pt>
                <c:pt idx="3">
                  <c:v>Smash Hit</c:v>
                </c:pt>
                <c:pt idx="4">
                  <c:v>Marvel Contest of Champions</c:v>
                </c:pt>
                <c:pt idx="5">
                  <c:v>Other / Off-topic</c:v>
                </c:pt>
              </c:strCache>
            </c:strRef>
          </c:cat>
          <c:val>
            <c:numRef>
              <c:f>'Content Themes'!$E$5:$E$10</c:f>
              <c:numCache>
                <c:formatCode>#,##0</c:formatCode>
                <c:ptCount val="6"/>
                <c:pt idx="0">
                  <c:v>638.148148148148</c:v>
                </c:pt>
                <c:pt idx="1">
                  <c:v>236</c:v>
                </c:pt>
                <c:pt idx="2">
                  <c:v>674</c:v>
                </c:pt>
                <c:pt idx="3">
                  <c:v>140.214285714286</c:v>
                </c:pt>
                <c:pt idx="4">
                  <c:v>136.666666666667</c:v>
                </c:pt>
                <c:pt idx="5">
                  <c:v>1.66666666666667</c:v>
                </c:pt>
              </c:numCache>
            </c:numRef>
          </c:val>
        </c:ser>
        <c:gapWidth val="150"/>
        <c:overlap val="0"/>
        <c:axId val="85290859"/>
        <c:axId val="2376364"/>
      </c:barChart>
      <c:catAx>
        <c:axId val="8529085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76364"/>
        <c:crosses val="autoZero"/>
        <c:auto val="1"/>
        <c:lblAlgn val="ctr"/>
        <c:lblOffset val="100"/>
        <c:noMultiLvlLbl val="0"/>
      </c:catAx>
      <c:valAx>
        <c:axId val="237636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29085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views</a:t>
            </a:r>
          </a:p>
        </c:rich>
      </c:tx>
      <c:overlay val="0"/>
      <c:spPr>
        <a:noFill/>
        <a:ln w="0">
          <a:noFill/>
        </a:ln>
      </c:spPr>
    </c:title>
    <c:autoTitleDeleted val="0"/>
    <c:plotArea>
      <c:lineChart>
        <c:grouping val="standard"/>
        <c:varyColors val="0"/>
        <c:ser>
          <c:idx val="0"/>
          <c:order val="0"/>
          <c:tx>
            <c:strRef>
              <c:f>Timeline!B4</c:f>
              <c:strCache>
                <c:ptCount val="1"/>
                <c:pt idx="0">
                  <c:v>Views</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Timeline!$A$5:$A$55</c:f>
              <c:strCache>
                <c:ptCount val="51"/>
                <c:pt idx="0">
                  <c:v>Aug 2022</c:v>
                </c:pt>
                <c:pt idx="1">
                  <c:v>Sep 2022</c:v>
                </c:pt>
                <c:pt idx="2">
                  <c:v>Oct 2022</c:v>
                </c:pt>
                <c:pt idx="3">
                  <c:v>Nov 2022</c:v>
                </c:pt>
                <c:pt idx="4">
                  <c:v>Dec 2022</c:v>
                </c:pt>
                <c:pt idx="5">
                  <c:v>Jan 2023</c:v>
                </c:pt>
                <c:pt idx="6">
                  <c:v>Feb 2023</c:v>
                </c:pt>
                <c:pt idx="7">
                  <c:v>Mar 2023</c:v>
                </c:pt>
                <c:pt idx="8">
                  <c:v>Apr 2023</c:v>
                </c:pt>
                <c:pt idx="9">
                  <c:v>May 2023</c:v>
                </c:pt>
                <c:pt idx="10">
                  <c:v>Jun 2023</c:v>
                </c:pt>
                <c:pt idx="11">
                  <c:v>Jul 2023</c:v>
                </c:pt>
                <c:pt idx="12">
                  <c:v>Aug 2023</c:v>
                </c:pt>
                <c:pt idx="13">
                  <c:v>Sep 2023</c:v>
                </c:pt>
                <c:pt idx="14">
                  <c:v>Oct 2023</c:v>
                </c:pt>
                <c:pt idx="15">
                  <c:v>Nov 2023</c:v>
                </c:pt>
                <c:pt idx="16">
                  <c:v>Dec 2023</c:v>
                </c:pt>
                <c:pt idx="17">
                  <c:v>Jan 2024</c:v>
                </c:pt>
                <c:pt idx="18">
                  <c:v>Feb 2024</c:v>
                </c:pt>
                <c:pt idx="19">
                  <c:v>Mar 2024</c:v>
                </c:pt>
                <c:pt idx="20">
                  <c:v>Apr 2024</c:v>
                </c:pt>
                <c:pt idx="21">
                  <c:v>May 2024</c:v>
                </c:pt>
                <c:pt idx="22">
                  <c:v>Jun 2024</c:v>
                </c:pt>
                <c:pt idx="23">
                  <c:v>Jul 2024</c:v>
                </c:pt>
                <c:pt idx="24">
                  <c:v>Aug 2024</c:v>
                </c:pt>
                <c:pt idx="25">
                  <c:v>Sep 2024</c:v>
                </c:pt>
                <c:pt idx="26">
                  <c:v>Oct 2024</c:v>
                </c:pt>
                <c:pt idx="27">
                  <c:v>Nov 2024</c:v>
                </c:pt>
                <c:pt idx="28">
                  <c:v>Dec 2024</c:v>
                </c:pt>
                <c:pt idx="29">
                  <c:v>Jan 2025</c:v>
                </c:pt>
                <c:pt idx="30">
                  <c:v>Feb 2025</c:v>
                </c:pt>
                <c:pt idx="31">
                  <c:v>Mar 2025</c:v>
                </c:pt>
                <c:pt idx="32">
                  <c:v>Apr 2025</c:v>
                </c:pt>
                <c:pt idx="33">
                  <c:v>May 2025</c:v>
                </c:pt>
                <c:pt idx="34">
                  <c:v>Jun 2025</c:v>
                </c:pt>
                <c:pt idx="35">
                  <c:v>Jul 2025</c:v>
                </c:pt>
                <c:pt idx="36">
                  <c:v>Aug 2025</c:v>
                </c:pt>
                <c:pt idx="37">
                  <c:v>Sep 2025</c:v>
                </c:pt>
                <c:pt idx="38">
                  <c:v>Oct 2025</c:v>
                </c:pt>
                <c:pt idx="39">
                  <c:v>Nov 2025</c:v>
                </c:pt>
                <c:pt idx="40">
                  <c:v>Dec 2025</c:v>
                </c:pt>
                <c:pt idx="41">
                  <c:v>Jan 2026</c:v>
                </c:pt>
                <c:pt idx="42">
                  <c:v>Feb 2026</c:v>
                </c:pt>
                <c:pt idx="43">
                  <c:v>Mar 2026</c:v>
                </c:pt>
                <c:pt idx="44">
                  <c:v>Apr 2026</c:v>
                </c:pt>
                <c:pt idx="45">
                  <c:v>May 2026</c:v>
                </c:pt>
                <c:pt idx="46">
                  <c:v>Jun 2026</c:v>
                </c:pt>
                <c:pt idx="47">
                  <c:v>Jul 2026</c:v>
                </c:pt>
                <c:pt idx="48">
                  <c:v>Aug 2026</c:v>
                </c:pt>
                <c:pt idx="49">
                  <c:v>Sep 2026</c:v>
                </c:pt>
                <c:pt idx="50">
                  <c:v>Oct 2026</c:v>
                </c:pt>
              </c:strCache>
            </c:strRef>
          </c:cat>
          <c:val>
            <c:numRef>
              <c:f>Timeline!$B$5:$B$55</c:f>
              <c:numCache>
                <c:formatCode>#,##0</c:formatCode>
                <c:ptCount val="51"/>
                <c:pt idx="0">
                  <c:v>36</c:v>
                </c:pt>
                <c:pt idx="1">
                  <c:v>84</c:v>
                </c:pt>
                <c:pt idx="2">
                  <c:v>53</c:v>
                </c:pt>
                <c:pt idx="3">
                  <c:v>1202</c:v>
                </c:pt>
                <c:pt idx="4">
                  <c:v>3193</c:v>
                </c:pt>
                <c:pt idx="5">
                  <c:v>840</c:v>
                </c:pt>
                <c:pt idx="6">
                  <c:v>844</c:v>
                </c:pt>
                <c:pt idx="7">
                  <c:v>731</c:v>
                </c:pt>
                <c:pt idx="8">
                  <c:v>675</c:v>
                </c:pt>
                <c:pt idx="9">
                  <c:v>453</c:v>
                </c:pt>
                <c:pt idx="10">
                  <c:v>89</c:v>
                </c:pt>
                <c:pt idx="11">
                  <c:v>148</c:v>
                </c:pt>
                <c:pt idx="12">
                  <c:v>176</c:v>
                </c:pt>
                <c:pt idx="13">
                  <c:v>71</c:v>
                </c:pt>
                <c:pt idx="14">
                  <c:v>488</c:v>
                </c:pt>
                <c:pt idx="15">
                  <c:v>602</c:v>
                </c:pt>
                <c:pt idx="16">
                  <c:v>357</c:v>
                </c:pt>
                <c:pt idx="17">
                  <c:v>1033</c:v>
                </c:pt>
                <c:pt idx="18">
                  <c:v>2410</c:v>
                </c:pt>
                <c:pt idx="19">
                  <c:v>4607</c:v>
                </c:pt>
                <c:pt idx="20">
                  <c:v>510</c:v>
                </c:pt>
                <c:pt idx="21">
                  <c:v>87</c:v>
                </c:pt>
                <c:pt idx="22">
                  <c:v>24</c:v>
                </c:pt>
                <c:pt idx="23">
                  <c:v>38</c:v>
                </c:pt>
                <c:pt idx="24">
                  <c:v>23</c:v>
                </c:pt>
                <c:pt idx="25">
                  <c:v>16</c:v>
                </c:pt>
                <c:pt idx="26">
                  <c:v>157</c:v>
                </c:pt>
                <c:pt idx="27">
                  <c:v>1</c:v>
                </c:pt>
                <c:pt idx="28">
                  <c:v>9</c:v>
                </c:pt>
                <c:pt idx="29">
                  <c:v>6</c:v>
                </c:pt>
                <c:pt idx="30">
                  <c:v>4</c:v>
                </c:pt>
                <c:pt idx="31">
                  <c:v>10</c:v>
                </c:pt>
                <c:pt idx="32">
                  <c:v>2</c:v>
                </c:pt>
                <c:pt idx="33">
                  <c:v>2</c:v>
                </c:pt>
                <c:pt idx="34">
                  <c:v>3</c:v>
                </c:pt>
                <c:pt idx="35">
                  <c:v>7</c:v>
                </c:pt>
                <c:pt idx="36">
                  <c:v>3</c:v>
                </c:pt>
                <c:pt idx="37">
                  <c:v>6</c:v>
                </c:pt>
                <c:pt idx="38">
                  <c:v>14</c:v>
                </c:pt>
                <c:pt idx="39">
                  <c:v>4781</c:v>
                </c:pt>
                <c:pt idx="40">
                  <c:v>201</c:v>
                </c:pt>
                <c:pt idx="41">
                  <c:v>14</c:v>
                </c:pt>
                <c:pt idx="42">
                  <c:v>7</c:v>
                </c:pt>
                <c:pt idx="43">
                  <c:v>10</c:v>
                </c:pt>
                <c:pt idx="44">
                  <c:v>803</c:v>
                </c:pt>
                <c:pt idx="45">
                  <c:v>1628</c:v>
                </c:pt>
                <c:pt idx="46">
                  <c:v>2358</c:v>
                </c:pt>
                <c:pt idx="47">
                  <c:v>32</c:v>
                </c:pt>
                <c:pt idx="48">
                  <c:v>19</c:v>
                </c:pt>
                <c:pt idx="49">
                  <c:v>47</c:v>
                </c:pt>
                <c:pt idx="50">
                  <c:v>7</c:v>
                </c:pt>
              </c:numCache>
            </c:numRef>
          </c:val>
          <c:smooth val="1"/>
        </c:ser>
        <c:hiLowLines>
          <c:spPr>
            <a:ln w="0">
              <a:noFill/>
            </a:ln>
          </c:spPr>
        </c:hiLowLines>
        <c:marker val="0"/>
        <c:axId val="31387901"/>
        <c:axId val="93173357"/>
      </c:lineChart>
      <c:barChart>
        <c:barDir val="col"/>
        <c:grouping val="clustered"/>
        <c:varyColors val="0"/>
        <c:ser>
          <c:idx val="1"/>
          <c:order val="1"/>
          <c:tx>
            <c:strRef>
              <c:f>Timeline!C4</c:f>
              <c:strCache>
                <c:ptCount val="1"/>
                <c:pt idx="0">
                  <c:v>Uploads</c:v>
                </c:pt>
              </c:strCache>
            </c:strRef>
          </c:tx>
          <c:spPr>
            <a:solidFill>
              <a:srgbClr val="d0949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Timeline!$A$5:$A$55</c:f>
              <c:strCache>
                <c:ptCount val="51"/>
                <c:pt idx="0">
                  <c:v>Aug 2022</c:v>
                </c:pt>
                <c:pt idx="1">
                  <c:v>Sep 2022</c:v>
                </c:pt>
                <c:pt idx="2">
                  <c:v>Oct 2022</c:v>
                </c:pt>
                <c:pt idx="3">
                  <c:v>Nov 2022</c:v>
                </c:pt>
                <c:pt idx="4">
                  <c:v>Dec 2022</c:v>
                </c:pt>
                <c:pt idx="5">
                  <c:v>Jan 2023</c:v>
                </c:pt>
                <c:pt idx="6">
                  <c:v>Feb 2023</c:v>
                </c:pt>
                <c:pt idx="7">
                  <c:v>Mar 2023</c:v>
                </c:pt>
                <c:pt idx="8">
                  <c:v>Apr 2023</c:v>
                </c:pt>
                <c:pt idx="9">
                  <c:v>May 2023</c:v>
                </c:pt>
                <c:pt idx="10">
                  <c:v>Jun 2023</c:v>
                </c:pt>
                <c:pt idx="11">
                  <c:v>Jul 2023</c:v>
                </c:pt>
                <c:pt idx="12">
                  <c:v>Aug 2023</c:v>
                </c:pt>
                <c:pt idx="13">
                  <c:v>Sep 2023</c:v>
                </c:pt>
                <c:pt idx="14">
                  <c:v>Oct 2023</c:v>
                </c:pt>
                <c:pt idx="15">
                  <c:v>Nov 2023</c:v>
                </c:pt>
                <c:pt idx="16">
                  <c:v>Dec 2023</c:v>
                </c:pt>
                <c:pt idx="17">
                  <c:v>Jan 2024</c:v>
                </c:pt>
                <c:pt idx="18">
                  <c:v>Feb 2024</c:v>
                </c:pt>
                <c:pt idx="19">
                  <c:v>Mar 2024</c:v>
                </c:pt>
                <c:pt idx="20">
                  <c:v>Apr 2024</c:v>
                </c:pt>
                <c:pt idx="21">
                  <c:v>May 2024</c:v>
                </c:pt>
                <c:pt idx="22">
                  <c:v>Jun 2024</c:v>
                </c:pt>
                <c:pt idx="23">
                  <c:v>Jul 2024</c:v>
                </c:pt>
                <c:pt idx="24">
                  <c:v>Aug 2024</c:v>
                </c:pt>
                <c:pt idx="25">
                  <c:v>Sep 2024</c:v>
                </c:pt>
                <c:pt idx="26">
                  <c:v>Oct 2024</c:v>
                </c:pt>
                <c:pt idx="27">
                  <c:v>Nov 2024</c:v>
                </c:pt>
                <c:pt idx="28">
                  <c:v>Dec 2024</c:v>
                </c:pt>
                <c:pt idx="29">
                  <c:v>Jan 2025</c:v>
                </c:pt>
                <c:pt idx="30">
                  <c:v>Feb 2025</c:v>
                </c:pt>
                <c:pt idx="31">
                  <c:v>Mar 2025</c:v>
                </c:pt>
                <c:pt idx="32">
                  <c:v>Apr 2025</c:v>
                </c:pt>
                <c:pt idx="33">
                  <c:v>May 2025</c:v>
                </c:pt>
                <c:pt idx="34">
                  <c:v>Jun 2025</c:v>
                </c:pt>
                <c:pt idx="35">
                  <c:v>Jul 2025</c:v>
                </c:pt>
                <c:pt idx="36">
                  <c:v>Aug 2025</c:v>
                </c:pt>
                <c:pt idx="37">
                  <c:v>Sep 2025</c:v>
                </c:pt>
                <c:pt idx="38">
                  <c:v>Oct 2025</c:v>
                </c:pt>
                <c:pt idx="39">
                  <c:v>Nov 2025</c:v>
                </c:pt>
                <c:pt idx="40">
                  <c:v>Dec 2025</c:v>
                </c:pt>
                <c:pt idx="41">
                  <c:v>Jan 2026</c:v>
                </c:pt>
                <c:pt idx="42">
                  <c:v>Feb 2026</c:v>
                </c:pt>
                <c:pt idx="43">
                  <c:v>Mar 2026</c:v>
                </c:pt>
                <c:pt idx="44">
                  <c:v>Apr 2026</c:v>
                </c:pt>
                <c:pt idx="45">
                  <c:v>May 2026</c:v>
                </c:pt>
                <c:pt idx="46">
                  <c:v>Jun 2026</c:v>
                </c:pt>
                <c:pt idx="47">
                  <c:v>Jul 2026</c:v>
                </c:pt>
                <c:pt idx="48">
                  <c:v>Aug 2026</c:v>
                </c:pt>
                <c:pt idx="49">
                  <c:v>Sep 2026</c:v>
                </c:pt>
                <c:pt idx="50">
                  <c:v>Oct 2026</c:v>
                </c:pt>
              </c:strCache>
            </c:strRef>
          </c:cat>
          <c:val>
            <c:numRef>
              <c:f>Timeline!$C$5:$C$55</c:f>
              <c:numCache>
                <c:formatCode>0</c:formatCode>
                <c:ptCount val="51"/>
                <c:pt idx="0">
                  <c:v>0</c:v>
                </c:pt>
                <c:pt idx="1">
                  <c:v>1</c:v>
                </c:pt>
                <c:pt idx="2">
                  <c:v>0</c:v>
                </c:pt>
                <c:pt idx="3">
                  <c:v>3</c:v>
                </c:pt>
                <c:pt idx="4">
                  <c:v>6</c:v>
                </c:pt>
                <c:pt idx="5">
                  <c:v>4</c:v>
                </c:pt>
                <c:pt idx="6">
                  <c:v>0</c:v>
                </c:pt>
                <c:pt idx="7">
                  <c:v>2</c:v>
                </c:pt>
                <c:pt idx="8">
                  <c:v>3</c:v>
                </c:pt>
                <c:pt idx="9">
                  <c:v>2</c:v>
                </c:pt>
                <c:pt idx="10">
                  <c:v>0</c:v>
                </c:pt>
                <c:pt idx="11">
                  <c:v>0</c:v>
                </c:pt>
                <c:pt idx="12">
                  <c:v>0</c:v>
                </c:pt>
                <c:pt idx="13">
                  <c:v>0</c:v>
                </c:pt>
                <c:pt idx="14">
                  <c:v>3</c:v>
                </c:pt>
                <c:pt idx="15">
                  <c:v>5</c:v>
                </c:pt>
                <c:pt idx="16">
                  <c:v>1</c:v>
                </c:pt>
                <c:pt idx="17">
                  <c:v>3</c:v>
                </c:pt>
                <c:pt idx="18">
                  <c:v>0</c:v>
                </c:pt>
                <c:pt idx="19">
                  <c:v>0</c:v>
                </c:pt>
                <c:pt idx="20">
                  <c:v>0</c:v>
                </c:pt>
                <c:pt idx="21">
                  <c:v>2</c:v>
                </c:pt>
                <c:pt idx="22">
                  <c:v>1</c:v>
                </c:pt>
                <c:pt idx="23">
                  <c:v>0</c:v>
                </c:pt>
                <c:pt idx="24">
                  <c:v>0</c:v>
                </c:pt>
                <c:pt idx="25">
                  <c:v>0</c:v>
                </c:pt>
                <c:pt idx="26">
                  <c:v>1</c:v>
                </c:pt>
                <c:pt idx="27">
                  <c:v>0</c:v>
                </c:pt>
                <c:pt idx="28">
                  <c:v>0</c:v>
                </c:pt>
                <c:pt idx="29">
                  <c:v>0</c:v>
                </c:pt>
                <c:pt idx="30">
                  <c:v>0</c:v>
                </c:pt>
                <c:pt idx="31">
                  <c:v>0</c:v>
                </c:pt>
                <c:pt idx="32">
                  <c:v>0</c:v>
                </c:pt>
                <c:pt idx="33">
                  <c:v>0</c:v>
                </c:pt>
                <c:pt idx="34">
                  <c:v>0</c:v>
                </c:pt>
                <c:pt idx="35">
                  <c:v>0</c:v>
                </c:pt>
                <c:pt idx="36">
                  <c:v>0</c:v>
                </c:pt>
                <c:pt idx="37">
                  <c:v>0</c:v>
                </c:pt>
                <c:pt idx="38">
                  <c:v>0</c:v>
                </c:pt>
                <c:pt idx="39">
                  <c:v>13</c:v>
                </c:pt>
                <c:pt idx="40">
                  <c:v>1</c:v>
                </c:pt>
                <c:pt idx="41">
                  <c:v>0</c:v>
                </c:pt>
                <c:pt idx="42">
                  <c:v>0</c:v>
                </c:pt>
                <c:pt idx="43">
                  <c:v>0</c:v>
                </c:pt>
                <c:pt idx="44">
                  <c:v>3</c:v>
                </c:pt>
                <c:pt idx="45">
                  <c:v>5</c:v>
                </c:pt>
                <c:pt idx="46">
                  <c:v>5</c:v>
                </c:pt>
                <c:pt idx="47">
                  <c:v>3</c:v>
                </c:pt>
                <c:pt idx="48">
                  <c:v>0</c:v>
                </c:pt>
                <c:pt idx="49">
                  <c:v>0</c:v>
                </c:pt>
                <c:pt idx="50">
                  <c:v>0</c:v>
                </c:pt>
              </c:numCache>
            </c:numRef>
          </c:val>
        </c:ser>
        <c:gapWidth val="150"/>
        <c:overlap val="0"/>
        <c:axId val="57745454"/>
        <c:axId val="48610523"/>
      </c:barChart>
      <c:catAx>
        <c:axId val="31387901"/>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173357"/>
        <c:crosses val="autoZero"/>
        <c:auto val="1"/>
        <c:lblAlgn val="ctr"/>
        <c:lblOffset val="100"/>
        <c:noMultiLvlLbl val="0"/>
      </c:catAx>
      <c:valAx>
        <c:axId val="931733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Views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87901"/>
        <c:crosses val="autoZero"/>
        <c:crossBetween val="between"/>
      </c:valAx>
      <c:catAx>
        <c:axId val="57745454"/>
        <c:scaling>
          <c:orientation val="minMax"/>
        </c:scaling>
        <c:delete val="0"/>
        <c:axPos val="t"/>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610523"/>
        <c:crosses val="autoZero"/>
        <c:auto val="1"/>
        <c:lblAlgn val="ctr"/>
        <c:lblOffset val="100"/>
        <c:noMultiLvlLbl val="0"/>
      </c:catAx>
      <c:valAx>
        <c:axId val="48610523"/>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Uploads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45454"/>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Slow-burn: views per month after upload</a:t>
            </a:r>
          </a:p>
        </c:rich>
      </c:tx>
      <c:overlay val="0"/>
      <c:spPr>
        <a:noFill/>
        <a:ln w="0">
          <a:noFill/>
        </a:ln>
      </c:spPr>
    </c:title>
    <c:autoTitleDeleted val="0"/>
    <c:plotArea>
      <c:barChart>
        <c:barDir val="col"/>
        <c:grouping val="clustered"/>
        <c:varyColors val="0"/>
        <c:ser>
          <c:idx val="0"/>
          <c:order val="0"/>
          <c:tx>
            <c:strRef>
              <c:f>'Launch Velocity'!B14</c:f>
              <c:strCache>
                <c:ptCount val="1"/>
                <c:pt idx="0">
                  <c:v>Views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'Launch Velocity'!$A$15:$A$34</c:f>
              <c:strCache>
                <c:ptCount val="20"/>
                <c:pt idx="0">
                  <c:v>Nov 2023</c:v>
                </c:pt>
                <c:pt idx="1">
                  <c:v>Dec 2023</c:v>
                </c:pt>
                <c:pt idx="2">
                  <c:v>Jan 2024</c:v>
                </c:pt>
                <c:pt idx="3">
                  <c:v>Feb 2024</c:v>
                </c:pt>
                <c:pt idx="4">
                  <c:v>Mar 2024</c:v>
                </c:pt>
                <c:pt idx="5">
                  <c:v>Apr 2024</c:v>
                </c:pt>
                <c:pt idx="6">
                  <c:v>May 2024</c:v>
                </c:pt>
                <c:pt idx="7">
                  <c:v>Jun 2024</c:v>
                </c:pt>
                <c:pt idx="8">
                  <c:v>Jul 2024</c:v>
                </c:pt>
                <c:pt idx="9">
                  <c:v>Aug 2024</c:v>
                </c:pt>
                <c:pt idx="10">
                  <c:v>Sep 2024</c:v>
                </c:pt>
                <c:pt idx="11">
                  <c:v>Oct 2024</c:v>
                </c:pt>
                <c:pt idx="12">
                  <c:v>Nov 2024</c:v>
                </c:pt>
                <c:pt idx="13">
                  <c:v>Dec 2024</c:v>
                </c:pt>
                <c:pt idx="14">
                  <c:v>Jan 2025</c:v>
                </c:pt>
                <c:pt idx="15">
                  <c:v>Feb 2025</c:v>
                </c:pt>
                <c:pt idx="16">
                  <c:v>Mar 2025</c:v>
                </c:pt>
                <c:pt idx="17">
                  <c:v>Apr 2025</c:v>
                </c:pt>
                <c:pt idx="18">
                  <c:v>May 2025</c:v>
                </c:pt>
                <c:pt idx="19">
                  <c:v>Jun 2025</c:v>
                </c:pt>
              </c:strCache>
            </c:strRef>
          </c:cat>
          <c:val>
            <c:numRef>
              <c:f>'Launch Velocity'!$B$15:$B$34</c:f>
              <c:numCache>
                <c:formatCode>#,##0</c:formatCode>
                <c:ptCount val="20"/>
                <c:pt idx="0">
                  <c:v>330</c:v>
                </c:pt>
                <c:pt idx="1">
                  <c:v>243</c:v>
                </c:pt>
                <c:pt idx="2">
                  <c:v>636</c:v>
                </c:pt>
                <c:pt idx="3">
                  <c:v>2361</c:v>
                </c:pt>
                <c:pt idx="4">
                  <c:v>4520</c:v>
                </c:pt>
                <c:pt idx="5">
                  <c:v>481</c:v>
                </c:pt>
                <c:pt idx="6">
                  <c:v>0</c:v>
                </c:pt>
                <c:pt idx="7">
                  <c:v>2</c:v>
                </c:pt>
                <c:pt idx="8">
                  <c:v>0</c:v>
                </c:pt>
                <c:pt idx="9">
                  <c:v>1</c:v>
                </c:pt>
                <c:pt idx="10">
                  <c:v>0</c:v>
                </c:pt>
                <c:pt idx="11">
                  <c:v>5</c:v>
                </c:pt>
                <c:pt idx="12">
                  <c:v>0</c:v>
                </c:pt>
                <c:pt idx="13">
                  <c:v>1</c:v>
                </c:pt>
                <c:pt idx="14">
                  <c:v>0</c:v>
                </c:pt>
                <c:pt idx="15">
                  <c:v>1</c:v>
                </c:pt>
                <c:pt idx="16">
                  <c:v>7</c:v>
                </c:pt>
                <c:pt idx="17">
                  <c:v>0</c:v>
                </c:pt>
                <c:pt idx="18">
                  <c:v>1</c:v>
                </c:pt>
                <c:pt idx="19">
                  <c:v>0</c:v>
                </c:pt>
              </c:numCache>
            </c:numRef>
          </c:val>
        </c:ser>
        <c:gapWidth val="150"/>
        <c:overlap val="0"/>
        <c:axId val="66324077"/>
        <c:axId val="23704331"/>
      </c:barChart>
      <c:catAx>
        <c:axId val="66324077"/>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704331"/>
        <c:crosses val="autoZero"/>
        <c:auto val="1"/>
        <c:lblAlgn val="ctr"/>
        <c:lblOffset val="100"/>
        <c:noMultiLvlLbl val="0"/>
      </c:catAx>
      <c:valAx>
        <c:axId val="2370433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3240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3</xdr:row>
      <xdr:rowOff>0</xdr:rowOff>
    </xdr:from>
    <xdr:to>
      <xdr:col>19</xdr:col>
      <xdr:colOff>256320</xdr:colOff>
      <xdr:row>10</xdr:row>
      <xdr:rowOff>189720</xdr:rowOff>
    </xdr:to>
    <xdr:graphicFrame>
      <xdr:nvGraphicFramePr>
        <xdr:cNvPr id="0" name="Chart 1"/>
        <xdr:cNvGraphicFramePr/>
      </xdr:nvGraphicFramePr>
      <xdr:xfrm>
        <a:off x="14074200" y="76212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18</xdr:row>
      <xdr:rowOff>175680</xdr:rowOff>
    </xdr:from>
    <xdr:to>
      <xdr:col>19</xdr:col>
      <xdr:colOff>256320</xdr:colOff>
      <xdr:row>31</xdr:row>
      <xdr:rowOff>174600</xdr:rowOff>
    </xdr:to>
    <xdr:graphicFrame>
      <xdr:nvGraphicFramePr>
        <xdr:cNvPr id="1" name="Chart 2"/>
        <xdr:cNvGraphicFramePr/>
      </xdr:nvGraphicFramePr>
      <xdr:xfrm>
        <a:off x="14074200" y="630540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7</xdr:col>
      <xdr:colOff>65520</xdr:colOff>
      <xdr:row>28</xdr:row>
      <xdr:rowOff>21960</xdr:rowOff>
    </xdr:to>
    <xdr:graphicFrame>
      <xdr:nvGraphicFramePr>
        <xdr:cNvPr id="2" name="Chart 1"/>
        <xdr:cNvGraphicFramePr/>
      </xdr:nvGraphicFramePr>
      <xdr:xfrm>
        <a:off x="0" y="76770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13</xdr:row>
      <xdr:rowOff>0</xdr:rowOff>
    </xdr:from>
    <xdr:to>
      <xdr:col>13</xdr:col>
      <xdr:colOff>1827720</xdr:colOff>
      <xdr:row>28</xdr:row>
      <xdr:rowOff>21960</xdr:rowOff>
    </xdr:to>
    <xdr:graphicFrame>
      <xdr:nvGraphicFramePr>
        <xdr:cNvPr id="3" name="Chart 2"/>
        <xdr:cNvGraphicFramePr/>
      </xdr:nvGraphicFramePr>
      <xdr:xfrm>
        <a:off x="6414120" y="7677000"/>
        <a:ext cx="64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20</xdr:col>
      <xdr:colOff>564480</xdr:colOff>
      <xdr:row>18</xdr:row>
      <xdr:rowOff>172800</xdr:rowOff>
    </xdr:to>
    <xdr:graphicFrame>
      <xdr:nvGraphicFramePr>
        <xdr:cNvPr id="4" name="Chart 1"/>
        <xdr:cNvGraphicFramePr/>
      </xdr:nvGraphicFramePr>
      <xdr:xfrm>
        <a:off x="8012520" y="76212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12</xdr:row>
      <xdr:rowOff>0</xdr:rowOff>
    </xdr:from>
    <xdr:to>
      <xdr:col>9</xdr:col>
      <xdr:colOff>10080</xdr:colOff>
      <xdr:row>25</xdr:row>
      <xdr:rowOff>178920</xdr:rowOff>
    </xdr:to>
    <xdr:graphicFrame>
      <xdr:nvGraphicFramePr>
        <xdr:cNvPr id="5" name="Chart 1"/>
        <xdr:cNvGraphicFramePr/>
      </xdr:nvGraphicFramePr>
      <xdr:xfrm>
        <a:off x="4440600" y="455292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YT_Channel_Assessment.xlsx" TargetMode="External"/><Relationship Id="rId2" Type="http://schemas.openxmlformats.org/officeDocument/2006/relationships/hyperlink" Target="YT_Channel_Assessment.xlsx" TargetMode="External"/><Relationship Id="rId3" Type="http://schemas.openxmlformats.org/officeDocument/2006/relationships/hyperlink" Target="YT_Channel_Assessment.xlsx" TargetMode="External"/><Relationship Id="rId4" Type="http://schemas.openxmlformats.org/officeDocument/2006/relationships/hyperlink" Target="YT_Channel_Assessment.xlsx" TargetMode="External"/><Relationship Id="rId5" Type="http://schemas.openxmlformats.org/officeDocument/2006/relationships/hyperlink" Target="YT_Channel_Assessment.xlsx" TargetMode="External"/><Relationship Id="rId6" Type="http://schemas.openxmlformats.org/officeDocument/2006/relationships/hyperlink" Target="YT_Channel_Assessment.xlsx" TargetMode="External"/><Relationship Id="rId7" Type="http://schemas.openxmlformats.org/officeDocument/2006/relationships/hyperlink" Target="YT_Channel_Assessment.xlsx" TargetMode="External"/><Relationship Id="rId8" Type="http://schemas.openxmlformats.org/officeDocument/2006/relationships/hyperlink" Target="YT_Channel_Assessment.xlsx" TargetMode="External"/><Relationship Id="rId9" Type="http://schemas.openxmlformats.org/officeDocument/2006/relationships/hyperlink" Target="YT_Channel_Assessment.xlsx" TargetMode="External"/><Relationship Id="rId10" Type="http://schemas.openxmlformats.org/officeDocument/2006/relationships/hyperlink" Target="YT_Channel_Assessment.xlsx"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5.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true"/>
  </sheetPr>
  <dimension ref="A1:D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70"/>
    <col collapsed="false" customWidth="true" hidden="false" outlineLevel="0" max="4" min="4" style="0" width="36"/>
  </cols>
  <sheetData>
    <row r="1" customFormat="false" ht="30" hidden="false" customHeight="true" outlineLevel="0" collapsed="false">
      <c r="A1" s="1" t="s">
        <v>0</v>
      </c>
    </row>
    <row r="2" customFormat="false" ht="15" hidden="false" customHeight="false" outlineLevel="0" collapsed="false">
      <c r="A2" s="2" t="s">
        <v>1</v>
      </c>
    </row>
    <row r="4" customFormat="false" ht="16.15" hidden="false" customHeight="false" outlineLevel="0" collapsed="false">
      <c r="B4" s="3" t="s">
        <v>2</v>
      </c>
    </row>
    <row r="5" customFormat="false" ht="31.5" hidden="false" customHeight="true" outlineLevel="0" collapsed="false">
      <c r="B5" s="4" t="s">
        <v>3</v>
      </c>
      <c r="C5" s="4" t="s">
        <v>4</v>
      </c>
      <c r="D5" s="4" t="s">
        <v>5</v>
      </c>
    </row>
    <row r="6" customFormat="false" ht="30" hidden="false" customHeight="true" outlineLevel="0" collapsed="false">
      <c r="B6" s="5" t="s">
        <v>6</v>
      </c>
      <c r="C6" s="6" t="s">
        <v>7</v>
      </c>
      <c r="D6" s="6" t="s">
        <v>8</v>
      </c>
    </row>
    <row r="7" customFormat="false" ht="30" hidden="false" customHeight="true" outlineLevel="0" collapsed="false">
      <c r="B7" s="5" t="s">
        <v>9</v>
      </c>
      <c r="C7" s="6" t="s">
        <v>10</v>
      </c>
      <c r="D7" s="6" t="s">
        <v>11</v>
      </c>
    </row>
    <row r="8" customFormat="false" ht="30" hidden="false" customHeight="true" outlineLevel="0" collapsed="false">
      <c r="B8" s="5" t="s">
        <v>12</v>
      </c>
      <c r="C8" s="6" t="s">
        <v>13</v>
      </c>
      <c r="D8" s="6" t="s">
        <v>14</v>
      </c>
    </row>
    <row r="9" customFormat="false" ht="30" hidden="false" customHeight="true" outlineLevel="0" collapsed="false">
      <c r="B9" s="5" t="s">
        <v>15</v>
      </c>
      <c r="C9" s="6" t="s">
        <v>16</v>
      </c>
      <c r="D9" s="6" t="s">
        <v>17</v>
      </c>
    </row>
    <row r="10" customFormat="false" ht="30" hidden="false" customHeight="true" outlineLevel="0" collapsed="false">
      <c r="B10" s="5" t="s">
        <v>18</v>
      </c>
      <c r="C10" s="6" t="s">
        <v>19</v>
      </c>
      <c r="D10" s="6" t="s">
        <v>20</v>
      </c>
    </row>
    <row r="11" customFormat="false" ht="30" hidden="false" customHeight="true" outlineLevel="0" collapsed="false">
      <c r="B11" s="5" t="s">
        <v>21</v>
      </c>
      <c r="C11" s="6" t="s">
        <v>22</v>
      </c>
      <c r="D11" s="6" t="s">
        <v>23</v>
      </c>
    </row>
    <row r="12" customFormat="false" ht="30" hidden="false" customHeight="true" outlineLevel="0" collapsed="false">
      <c r="B12" s="5" t="s">
        <v>24</v>
      </c>
      <c r="C12" s="6" t="s">
        <v>25</v>
      </c>
      <c r="D12" s="6" t="s">
        <v>26</v>
      </c>
    </row>
    <row r="13" customFormat="false" ht="30" hidden="false" customHeight="true" outlineLevel="0" collapsed="false">
      <c r="B13" s="5" t="s">
        <v>27</v>
      </c>
      <c r="C13" s="6" t="s">
        <v>28</v>
      </c>
      <c r="D13" s="6" t="s">
        <v>29</v>
      </c>
    </row>
    <row r="14" customFormat="false" ht="30" hidden="false" customHeight="true" outlineLevel="0" collapsed="false">
      <c r="B14" s="5" t="s">
        <v>30</v>
      </c>
      <c r="C14" s="6" t="s">
        <v>31</v>
      </c>
      <c r="D14" s="6" t="s">
        <v>32</v>
      </c>
    </row>
    <row r="15" customFormat="false" ht="30" hidden="false" customHeight="true" outlineLevel="0" collapsed="false">
      <c r="B15" s="5" t="s">
        <v>33</v>
      </c>
      <c r="C15" s="6" t="s">
        <v>34</v>
      </c>
      <c r="D15" s="6" t="s">
        <v>35</v>
      </c>
    </row>
    <row r="18" customFormat="false" ht="16.15" hidden="false" customHeight="false" outlineLevel="0" collapsed="false">
      <c r="B18" s="3" t="s">
        <v>36</v>
      </c>
    </row>
    <row r="19" customFormat="false" ht="15" hidden="false" customHeight="false" outlineLevel="0" collapsed="false">
      <c r="B19" s="7" t="s">
        <v>37</v>
      </c>
      <c r="C19" s="8" t="s">
        <v>38</v>
      </c>
    </row>
    <row r="20" customFormat="false" ht="15" hidden="false" customHeight="false" outlineLevel="0" collapsed="false">
      <c r="B20" s="9" t="s">
        <v>37</v>
      </c>
      <c r="C20" s="8" t="s">
        <v>39</v>
      </c>
    </row>
    <row r="21" customFormat="false" ht="15" hidden="false" customHeight="false" outlineLevel="0" collapsed="false">
      <c r="B21" s="10" t="s">
        <v>37</v>
      </c>
      <c r="C21" s="8" t="s">
        <v>40</v>
      </c>
    </row>
    <row r="22" customFormat="false" ht="15" hidden="false" customHeight="false" outlineLevel="0" collapsed="false">
      <c r="B22" s="11" t="s">
        <v>37</v>
      </c>
      <c r="C22" s="8" t="s">
        <v>41</v>
      </c>
    </row>
    <row r="23" customFormat="false" ht="15" hidden="false" customHeight="false" outlineLevel="0" collapsed="false">
      <c r="B23" s="12" t="s">
        <v>37</v>
      </c>
      <c r="C23" s="8" t="s">
        <v>42</v>
      </c>
    </row>
    <row r="24" customFormat="false" ht="15" hidden="false" customHeight="false" outlineLevel="0" collapsed="false">
      <c r="B24" s="13" t="s">
        <v>37</v>
      </c>
      <c r="C24" s="8" t="s">
        <v>43</v>
      </c>
    </row>
    <row r="25" customFormat="false" ht="15" hidden="false" customHeight="false" outlineLevel="0" collapsed="false">
      <c r="B25" s="14" t="s">
        <v>37</v>
      </c>
      <c r="C25" s="8" t="s">
        <v>44</v>
      </c>
    </row>
    <row r="27" customFormat="false" ht="16.15" hidden="false" customHeight="false" outlineLevel="0" collapsed="false">
      <c r="B27" s="3" t="s">
        <v>45</v>
      </c>
    </row>
    <row r="28" customFormat="false" ht="27.75" hidden="false" customHeight="true" outlineLevel="0" collapsed="false">
      <c r="B28" s="15" t="s">
        <v>46</v>
      </c>
      <c r="C28" s="6" t="s">
        <v>47</v>
      </c>
      <c r="D28" s="6"/>
    </row>
    <row r="29" customFormat="false" ht="27.75" hidden="false" customHeight="true" outlineLevel="0" collapsed="false">
      <c r="B29" s="15" t="s">
        <v>48</v>
      </c>
      <c r="C29" s="6" t="s">
        <v>49</v>
      </c>
      <c r="D29" s="6"/>
    </row>
    <row r="30" customFormat="false" ht="27.75" hidden="false" customHeight="true" outlineLevel="0" collapsed="false">
      <c r="B30" s="15" t="s">
        <v>50</v>
      </c>
      <c r="C30" s="6" t="s">
        <v>51</v>
      </c>
      <c r="D30" s="6"/>
    </row>
    <row r="31" customFormat="false" ht="27.75" hidden="false" customHeight="true" outlineLevel="0" collapsed="false">
      <c r="B31" s="15" t="s">
        <v>52</v>
      </c>
      <c r="C31" s="6" t="s">
        <v>53</v>
      </c>
      <c r="D31" s="6"/>
    </row>
    <row r="32" customFormat="false" ht="27.75" hidden="false" customHeight="true" outlineLevel="0" collapsed="false">
      <c r="B32" s="15" t="s">
        <v>54</v>
      </c>
      <c r="C32" s="6" t="s">
        <v>55</v>
      </c>
      <c r="D32" s="6"/>
    </row>
    <row r="33" customFormat="false" ht="27.75" hidden="false" customHeight="true" outlineLevel="0" collapsed="false">
      <c r="B33" s="15" t="s">
        <v>56</v>
      </c>
      <c r="C33" s="6" t="s">
        <v>57</v>
      </c>
      <c r="D33" s="6"/>
    </row>
    <row r="34" customFormat="false" ht="27.75" hidden="false" customHeight="true" outlineLevel="0" collapsed="false">
      <c r="B34" s="15" t="s">
        <v>58</v>
      </c>
      <c r="C34" s="6" t="s">
        <v>59</v>
      </c>
      <c r="D34" s="6"/>
    </row>
    <row r="36" customFormat="false" ht="15" hidden="false" customHeight="true" outlineLevel="0" collapsed="false">
      <c r="B36" s="16" t="s">
        <v>60</v>
      </c>
      <c r="C36" s="16"/>
      <c r="D36" s="16"/>
    </row>
    <row r="37" customFormat="false" ht="15" hidden="false" customHeight="false" outlineLevel="0" collapsed="false">
      <c r="B37" s="16"/>
      <c r="C37" s="16"/>
      <c r="D37" s="16"/>
    </row>
  </sheetData>
  <mergeCells count="8">
    <mergeCell ref="C28:D28"/>
    <mergeCell ref="C29:D29"/>
    <mergeCell ref="C30:D30"/>
    <mergeCell ref="C31:D31"/>
    <mergeCell ref="C32:D32"/>
    <mergeCell ref="C33:D33"/>
    <mergeCell ref="C34:D34"/>
    <mergeCell ref="B36:D37"/>
  </mergeCells>
  <hyperlinks>
    <hyperlink ref="B6" r:id="rId1" location="'Dashboard'!A1" display="Dashboard"/>
    <hyperlink ref="B7" r:id="rId2" location="'Action%20Plan'!A1" display="Action Plan"/>
    <hyperlink ref="B8" r:id="rId3" location="'Content%20Themes'!A1" display="Content Themes"/>
    <hyperlink ref="B9" r:id="rId4" location="'Format%20&amp;%20Packaging'!A1" display="Format &amp; Packaging"/>
    <hyperlink ref="B10" r:id="rId5" location="'Timeline'!A1" display="Timeline"/>
    <hyperlink ref="B11" r:id="rId6" location="'Launch%20Velocity'!A1" display="Launch Velocity"/>
    <hyperlink ref="B12" r:id="rId7" location="'Video%20Data'!A1" display="Video Data"/>
    <hyperlink ref="B13" r:id="rId8" location="'Market%20Research'!A1" display="Market Research"/>
    <hyperlink ref="B14" r:id="rId9" location="'Data%20Gaps%20&amp;%20How-To'!A1" display="Data Gaps &amp; How-To"/>
    <hyperlink ref="B15" r:id="rId10" location="'Daily%20Views%20(raw)'!A1" display="Daily Views (ra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0"/>
    <col collapsed="false" customWidth="true" hidden="false" outlineLevel="0" max="4" min="4" style="0" width="46"/>
    <col collapsed="false" customWidth="true" hidden="false" outlineLevel="0" max="5" min="5" style="0" width="8"/>
    <col collapsed="false" customWidth="true" hidden="false" outlineLevel="0" max="6" min="6" style="0" width="30"/>
    <col collapsed="false" customWidth="true" hidden="false" outlineLevel="0" max="8" min="7" style="0" width="11"/>
    <col collapsed="false" customWidth="true" hidden="false" outlineLevel="0" max="9" min="9" style="0" width="13"/>
  </cols>
  <sheetData>
    <row r="1" customFormat="false" ht="30" hidden="false" customHeight="true" outlineLevel="0" collapsed="false">
      <c r="A1" s="1" t="s">
        <v>61</v>
      </c>
    </row>
    <row r="2" customFormat="false" ht="15" hidden="false" customHeight="false" outlineLevel="0" collapsed="false">
      <c r="A2" s="2" t="s">
        <v>62</v>
      </c>
    </row>
    <row r="4" customFormat="false" ht="16.15" hidden="false" customHeight="false" outlineLevel="0" collapsed="false">
      <c r="B4" s="3" t="s">
        <v>63</v>
      </c>
      <c r="F4" s="3" t="s">
        <v>64</v>
      </c>
    </row>
    <row r="5" customFormat="false" ht="31.5" hidden="false" customHeight="true" outlineLevel="0" collapsed="false">
      <c r="B5" s="4" t="s">
        <v>65</v>
      </c>
      <c r="C5" s="4" t="s">
        <v>66</v>
      </c>
      <c r="D5" s="4" t="s">
        <v>67</v>
      </c>
      <c r="F5" s="4" t="s">
        <v>65</v>
      </c>
      <c r="G5" s="4" t="s">
        <v>68</v>
      </c>
      <c r="H5" s="4" t="s">
        <v>69</v>
      </c>
      <c r="I5" s="4" t="s">
        <v>70</v>
      </c>
    </row>
    <row r="6" customFormat="false" ht="30" hidden="false" customHeight="true" outlineLevel="0" collapsed="false">
      <c r="B6" s="15" t="s">
        <v>71</v>
      </c>
      <c r="C6" s="17" t="n">
        <v>29044</v>
      </c>
      <c r="D6" s="6" t="s">
        <v>72</v>
      </c>
      <c r="F6" s="15" t="s">
        <v>73</v>
      </c>
      <c r="G6" s="18" t="n">
        <f aca="false">C11</f>
        <v>0.0544</v>
      </c>
      <c r="H6" s="19" t="n">
        <v>0.06</v>
      </c>
      <c r="I6" s="20" t="str">
        <f aca="false">IF(G6&gt;=H6,"✅ On track",IF(G6&gt;=0.04,"🟡 Close","🔴 Fix"))</f>
        <v>🟡 Close</v>
      </c>
    </row>
    <row r="7" customFormat="false" ht="30" hidden="false" customHeight="true" outlineLevel="0" collapsed="false">
      <c r="B7" s="15" t="s">
        <v>74</v>
      </c>
      <c r="C7" s="21" t="n">
        <v>84.2106</v>
      </c>
      <c r="D7" s="6" t="s">
        <v>75</v>
      </c>
      <c r="F7" s="15" t="s">
        <v>54</v>
      </c>
      <c r="G7" s="22" t="n">
        <f aca="false">C13</f>
        <v>1.75595647982372</v>
      </c>
      <c r="H7" s="23" t="n">
        <v>2.27</v>
      </c>
      <c r="I7" s="20" t="str">
        <f aca="false">IF(G7&gt;=H7,"✅ On track",IF(G7&gt;=1.69,"🟡 Close","🔴 Fix"))</f>
        <v>🟡 Close</v>
      </c>
    </row>
    <row r="8" customFormat="false" ht="30" hidden="false" customHeight="true" outlineLevel="0" collapsed="false">
      <c r="B8" s="15" t="s">
        <v>76</v>
      </c>
      <c r="C8" s="17" t="n">
        <v>51</v>
      </c>
      <c r="D8" s="6" t="s">
        <v>77</v>
      </c>
      <c r="F8" s="15" t="s">
        <v>78</v>
      </c>
      <c r="G8" s="24" t="n">
        <f aca="false">'Format &amp; Packaging'!F6</f>
        <v>6.64724859539126</v>
      </c>
      <c r="H8" s="25" t="n">
        <v>15</v>
      </c>
      <c r="I8" s="20" t="str">
        <f aca="false">IF(G8&gt;=H8,"✅ On track",IF(G8&gt;=8,"🟡 Close","🔴 Fix"))</f>
        <v>🔴 Fix</v>
      </c>
    </row>
    <row r="9" customFormat="false" ht="30" hidden="false" customHeight="true" outlineLevel="0" collapsed="false">
      <c r="B9" s="15" t="s">
        <v>79</v>
      </c>
      <c r="C9" s="26" t="n">
        <f aca="false">COUNTA('Video Data'!$B$5:$B$71)</f>
        <v>67</v>
      </c>
      <c r="D9" s="6" t="s">
        <v>80</v>
      </c>
      <c r="F9" s="15" t="s">
        <v>81</v>
      </c>
      <c r="G9" s="27" t="n">
        <f aca="false">C16</f>
        <v>0.296412339898086</v>
      </c>
      <c r="H9" s="28" t="n">
        <v>0.15</v>
      </c>
      <c r="I9" s="20" t="str">
        <f aca="false">IF(G9&lt;=H9,"✅ On track",IF(G9&lt;=0.3,"🟡 Close","🔴 Fix"))</f>
        <v>🟡 Close</v>
      </c>
    </row>
    <row r="10" customFormat="false" ht="30" hidden="false" customHeight="true" outlineLevel="0" collapsed="false">
      <c r="B10" s="15" t="s">
        <v>82</v>
      </c>
      <c r="C10" s="17" t="n">
        <v>231269</v>
      </c>
      <c r="D10" s="6" t="s">
        <v>83</v>
      </c>
      <c r="F10" s="15" t="s">
        <v>84</v>
      </c>
      <c r="G10" s="29" t="n">
        <f aca="false">COUNTIF('Video Data'!$D$5:$D$71,"&gt;="&amp;(DATE(2026,10,17)-90))</f>
        <v>0</v>
      </c>
      <c r="H10" s="30" t="n">
        <v>12</v>
      </c>
      <c r="I10" s="20" t="str">
        <f aca="false">IF(G10&gt;=H10,"✅ On track",IF(G10&gt;=4,"🟡 Close","🔴 Fix"))</f>
        <v>🔴 Fix</v>
      </c>
    </row>
    <row r="11" customFormat="false" ht="30" hidden="false" customHeight="true" outlineLevel="0" collapsed="false">
      <c r="B11" s="15" t="s">
        <v>73</v>
      </c>
      <c r="C11" s="31" t="n">
        <v>0.0544</v>
      </c>
      <c r="D11" s="6" t="s">
        <v>85</v>
      </c>
      <c r="F11" s="15" t="s">
        <v>86</v>
      </c>
      <c r="G11" s="27" t="n">
        <f aca="false">'Content Themes'!D5+'Content Themes'!D6</f>
        <v>0.805444785276074</v>
      </c>
      <c r="H11" s="28" t="n">
        <v>0.9</v>
      </c>
      <c r="I11" s="20" t="str">
        <f aca="false">IF(G11&gt;=H11,"✅ On track",IF(G11&gt;=0.7,"🟡 Close","🔴 Fix"))</f>
        <v>🟡 Close</v>
      </c>
    </row>
    <row r="12" customFormat="false" ht="30" hidden="false" customHeight="true" outlineLevel="0" collapsed="false">
      <c r="B12" s="15" t="s">
        <v>87</v>
      </c>
      <c r="C12" s="32" t="n">
        <f aca="false">AVERAGE('Video Data'!$K$5:$K$71)</f>
        <v>389.253731343284</v>
      </c>
      <c r="D12" s="6" t="s">
        <v>88</v>
      </c>
      <c r="F12" s="16" t="s">
        <v>89</v>
      </c>
      <c r="G12" s="16"/>
      <c r="H12" s="16"/>
      <c r="I12" s="16"/>
    </row>
    <row r="13" customFormat="false" ht="30" hidden="false" customHeight="true" outlineLevel="0" collapsed="false">
      <c r="B13" s="15" t="s">
        <v>54</v>
      </c>
      <c r="C13" s="33" t="n">
        <f aca="false">C8/C6*1000</f>
        <v>1.75595647982372</v>
      </c>
      <c r="D13" s="6" t="s">
        <v>90</v>
      </c>
      <c r="F13" s="16"/>
      <c r="G13" s="16"/>
      <c r="H13" s="16"/>
      <c r="I13" s="16"/>
    </row>
    <row r="14" customFormat="false" ht="30" hidden="false" customHeight="true" outlineLevel="0" collapsed="false">
      <c r="B14" s="15" t="s">
        <v>91</v>
      </c>
      <c r="C14" s="32" t="n">
        <f aca="false">MEDIAN('Video Data'!$K$5:$K$71)</f>
        <v>129</v>
      </c>
      <c r="D14" s="6" t="s">
        <v>92</v>
      </c>
      <c r="F14" s="16"/>
      <c r="G14" s="16"/>
      <c r="H14" s="16"/>
      <c r="I14" s="16"/>
    </row>
    <row r="15" customFormat="false" ht="30" hidden="false" customHeight="true" outlineLevel="0" collapsed="false">
      <c r="B15" s="15" t="s">
        <v>93</v>
      </c>
      <c r="C15" s="33" t="n">
        <f aca="false">C7*3600/C6</f>
        <v>10.4378928522242</v>
      </c>
      <c r="D15" s="6" t="s">
        <v>94</v>
      </c>
    </row>
    <row r="16" customFormat="false" ht="30" hidden="false" customHeight="true" outlineLevel="0" collapsed="false">
      <c r="B16" s="15" t="s">
        <v>95</v>
      </c>
      <c r="C16" s="34" t="n">
        <f aca="false">'Video Data'!K5/C6</f>
        <v>0.296412339898086</v>
      </c>
      <c r="D16" s="6" t="s">
        <v>96</v>
      </c>
    </row>
    <row r="17" customFormat="false" ht="30" hidden="false" customHeight="true" outlineLevel="0" collapsed="false">
      <c r="B17" s="15" t="s">
        <v>97</v>
      </c>
      <c r="C17" s="34" t="n">
        <f aca="false">SUM('Video Data'!K5:K10)/C6</f>
        <v>0.573509158518111</v>
      </c>
      <c r="D17" s="6" t="s">
        <v>98</v>
      </c>
    </row>
    <row r="19" customFormat="false" ht="16.15" hidden="false" customHeight="false" outlineLevel="0" collapsed="false">
      <c r="B19" s="3" t="s">
        <v>99</v>
      </c>
    </row>
    <row r="20" customFormat="false" ht="31.5" hidden="false" customHeight="true" outlineLevel="0" collapsed="false">
      <c r="B20" s="4" t="s">
        <v>100</v>
      </c>
      <c r="C20" s="4" t="s">
        <v>101</v>
      </c>
      <c r="D20" s="4" t="s">
        <v>102</v>
      </c>
      <c r="E20" s="4" t="s">
        <v>48</v>
      </c>
      <c r="F20" s="4" t="s">
        <v>103</v>
      </c>
    </row>
    <row r="21" customFormat="false" ht="15" hidden="false" customHeight="false" outlineLevel="0" collapsed="false">
      <c r="B21" s="35" t="n">
        <v>1</v>
      </c>
      <c r="C21" s="36" t="str">
        <f aca="false">'Video Data'!C5</f>
        <v>Umpire Caught Cheating In Cricket 07</v>
      </c>
      <c r="D21" s="37" t="n">
        <f aca="false">'Video Data'!K5</f>
        <v>8609</v>
      </c>
      <c r="E21" s="38" t="n">
        <f aca="false">IF(ISNUMBER('Video Data'!R5),'Video Data'!R5,"–")</f>
        <v>0.0829</v>
      </c>
      <c r="F21" s="36" t="str">
        <f aca="false">'Video Data'!H5</f>
        <v>Cricket: Umpire/Decision Drama</v>
      </c>
    </row>
    <row r="22" customFormat="false" ht="15" hidden="false" customHeight="false" outlineLevel="0" collapsed="false">
      <c r="B22" s="35" t="n">
        <v>2</v>
      </c>
      <c r="C22" s="36" t="str">
        <f aca="false">'Video Data'!C6</f>
        <v>How Is That NOT OUT?! 😳</v>
      </c>
      <c r="D22" s="37" t="n">
        <f aca="false">'Video Data'!K6</f>
        <v>2006</v>
      </c>
      <c r="E22" s="38" t="n">
        <f aca="false">IF(ISNUMBER('Video Data'!R6),'Video Data'!R6,"–")</f>
        <v>0.0125</v>
      </c>
      <c r="F22" s="36" t="str">
        <f aca="false">'Video Data'!H6</f>
        <v>Cricket: Umpire/Decision Drama</v>
      </c>
    </row>
    <row r="23" customFormat="false" ht="15" hidden="false" customHeight="false" outlineLevel="0" collapsed="false">
      <c r="B23" s="35" t="n">
        <v>3</v>
      </c>
      <c r="C23" s="36" t="str">
        <f aca="false">'Video Data'!C7</f>
        <v>counter strike condition zero#counterstrike#counterstrikeconditionzero#shorts</v>
      </c>
      <c r="D23" s="37" t="n">
        <f aca="false">'Video Data'!K7</f>
        <v>1603</v>
      </c>
      <c r="E23" s="38" t="n">
        <f aca="false">IF(ISNUMBER('Video Data'!R7),'Video Data'!R7,"–")</f>
        <v>0.0088</v>
      </c>
      <c r="F23" s="36" t="str">
        <f aca="false">'Video Data'!H7</f>
        <v>Counter-Strike: CZ</v>
      </c>
    </row>
    <row r="24" customFormat="false" ht="15" hidden="false" customHeight="false" outlineLevel="0" collapsed="false">
      <c r="B24" s="35" t="n">
        <v>4</v>
      </c>
      <c r="C24" s="36" t="str">
        <f aca="false">'Video Data'!C8</f>
        <v>The Calm Before LBW</v>
      </c>
      <c r="D24" s="37" t="n">
        <f aca="false">'Video Data'!K8</f>
        <v>1585</v>
      </c>
      <c r="E24" s="38" t="n">
        <f aca="false">IF(ISNUMBER('Video Data'!R8),'Video Data'!R8,"–")</f>
        <v>0</v>
      </c>
      <c r="F24" s="36" t="str">
        <f aca="false">'Video Data'!H8</f>
        <v>Cricket: Umpire/Decision Drama</v>
      </c>
    </row>
    <row r="25" customFormat="false" ht="15" hidden="false" customHeight="false" outlineLevel="0" collapsed="false">
      <c r="B25" s="35" t="n">
        <v>5</v>
      </c>
      <c r="C25" s="36" t="str">
        <f aca="false">'Video Data'!C9</f>
        <v>BLIND UMPIRE</v>
      </c>
      <c r="D25" s="37" t="n">
        <f aca="false">'Video Data'!K9</f>
        <v>1523</v>
      </c>
      <c r="E25" s="38" t="n">
        <f aca="false">IF(ISNUMBER('Video Data'!R9),'Video Data'!R9,"–")</f>
        <v>0</v>
      </c>
      <c r="F25" s="36" t="str">
        <f aca="false">'Video Data'!H9</f>
        <v>Cricket: Umpire/Decision Drama</v>
      </c>
    </row>
    <row r="26" customFormat="false" ht="15" hidden="false" customHeight="false" outlineLevel="0" collapsed="false">
      <c r="B26" s="35" t="n">
        <v>6</v>
      </c>
      <c r="C26" s="36" t="str">
        <f aca="false">'Video Data'!C10</f>
        <v>Plum LBW As F***ing Hell #1</v>
      </c>
      <c r="D26" s="37" t="n">
        <f aca="false">'Video Data'!K10</f>
        <v>1331</v>
      </c>
      <c r="E26" s="38" t="n">
        <f aca="false">IF(ISNUMBER('Video Data'!R10),'Video Data'!R10,"–")</f>
        <v>0.036</v>
      </c>
      <c r="F26" s="36" t="str">
        <f aca="false">'Video Data'!H10</f>
        <v>Cricket: Umpire/Decision Drama</v>
      </c>
    </row>
    <row r="27" customFormat="false" ht="15" hidden="false" customHeight="false" outlineLevel="0" collapsed="false">
      <c r="B27" s="35" t="n">
        <v>7</v>
      </c>
      <c r="C27" s="36" t="str">
        <f aca="false">'Video Data'!C11</f>
        <v>CRICKET 07 2011 THE TENTH WORLD WAR!</v>
      </c>
      <c r="D27" s="37" t="n">
        <f aca="false">'Video Data'!K11</f>
        <v>937</v>
      </c>
      <c r="E27" s="38" t="n">
        <f aca="false">IF(ISNUMBER('Video Data'!R11),'Video Data'!R11,"–")</f>
        <v>0.0786</v>
      </c>
      <c r="F27" s="36" t="str">
        <f aca="false">'Video Data'!H11</f>
        <v>Cricket: Gameplay &amp; Moments</v>
      </c>
    </row>
    <row r="28" customFormat="false" ht="15" hidden="false" customHeight="false" outlineLevel="0" collapsed="false">
      <c r="B28" s="35" t="n">
        <v>8</v>
      </c>
      <c r="C28" s="36" t="str">
        <f aca="false">'Video Data'!C12</f>
        <v>Impossible CS: Condition Zero Shot – You Won’t Believe This!</v>
      </c>
      <c r="D28" s="37" t="n">
        <f aca="false">'Video Data'!K12</f>
        <v>779</v>
      </c>
      <c r="E28" s="38" t="n">
        <f aca="false">IF(ISNUMBER('Video Data'!R12),'Video Data'!R12,"–")</f>
        <v>0.0084</v>
      </c>
      <c r="F28" s="36" t="str">
        <f aca="false">'Video Data'!H12</f>
        <v>Counter-Strike: CZ</v>
      </c>
    </row>
    <row r="29" customFormat="false" ht="15" hidden="false" customHeight="false" outlineLevel="0" collapsed="false">
      <c r="B29" s="35" t="n">
        <v>9</v>
      </c>
      <c r="C29" s="36" t="str">
        <f aca="false">'Video Data'!C13</f>
        <v>Eventful First Over#shorts #ipl</v>
      </c>
      <c r="D29" s="37" t="n">
        <f aca="false">'Video Data'!K13</f>
        <v>719</v>
      </c>
      <c r="E29" s="38" t="n">
        <f aca="false">IF(ISNUMBER('Video Data'!R13),'Video Data'!R13,"–")</f>
        <v>0.0385</v>
      </c>
      <c r="F29" s="36" t="str">
        <f aca="false">'Video Data'!H13</f>
        <v>Cricket: Gameplay &amp; Moments</v>
      </c>
    </row>
    <row r="30" customFormat="false" ht="15" hidden="false" customHeight="false" outlineLevel="0" collapsed="false">
      <c r="B30" s="35" t="n">
        <v>10</v>
      </c>
      <c r="C30" s="36" t="str">
        <f aca="false">'Video Data'!C14</f>
        <v>EA SPORTS CRICKET 07 2011 world cup patch#wc2011#yt20 #easports #easportscricket07 #msdhoni#shorts</v>
      </c>
      <c r="D30" s="37" t="n">
        <f aca="false">'Video Data'!K14</f>
        <v>502</v>
      </c>
      <c r="E30" s="38" t="n">
        <f aca="false">IF(ISNUMBER('Video Data'!R14),'Video Data'!R14,"–")</f>
        <v>0.0488</v>
      </c>
      <c r="F30" s="36" t="str">
        <f aca="false">'Video Data'!H14</f>
        <v>Cricket: Gameplay &amp; Moments</v>
      </c>
    </row>
    <row r="33" customFormat="false" ht="16.15" hidden="false" customHeight="false" outlineLevel="0" collapsed="false">
      <c r="B33" s="3" t="s">
        <v>104</v>
      </c>
    </row>
    <row r="34" customFormat="false" ht="36" hidden="false" customHeight="true" outlineLevel="0" collapsed="false">
      <c r="B34" s="39" t="s">
        <v>105</v>
      </c>
      <c r="C34" s="40" t="s">
        <v>106</v>
      </c>
      <c r="D34" s="40"/>
      <c r="E34" s="40"/>
      <c r="F34" s="40"/>
      <c r="G34" s="40"/>
      <c r="H34" s="40"/>
      <c r="I34" s="40"/>
    </row>
    <row r="35" customFormat="false" ht="36" hidden="false" customHeight="true" outlineLevel="0" collapsed="false">
      <c r="B35" s="39" t="s">
        <v>107</v>
      </c>
      <c r="C35" s="40" t="s">
        <v>108</v>
      </c>
      <c r="D35" s="40"/>
      <c r="E35" s="40"/>
      <c r="F35" s="40"/>
      <c r="G35" s="40"/>
      <c r="H35" s="40"/>
      <c r="I35" s="40"/>
    </row>
    <row r="36" customFormat="false" ht="36" hidden="false" customHeight="true" outlineLevel="0" collapsed="false">
      <c r="B36" s="39" t="s">
        <v>109</v>
      </c>
      <c r="C36" s="40" t="s">
        <v>110</v>
      </c>
      <c r="D36" s="40"/>
      <c r="E36" s="40"/>
      <c r="F36" s="40"/>
      <c r="G36" s="40"/>
      <c r="H36" s="40"/>
      <c r="I36" s="40"/>
    </row>
    <row r="37" customFormat="false" ht="36" hidden="false" customHeight="true" outlineLevel="0" collapsed="false">
      <c r="B37" s="39" t="s">
        <v>111</v>
      </c>
      <c r="C37" s="40" t="s">
        <v>112</v>
      </c>
      <c r="D37" s="40"/>
      <c r="E37" s="40"/>
      <c r="F37" s="40"/>
      <c r="G37" s="40"/>
      <c r="H37" s="40"/>
      <c r="I37" s="40"/>
    </row>
    <row r="38" customFormat="false" ht="36" hidden="false" customHeight="true" outlineLevel="0" collapsed="false">
      <c r="B38" s="39" t="s">
        <v>113</v>
      </c>
      <c r="C38" s="40" t="s">
        <v>114</v>
      </c>
      <c r="D38" s="40"/>
      <c r="E38" s="40"/>
      <c r="F38" s="40"/>
      <c r="G38" s="40"/>
      <c r="H38" s="40"/>
      <c r="I38" s="40"/>
    </row>
    <row r="39" customFormat="false" ht="36" hidden="false" customHeight="true" outlineLevel="0" collapsed="false">
      <c r="B39" s="39" t="s">
        <v>115</v>
      </c>
      <c r="C39" s="40" t="s">
        <v>116</v>
      </c>
      <c r="D39" s="40"/>
      <c r="E39" s="40"/>
      <c r="F39" s="40"/>
      <c r="G39" s="40"/>
      <c r="H39" s="40"/>
      <c r="I39" s="40"/>
    </row>
    <row r="40" customFormat="false" ht="36" hidden="false" customHeight="true" outlineLevel="0" collapsed="false">
      <c r="B40" s="39" t="s">
        <v>117</v>
      </c>
      <c r="C40" s="40" t="s">
        <v>118</v>
      </c>
      <c r="D40" s="40"/>
      <c r="E40" s="40"/>
      <c r="F40" s="40"/>
      <c r="G40" s="40"/>
      <c r="H40" s="40"/>
      <c r="I40" s="40"/>
    </row>
    <row r="41" customFormat="false" ht="36" hidden="false" customHeight="true" outlineLevel="0" collapsed="false">
      <c r="B41" s="39" t="s">
        <v>119</v>
      </c>
      <c r="C41" s="40" t="s">
        <v>120</v>
      </c>
      <c r="D41" s="40"/>
      <c r="E41" s="40"/>
      <c r="F41" s="40"/>
      <c r="G41" s="40"/>
      <c r="H41" s="40"/>
      <c r="I41" s="40"/>
    </row>
    <row r="42" customFormat="false" ht="36" hidden="false" customHeight="true" outlineLevel="0" collapsed="false">
      <c r="B42" s="39" t="s">
        <v>121</v>
      </c>
      <c r="C42" s="40" t="s">
        <v>122</v>
      </c>
      <c r="D42" s="40"/>
      <c r="E42" s="40"/>
      <c r="F42" s="40"/>
      <c r="G42" s="40"/>
      <c r="H42" s="40"/>
      <c r="I42" s="40"/>
    </row>
    <row r="43" customFormat="false" ht="36" hidden="false" customHeight="true" outlineLevel="0" collapsed="false">
      <c r="B43" s="39" t="s">
        <v>123</v>
      </c>
      <c r="C43" s="40" t="s">
        <v>124</v>
      </c>
      <c r="D43" s="40"/>
      <c r="E43" s="40"/>
      <c r="F43" s="40"/>
      <c r="G43" s="40"/>
      <c r="H43" s="40"/>
      <c r="I43" s="40"/>
    </row>
    <row r="45" customFormat="false" ht="15" hidden="false" customHeight="false" outlineLevel="0" collapsed="false">
      <c r="B45" s="41" t="s">
        <v>125</v>
      </c>
    </row>
  </sheetData>
  <mergeCells count="11">
    <mergeCell ref="F12:I14"/>
    <mergeCell ref="C34:I34"/>
    <mergeCell ref="C35:I35"/>
    <mergeCell ref="C36:I36"/>
    <mergeCell ref="C37:I37"/>
    <mergeCell ref="C38:I38"/>
    <mergeCell ref="C39:I39"/>
    <mergeCell ref="C40:I40"/>
    <mergeCell ref="C41:I41"/>
    <mergeCell ref="C42:I42"/>
    <mergeCell ref="C43:I43"/>
  </mergeCells>
  <conditionalFormatting sqref="I6:I11">
    <cfRule type="expression" priority="2" aboveAverage="0" equalAverage="0" bottom="0" percent="0" rank="0" text="" dxfId="0">
      <formula>LEFT(I6,1)="✅"</formula>
    </cfRule>
    <cfRule type="expression" priority="3" aboveAverage="0" equalAverage="0" bottom="0" percent="0" rank="0" text="" dxfId="1">
      <formula>LEFT(I6,1)="🟡"</formula>
    </cfRule>
    <cfRule type="expression" priority="4" aboveAverage="0" equalAverage="0" bottom="0" percent="0" rank="0" text="" dxfId="2">
      <formula>LEFT(I6,1)="🔴"</formula>
    </cfRule>
  </conditionalFormatting>
  <conditionalFormatting sqref="D21:D30">
    <cfRule type="dataBar" priority="5">
      <dataBar showValue="1" minLength="10" maxLength="90">
        <cfvo type="num" val="0"/>
        <cfvo type="max" val="0"/>
        <color rgb="FF5B9BD5"/>
      </dataBar>
      <extLst>
        <ext xmlns:x14="http://schemas.microsoft.com/office/spreadsheetml/2009/9/main" uri="{B025F937-C7B1-47D3-B67F-A62EFF666E3E}">
          <x14:id>{926BA818-F1A9-47FD-9E71-2100B57F11AD}</x14:id>
        </ext>
      </extLst>
    </cfRule>
  </conditionalFormatting>
  <conditionalFormatting sqref="E21:E30">
    <cfRule type="expression" priority="6" aboveAverage="0" equalAverage="0" bottom="0" percent="0" rank="0" text="" dxfId="0">
      <formula>AND(ISNUMBER(E21),E21&gt;=0.06)</formula>
    </cfRule>
    <cfRule type="expression" priority="7" aboveAverage="0" equalAverage="0" bottom="0" percent="0" rank="0" text="" dxfId="1">
      <formula>AND(ISNUMBER(E21),AND(E21&gt;=0.04,E21&lt;0.06))</formula>
    </cfRule>
    <cfRule type="expression" priority="8" aboveAverage="0" equalAverage="0" bottom="0" percent="0" rank="0" text="" dxfId="2">
      <formula>AND(ISNUMBER(E21),E21&lt;0.04)</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926BA818-F1A9-47FD-9E71-2100B57F11AD}">
            <x14:dataBar minLength="10" maxLength="90" axisPosition="none" gradient="true">
              <x14:cfvo type="num">
                <xm:f>0</xm:f>
              </x14:cfvo>
              <x14:cfvo type="max"/>
              <x14:negativeFillColor rgb="FF5B9BD5"/>
              <x14:axisColor rgb="FF000000"/>
            </x14:dataBar>
          </x14:cfRule>
          <xm:sqref>D21:D30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14"/>
    <col collapsed="false" customWidth="true" hidden="false" outlineLevel="0" max="5" min="4" style="0" width="50"/>
    <col collapsed="false" customWidth="true" hidden="false" outlineLevel="0" max="6" min="6" style="0" width="24"/>
    <col collapsed="false" customWidth="true" hidden="false" outlineLevel="0" max="7" min="7" style="0" width="12"/>
    <col collapsed="false" customWidth="true" hidden="false" outlineLevel="0" max="8" min="8" style="0" width="13"/>
  </cols>
  <sheetData>
    <row r="1" customFormat="false" ht="30" hidden="false" customHeight="true" outlineLevel="0" collapsed="false">
      <c r="A1" s="1" t="s">
        <v>126</v>
      </c>
    </row>
    <row r="2" customFormat="false" ht="15" hidden="false" customHeight="false" outlineLevel="0" collapsed="false">
      <c r="A2" s="2" t="s">
        <v>127</v>
      </c>
    </row>
    <row r="4" customFormat="false" ht="31.5" hidden="false" customHeight="true" outlineLevel="0" collapsed="false">
      <c r="A4" s="4" t="s">
        <v>100</v>
      </c>
      <c r="B4" s="4" t="s">
        <v>128</v>
      </c>
      <c r="C4" s="4" t="s">
        <v>129</v>
      </c>
      <c r="D4" s="4" t="s">
        <v>130</v>
      </c>
      <c r="E4" s="4" t="s">
        <v>131</v>
      </c>
      <c r="F4" s="4" t="s">
        <v>132</v>
      </c>
      <c r="G4" s="4" t="s">
        <v>133</v>
      </c>
      <c r="H4" s="4" t="s">
        <v>70</v>
      </c>
    </row>
    <row r="5" customFormat="false" ht="79.5" hidden="false" customHeight="true" outlineLevel="0" collapsed="false">
      <c r="A5" s="6" t="n">
        <v>1</v>
      </c>
      <c r="B5" s="20" t="s">
        <v>134</v>
      </c>
      <c r="C5" s="42" t="s">
        <v>135</v>
      </c>
      <c r="D5" s="6" t="s">
        <v>136</v>
      </c>
      <c r="E5" s="6" t="s">
        <v>137</v>
      </c>
      <c r="F5" s="6" t="s">
        <v>138</v>
      </c>
      <c r="G5" s="6" t="s">
        <v>139</v>
      </c>
      <c r="H5" s="6" t="s">
        <v>140</v>
      </c>
    </row>
    <row r="6" customFormat="false" ht="79.5" hidden="false" customHeight="true" outlineLevel="0" collapsed="false">
      <c r="A6" s="6" t="n">
        <v>2</v>
      </c>
      <c r="B6" s="20" t="s">
        <v>134</v>
      </c>
      <c r="C6" s="42" t="s">
        <v>141</v>
      </c>
      <c r="D6" s="6" t="s">
        <v>142</v>
      </c>
      <c r="E6" s="6" t="s">
        <v>143</v>
      </c>
      <c r="F6" s="6" t="s">
        <v>144</v>
      </c>
      <c r="G6" s="6" t="s">
        <v>145</v>
      </c>
      <c r="H6" s="6" t="s">
        <v>140</v>
      </c>
    </row>
    <row r="7" customFormat="false" ht="79.5" hidden="false" customHeight="true" outlineLevel="0" collapsed="false">
      <c r="A7" s="6" t="n">
        <v>3</v>
      </c>
      <c r="B7" s="20" t="s">
        <v>134</v>
      </c>
      <c r="C7" s="42" t="s">
        <v>146</v>
      </c>
      <c r="D7" s="6" t="s">
        <v>147</v>
      </c>
      <c r="E7" s="6" t="s">
        <v>148</v>
      </c>
      <c r="F7" s="6" t="s">
        <v>149</v>
      </c>
      <c r="G7" s="6" t="s">
        <v>150</v>
      </c>
      <c r="H7" s="6" t="s">
        <v>140</v>
      </c>
    </row>
    <row r="8" customFormat="false" ht="79.5" hidden="false" customHeight="true" outlineLevel="0" collapsed="false">
      <c r="A8" s="6" t="n">
        <v>4</v>
      </c>
      <c r="B8" s="20" t="s">
        <v>134</v>
      </c>
      <c r="C8" s="42" t="s">
        <v>151</v>
      </c>
      <c r="D8" s="6" t="s">
        <v>152</v>
      </c>
      <c r="E8" s="6" t="s">
        <v>153</v>
      </c>
      <c r="F8" s="6" t="s">
        <v>154</v>
      </c>
      <c r="G8" s="6" t="s">
        <v>155</v>
      </c>
      <c r="H8" s="6" t="s">
        <v>140</v>
      </c>
    </row>
    <row r="9" customFormat="false" ht="79.5" hidden="false" customHeight="true" outlineLevel="0" collapsed="false">
      <c r="A9" s="6" t="n">
        <v>5</v>
      </c>
      <c r="B9" s="20" t="s">
        <v>134</v>
      </c>
      <c r="C9" s="42" t="s">
        <v>156</v>
      </c>
      <c r="D9" s="6" t="s">
        <v>157</v>
      </c>
      <c r="E9" s="6" t="s">
        <v>158</v>
      </c>
      <c r="F9" s="6" t="s">
        <v>159</v>
      </c>
      <c r="G9" s="6" t="s">
        <v>160</v>
      </c>
      <c r="H9" s="6" t="s">
        <v>140</v>
      </c>
    </row>
    <row r="10" customFormat="false" ht="79.5" hidden="false" customHeight="true" outlineLevel="0" collapsed="false">
      <c r="A10" s="6" t="n">
        <v>6</v>
      </c>
      <c r="B10" s="20" t="s">
        <v>134</v>
      </c>
      <c r="C10" s="42" t="s">
        <v>161</v>
      </c>
      <c r="D10" s="6" t="s">
        <v>162</v>
      </c>
      <c r="E10" s="6" t="s">
        <v>163</v>
      </c>
      <c r="F10" s="6" t="s">
        <v>164</v>
      </c>
      <c r="G10" s="6" t="s">
        <v>155</v>
      </c>
      <c r="H10" s="6" t="s">
        <v>140</v>
      </c>
    </row>
    <row r="11" customFormat="false" ht="79.5" hidden="false" customHeight="true" outlineLevel="0" collapsed="false">
      <c r="A11" s="6" t="n">
        <v>7</v>
      </c>
      <c r="B11" s="20" t="s">
        <v>165</v>
      </c>
      <c r="C11" s="42" t="s">
        <v>166</v>
      </c>
      <c r="D11" s="6" t="s">
        <v>167</v>
      </c>
      <c r="E11" s="6" t="s">
        <v>168</v>
      </c>
      <c r="F11" s="6" t="s">
        <v>169</v>
      </c>
      <c r="G11" s="6" t="s">
        <v>170</v>
      </c>
      <c r="H11" s="6" t="s">
        <v>140</v>
      </c>
    </row>
    <row r="12" customFormat="false" ht="79.5" hidden="false" customHeight="true" outlineLevel="0" collapsed="false">
      <c r="A12" s="6" t="n">
        <v>8</v>
      </c>
      <c r="B12" s="20" t="s">
        <v>165</v>
      </c>
      <c r="C12" s="42" t="s">
        <v>171</v>
      </c>
      <c r="D12" s="6" t="s">
        <v>172</v>
      </c>
      <c r="E12" s="6" t="s">
        <v>173</v>
      </c>
      <c r="F12" s="6" t="s">
        <v>174</v>
      </c>
      <c r="G12" s="6" t="s">
        <v>175</v>
      </c>
      <c r="H12" s="6" t="s">
        <v>140</v>
      </c>
    </row>
    <row r="13" customFormat="false" ht="79.5" hidden="false" customHeight="true" outlineLevel="0" collapsed="false">
      <c r="A13" s="6" t="n">
        <v>9</v>
      </c>
      <c r="B13" s="20" t="s">
        <v>165</v>
      </c>
      <c r="C13" s="42" t="s">
        <v>58</v>
      </c>
      <c r="D13" s="6" t="s">
        <v>176</v>
      </c>
      <c r="E13" s="6" t="s">
        <v>177</v>
      </c>
      <c r="F13" s="6" t="s">
        <v>178</v>
      </c>
      <c r="G13" s="6" t="s">
        <v>179</v>
      </c>
      <c r="H13" s="6" t="s">
        <v>140</v>
      </c>
    </row>
    <row r="14" customFormat="false" ht="79.5" hidden="false" customHeight="true" outlineLevel="0" collapsed="false">
      <c r="A14" s="6" t="n">
        <v>10</v>
      </c>
      <c r="B14" s="20" t="s">
        <v>165</v>
      </c>
      <c r="C14" s="42" t="s">
        <v>180</v>
      </c>
      <c r="D14" s="6" t="s">
        <v>181</v>
      </c>
      <c r="E14" s="6" t="s">
        <v>182</v>
      </c>
      <c r="F14" s="6" t="s">
        <v>183</v>
      </c>
      <c r="G14" s="6" t="s">
        <v>170</v>
      </c>
      <c r="H14" s="6" t="s">
        <v>140</v>
      </c>
    </row>
    <row r="15" customFormat="false" ht="79.5" hidden="false" customHeight="true" outlineLevel="0" collapsed="false">
      <c r="A15" s="6" t="n">
        <v>11</v>
      </c>
      <c r="B15" s="20" t="s">
        <v>165</v>
      </c>
      <c r="C15" s="42" t="s">
        <v>184</v>
      </c>
      <c r="D15" s="6" t="s">
        <v>185</v>
      </c>
      <c r="E15" s="6" t="s">
        <v>186</v>
      </c>
      <c r="F15" s="6" t="s">
        <v>183</v>
      </c>
      <c r="G15" s="6" t="s">
        <v>160</v>
      </c>
      <c r="H15" s="6" t="s">
        <v>140</v>
      </c>
    </row>
    <row r="16" customFormat="false" ht="79.5" hidden="false" customHeight="true" outlineLevel="0" collapsed="false">
      <c r="A16" s="6" t="n">
        <v>12</v>
      </c>
      <c r="B16" s="20" t="s">
        <v>165</v>
      </c>
      <c r="C16" s="42" t="s">
        <v>187</v>
      </c>
      <c r="D16" s="6" t="s">
        <v>188</v>
      </c>
      <c r="E16" s="6" t="s">
        <v>189</v>
      </c>
      <c r="F16" s="6" t="s">
        <v>190</v>
      </c>
      <c r="G16" s="6" t="s">
        <v>170</v>
      </c>
      <c r="H16" s="6" t="s">
        <v>140</v>
      </c>
    </row>
    <row r="17" customFormat="false" ht="79.5" hidden="false" customHeight="true" outlineLevel="0" collapsed="false">
      <c r="A17" s="6" t="n">
        <v>13</v>
      </c>
      <c r="B17" s="20" t="s">
        <v>165</v>
      </c>
      <c r="C17" s="42" t="s">
        <v>191</v>
      </c>
      <c r="D17" s="6" t="s">
        <v>192</v>
      </c>
      <c r="E17" s="6" t="s">
        <v>193</v>
      </c>
      <c r="F17" s="6" t="s">
        <v>194</v>
      </c>
      <c r="G17" s="6" t="s">
        <v>195</v>
      </c>
      <c r="H17" s="6" t="s">
        <v>140</v>
      </c>
    </row>
    <row r="18" customFormat="false" ht="79.5" hidden="false" customHeight="true" outlineLevel="0" collapsed="false">
      <c r="A18" s="6" t="n">
        <v>14</v>
      </c>
      <c r="B18" s="20" t="s">
        <v>196</v>
      </c>
      <c r="C18" s="42" t="s">
        <v>197</v>
      </c>
      <c r="D18" s="6" t="s">
        <v>198</v>
      </c>
      <c r="E18" s="6" t="s">
        <v>199</v>
      </c>
      <c r="F18" s="6" t="s">
        <v>200</v>
      </c>
      <c r="G18" s="6" t="s">
        <v>201</v>
      </c>
      <c r="H18" s="6" t="s">
        <v>140</v>
      </c>
    </row>
    <row r="19" customFormat="false" ht="79.5" hidden="false" customHeight="true" outlineLevel="0" collapsed="false">
      <c r="A19" s="6" t="n">
        <v>15</v>
      </c>
      <c r="B19" s="20" t="s">
        <v>196</v>
      </c>
      <c r="C19" s="42" t="s">
        <v>202</v>
      </c>
      <c r="D19" s="6" t="s">
        <v>203</v>
      </c>
      <c r="E19" s="6" t="s">
        <v>204</v>
      </c>
      <c r="F19" s="6" t="s">
        <v>205</v>
      </c>
      <c r="G19" s="6" t="s">
        <v>201</v>
      </c>
      <c r="H19" s="6" t="s">
        <v>140</v>
      </c>
    </row>
    <row r="20" customFormat="false" ht="79.5" hidden="false" customHeight="true" outlineLevel="0" collapsed="false">
      <c r="A20" s="6" t="n">
        <v>16</v>
      </c>
      <c r="B20" s="20" t="s">
        <v>196</v>
      </c>
      <c r="C20" s="42" t="s">
        <v>206</v>
      </c>
      <c r="D20" s="6" t="s">
        <v>207</v>
      </c>
      <c r="E20" s="6" t="s">
        <v>208</v>
      </c>
      <c r="F20" s="6" t="s">
        <v>209</v>
      </c>
      <c r="G20" s="6" t="s">
        <v>155</v>
      </c>
      <c r="H20" s="6" t="s">
        <v>140</v>
      </c>
    </row>
    <row r="21" customFormat="false" ht="79.5" hidden="false" customHeight="true" outlineLevel="0" collapsed="false">
      <c r="A21" s="6" t="n">
        <v>17</v>
      </c>
      <c r="B21" s="20" t="s">
        <v>196</v>
      </c>
      <c r="C21" s="42" t="s">
        <v>210</v>
      </c>
      <c r="D21" s="6" t="s">
        <v>211</v>
      </c>
      <c r="E21" s="6" t="s">
        <v>212</v>
      </c>
      <c r="F21" s="6" t="s">
        <v>213</v>
      </c>
      <c r="G21" s="6" t="s">
        <v>214</v>
      </c>
      <c r="H21" s="6" t="s">
        <v>140</v>
      </c>
    </row>
    <row r="24" customFormat="false" ht="16.15" hidden="false" customHeight="false" outlineLevel="0" collapsed="false">
      <c r="A24" s="3" t="s">
        <v>215</v>
      </c>
    </row>
    <row r="25" customFormat="false" ht="45.75" hidden="false" customHeight="true" outlineLevel="0" collapsed="false">
      <c r="B25" s="43" t="s">
        <v>216</v>
      </c>
      <c r="C25" s="43"/>
      <c r="D25" s="40" t="s">
        <v>217</v>
      </c>
      <c r="E25" s="40"/>
      <c r="F25" s="40"/>
      <c r="G25" s="40"/>
      <c r="H25" s="40"/>
    </row>
    <row r="26" customFormat="false" ht="45.75" hidden="false" customHeight="true" outlineLevel="0" collapsed="false">
      <c r="B26" s="43" t="s">
        <v>218</v>
      </c>
      <c r="C26" s="43"/>
      <c r="D26" s="40" t="s">
        <v>219</v>
      </c>
      <c r="E26" s="40"/>
      <c r="F26" s="40"/>
      <c r="G26" s="40"/>
      <c r="H26" s="40"/>
    </row>
    <row r="27" customFormat="false" ht="45.75" hidden="false" customHeight="true" outlineLevel="0" collapsed="false">
      <c r="B27" s="43" t="s">
        <v>220</v>
      </c>
      <c r="C27" s="43"/>
      <c r="D27" s="40" t="s">
        <v>221</v>
      </c>
      <c r="E27" s="40"/>
      <c r="F27" s="40"/>
      <c r="G27" s="40"/>
      <c r="H27" s="40"/>
    </row>
    <row r="29" customFormat="false" ht="16.15" hidden="false" customHeight="false" outlineLevel="0" collapsed="false">
      <c r="A29" s="3" t="s">
        <v>222</v>
      </c>
    </row>
    <row r="30" customFormat="false" ht="31.5" hidden="false" customHeight="true" outlineLevel="0" collapsed="false">
      <c r="A30" s="4"/>
      <c r="B30" s="4" t="s">
        <v>65</v>
      </c>
      <c r="C30" s="4"/>
      <c r="D30" s="4" t="s">
        <v>223</v>
      </c>
      <c r="E30" s="4" t="s">
        <v>224</v>
      </c>
      <c r="F30" s="4" t="s">
        <v>225</v>
      </c>
      <c r="G30" s="4"/>
      <c r="H30" s="4"/>
    </row>
    <row r="31" customFormat="false" ht="30" hidden="false" customHeight="true" outlineLevel="0" collapsed="false">
      <c r="B31" s="44" t="s">
        <v>226</v>
      </c>
      <c r="C31" s="44"/>
      <c r="D31" s="38" t="n">
        <f aca="false">Dashboard!C11</f>
        <v>0.0544</v>
      </c>
      <c r="E31" s="45" t="n">
        <v>0.07</v>
      </c>
      <c r="F31" s="40" t="s">
        <v>227</v>
      </c>
      <c r="G31" s="40"/>
      <c r="H31" s="40"/>
    </row>
    <row r="32" customFormat="false" ht="30" hidden="false" customHeight="true" outlineLevel="0" collapsed="false">
      <c r="B32" s="44" t="s">
        <v>78</v>
      </c>
      <c r="C32" s="44"/>
      <c r="D32" s="46" t="n">
        <f aca="false">'Format &amp; Packaging'!F6</f>
        <v>6.64724859539126</v>
      </c>
      <c r="E32" s="47" t="n">
        <v>12</v>
      </c>
      <c r="F32" s="40" t="s">
        <v>228</v>
      </c>
      <c r="G32" s="40"/>
      <c r="H32" s="40"/>
    </row>
    <row r="33" customFormat="false" ht="30" hidden="false" customHeight="true" outlineLevel="0" collapsed="false">
      <c r="B33" s="44" t="s">
        <v>54</v>
      </c>
      <c r="C33" s="44"/>
      <c r="D33" s="46" t="n">
        <f aca="false">Dashboard!C13</f>
        <v>1.75595647982372</v>
      </c>
      <c r="E33" s="47" t="n">
        <v>3</v>
      </c>
      <c r="F33" s="40" t="s">
        <v>229</v>
      </c>
      <c r="G33" s="40"/>
      <c r="H33" s="40"/>
    </row>
    <row r="34" customFormat="false" ht="30" hidden="false" customHeight="true" outlineLevel="0" collapsed="false">
      <c r="B34" s="44" t="s">
        <v>230</v>
      </c>
      <c r="C34" s="44"/>
      <c r="D34" s="46" t="n">
        <f aca="false">ROUND(Dashboard!C9/51,1)</f>
        <v>1.3</v>
      </c>
      <c r="E34" s="47" t="n">
        <v>20</v>
      </c>
      <c r="F34" s="40" t="s">
        <v>231</v>
      </c>
      <c r="G34" s="40"/>
      <c r="H34" s="40"/>
    </row>
    <row r="35" customFormat="false" ht="30" hidden="false" customHeight="true" outlineLevel="0" collapsed="false">
      <c r="B35" s="44" t="s">
        <v>232</v>
      </c>
      <c r="C35" s="44"/>
      <c r="D35" s="37" t="n">
        <f aca="false">Dashboard!C7/4</f>
        <v>21.05265</v>
      </c>
      <c r="E35" s="48" t="n">
        <v>4000</v>
      </c>
      <c r="F35" s="40" t="s">
        <v>233</v>
      </c>
      <c r="G35" s="40"/>
      <c r="H35" s="40"/>
    </row>
    <row r="36" customFormat="false" ht="30" hidden="false" customHeight="true" outlineLevel="0" collapsed="false">
      <c r="B36" s="44" t="s">
        <v>234</v>
      </c>
      <c r="C36" s="44"/>
      <c r="D36" s="49" t="n">
        <f aca="false">'Content Themes'!D5+'Content Themes'!D6</f>
        <v>0.805444785276074</v>
      </c>
      <c r="E36" s="50" t="n">
        <v>0.9</v>
      </c>
      <c r="F36" s="40" t="s">
        <v>235</v>
      </c>
      <c r="G36" s="40"/>
      <c r="H36" s="40"/>
    </row>
    <row r="38" customFormat="false" ht="15" hidden="false" customHeight="false" outlineLevel="0" collapsed="false">
      <c r="B38" s="51" t="s">
        <v>236</v>
      </c>
    </row>
  </sheetData>
  <mergeCells count="18">
    <mergeCell ref="B25:C25"/>
    <mergeCell ref="D25:H25"/>
    <mergeCell ref="B26:C26"/>
    <mergeCell ref="D26:H26"/>
    <mergeCell ref="B27:C27"/>
    <mergeCell ref="D27:H27"/>
    <mergeCell ref="B31:C31"/>
    <mergeCell ref="F31:H31"/>
    <mergeCell ref="B32:C32"/>
    <mergeCell ref="F32:H32"/>
    <mergeCell ref="B33:C33"/>
    <mergeCell ref="F33:H33"/>
    <mergeCell ref="B34:C34"/>
    <mergeCell ref="F34:H34"/>
    <mergeCell ref="B35:C35"/>
    <mergeCell ref="F35:H35"/>
    <mergeCell ref="B36:C36"/>
    <mergeCell ref="F36:H36"/>
  </mergeCells>
  <conditionalFormatting sqref="B5:B21">
    <cfRule type="cellIs" priority="2" operator="equal" aboveAverage="0" equalAverage="0" bottom="0" percent="0" rank="0" text="" dxfId="3">
      <formula>"P1"</formula>
    </cfRule>
    <cfRule type="cellIs" priority="3" operator="equal" aboveAverage="0" equalAverage="0" bottom="0" percent="0" rank="0" text="" dxfId="4">
      <formula>"P2"</formula>
    </cfRule>
    <cfRule type="cellIs" priority="4" operator="equal" aboveAverage="0" equalAverage="0" bottom="0" percent="0" rank="0" text="" dxfId="5">
      <formula>"P3"</formula>
    </cfRule>
  </conditionalFormatting>
  <conditionalFormatting sqref="H5:H21">
    <cfRule type="cellIs" priority="5" operator="equal" aboveAverage="0" equalAverage="0" bottom="0" percent="0" rank="0" text="" dxfId="0">
      <formula>"Done"</formula>
    </cfRule>
    <cfRule type="cellIs" priority="6" operator="equal" aboveAverage="0" equalAverage="0" bottom="0" percent="0" rank="0" text="" dxfId="1">
      <formula>"In progress"</formula>
    </cfRule>
    <cfRule type="cellIs" priority="7" operator="equal" aboveAverage="0" equalAverage="0" bottom="0" percent="0" rank="0" text="" dxfId="6">
      <formula>"Not started"</formula>
    </cfRule>
  </conditionalFormatting>
  <dataValidations count="1">
    <dataValidation allowBlank="true" errorStyle="stop" operator="between" showDropDown="false" showErrorMessage="false" showInputMessage="false" sqref="H5:H21"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true"/>
  </sheetPr>
  <dimension ref="A1:N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1"/>
    <col collapsed="false" customWidth="true" hidden="false" outlineLevel="0" max="4" min="4" style="0" width="10"/>
    <col collapsed="false" customWidth="true" hidden="false" outlineLevel="0" max="6" min="5" style="0" width="11"/>
    <col collapsed="false" customWidth="true" hidden="false" outlineLevel="0" max="7" min="7" style="0" width="10"/>
    <col collapsed="false" customWidth="true" hidden="false" outlineLevel="0" max="8" min="8" style="0" width="11"/>
    <col collapsed="false" customWidth="true" hidden="false" outlineLevel="0" max="9" min="9" style="0" width="8"/>
    <col collapsed="false" customWidth="true" hidden="false" outlineLevel="0" max="10" min="10" style="0" width="9"/>
    <col collapsed="false" customWidth="true" hidden="false" outlineLevel="0" max="11" min="11" style="0" width="12"/>
    <col collapsed="false" customWidth="true" hidden="false" outlineLevel="0" max="12" min="12" style="0" width="10"/>
    <col collapsed="false" customWidth="true" hidden="false" outlineLevel="0" max="13" min="13" style="0" width="16"/>
    <col collapsed="false" customWidth="true" hidden="false" outlineLevel="0" max="14" min="14" style="0" width="70"/>
  </cols>
  <sheetData>
    <row r="1" customFormat="false" ht="30" hidden="false" customHeight="true" outlineLevel="0" collapsed="false">
      <c r="A1" s="1" t="s">
        <v>237</v>
      </c>
    </row>
    <row r="2" customFormat="false" ht="15" hidden="false" customHeight="false" outlineLevel="0" collapsed="false">
      <c r="A2" s="2" t="s">
        <v>238</v>
      </c>
    </row>
    <row r="4" customFormat="false" ht="31.5" hidden="false" customHeight="true" outlineLevel="0" collapsed="false">
      <c r="A4" s="4" t="s">
        <v>239</v>
      </c>
      <c r="B4" s="4" t="s">
        <v>240</v>
      </c>
      <c r="C4" s="4" t="s">
        <v>241</v>
      </c>
      <c r="D4" s="4" t="s">
        <v>242</v>
      </c>
      <c r="E4" s="4" t="s">
        <v>243</v>
      </c>
      <c r="F4" s="4" t="s">
        <v>244</v>
      </c>
      <c r="G4" s="4" t="s">
        <v>245</v>
      </c>
      <c r="H4" s="4" t="s">
        <v>93</v>
      </c>
      <c r="I4" s="4" t="s">
        <v>246</v>
      </c>
      <c r="J4" s="4" t="s">
        <v>54</v>
      </c>
      <c r="K4" s="4" t="s">
        <v>46</v>
      </c>
      <c r="L4" s="4" t="s">
        <v>247</v>
      </c>
      <c r="M4" s="4" t="s">
        <v>248</v>
      </c>
      <c r="N4" s="4" t="s">
        <v>249</v>
      </c>
    </row>
    <row r="5" customFormat="false" ht="78" hidden="false" customHeight="true" outlineLevel="0" collapsed="false">
      <c r="A5" s="42" t="s">
        <v>250</v>
      </c>
      <c r="B5" s="35" t="n">
        <f aca="false">COUNTIF('Video Data'!$H$5:$H$71,A5)</f>
        <v>27</v>
      </c>
      <c r="C5" s="37" t="n">
        <f aca="false">SUMIF('Video Data'!$H$5:$H$71,A5,'Video Data'!$K$5:$K$71)</f>
        <v>17230</v>
      </c>
      <c r="D5" s="38" t="n">
        <f aca="false">IFERROR(C5/$C$11,0)</f>
        <v>0.660659509202454</v>
      </c>
      <c r="E5" s="37" t="n">
        <f aca="false">IFERROR(C5/B5,0)</f>
        <v>638.148148148148</v>
      </c>
      <c r="F5" s="37" t="n">
        <f aca="false">_xlfn.MAXIFS('Video Data'!$K$5:$K$71,'Video Data'!$H$5:$H$71,A5)</f>
        <v>8609</v>
      </c>
      <c r="G5" s="46" t="n">
        <f aca="false">SUMIF('Video Data'!$H$5:$H$71,A5,'Video Data'!$L$5:$L$71)</f>
        <v>13.5866</v>
      </c>
      <c r="H5" s="46" t="n">
        <f aca="false">IFERROR(G5*3600/C5,0)</f>
        <v>2.83875565873476</v>
      </c>
      <c r="I5" s="35" t="n">
        <f aca="false">SUMIF('Video Data'!$H$5:$H$71,A5,'Video Data'!$O$5:$O$71)</f>
        <v>8</v>
      </c>
      <c r="J5" s="52" t="n">
        <f aca="false">IFERROR(I5/C5*1000,0)</f>
        <v>0.464306442251886</v>
      </c>
      <c r="K5" s="37" t="n">
        <f aca="false">SUMIF('Video Data'!$H$5:$H$71,A5,'Video Data'!$Q$5:$Q$71)</f>
        <v>128587</v>
      </c>
      <c r="L5" s="53" t="n">
        <f aca="false">IFERROR(SUMIF('Video Data'!$H$5:$H$71,A5,'Video Data'!$S$5:$S$71)/K5,0)</f>
        <v>0.0690660797747828</v>
      </c>
      <c r="M5" s="20" t="s">
        <v>251</v>
      </c>
      <c r="N5" s="6" t="s">
        <v>252</v>
      </c>
    </row>
    <row r="6" customFormat="false" ht="78" hidden="false" customHeight="true" outlineLevel="0" collapsed="false">
      <c r="A6" s="42" t="s">
        <v>253</v>
      </c>
      <c r="B6" s="35" t="n">
        <f aca="false">COUNTIF('Video Data'!$H$5:$H$71,A6)</f>
        <v>16</v>
      </c>
      <c r="C6" s="37" t="n">
        <f aca="false">SUMIF('Video Data'!$H$5:$H$71,A6,'Video Data'!$K$5:$K$71)</f>
        <v>3776</v>
      </c>
      <c r="D6" s="38" t="n">
        <f aca="false">IFERROR(C6/$C$11,0)</f>
        <v>0.14478527607362</v>
      </c>
      <c r="E6" s="37" t="n">
        <f aca="false">IFERROR(C6/B6,0)</f>
        <v>236</v>
      </c>
      <c r="F6" s="37" t="n">
        <f aca="false">_xlfn.MAXIFS('Video Data'!$K$5:$K$71,'Video Data'!$H$5:$H$71,A6)</f>
        <v>937</v>
      </c>
      <c r="G6" s="46" t="n">
        <f aca="false">SUMIF('Video Data'!$H$5:$H$71,A6,'Video Data'!$L$5:$L$71)</f>
        <v>26.6339</v>
      </c>
      <c r="H6" s="46" t="n">
        <f aca="false">IFERROR(G6*3600/C6,0)</f>
        <v>25.3924894067797</v>
      </c>
      <c r="I6" s="35" t="n">
        <f aca="false">SUMIF('Video Data'!$H$5:$H$71,A6,'Video Data'!$O$5:$O$71)</f>
        <v>6</v>
      </c>
      <c r="J6" s="52" t="n">
        <f aca="false">IFERROR(I6/C6*1000,0)</f>
        <v>1.58898305084746</v>
      </c>
      <c r="K6" s="37" t="n">
        <f aca="false">SUMIF('Video Data'!$H$5:$H$71,A6,'Video Data'!$Q$5:$Q$71)</f>
        <v>39228</v>
      </c>
      <c r="L6" s="53" t="n">
        <f aca="false">IFERROR(SUMIF('Video Data'!$H$5:$H$71,A6,'Video Data'!$S$5:$S$71)/K6,0)</f>
        <v>0.0467013357805649</v>
      </c>
      <c r="M6" s="20" t="s">
        <v>254</v>
      </c>
      <c r="N6" s="6" t="s">
        <v>255</v>
      </c>
    </row>
    <row r="7" customFormat="false" ht="78" hidden="false" customHeight="true" outlineLevel="0" collapsed="false">
      <c r="A7" s="42" t="s">
        <v>256</v>
      </c>
      <c r="B7" s="35" t="n">
        <f aca="false">COUNTIF('Video Data'!$H$5:$H$71,A7)</f>
        <v>4</v>
      </c>
      <c r="C7" s="37" t="n">
        <f aca="false">SUMIF('Video Data'!$H$5:$H$71,A7,'Video Data'!$K$5:$K$71)</f>
        <v>2696</v>
      </c>
      <c r="D7" s="38" t="n">
        <f aca="false">IFERROR(C7/$C$11,0)</f>
        <v>0.103374233128834</v>
      </c>
      <c r="E7" s="37" t="n">
        <f aca="false">IFERROR(C7/B7,0)</f>
        <v>674</v>
      </c>
      <c r="F7" s="37" t="n">
        <f aca="false">_xlfn.MAXIFS('Video Data'!$K$5:$K$71,'Video Data'!$H$5:$H$71,A7)</f>
        <v>1603</v>
      </c>
      <c r="G7" s="46" t="n">
        <f aca="false">SUMIF('Video Data'!$H$5:$H$71,A7,'Video Data'!$L$5:$L$71)</f>
        <v>11.2559</v>
      </c>
      <c r="H7" s="46" t="n">
        <f aca="false">IFERROR(G7*3600/C7,0)</f>
        <v>15.0301335311573</v>
      </c>
      <c r="I7" s="35" t="n">
        <f aca="false">SUMIF('Video Data'!$H$5:$H$71,A7,'Video Data'!$O$5:$O$71)</f>
        <v>2</v>
      </c>
      <c r="J7" s="52" t="n">
        <f aca="false">IFERROR(I7/C7*1000,0)</f>
        <v>0.741839762611276</v>
      </c>
      <c r="K7" s="37" t="n">
        <f aca="false">SUMIF('Video Data'!$H$5:$H$71,A7,'Video Data'!$Q$5:$Q$71)</f>
        <v>10401</v>
      </c>
      <c r="L7" s="53" t="n">
        <f aca="false">IFERROR(SUMIF('Video Data'!$H$5:$H$71,A7,'Video Data'!$S$5:$S$71)/K7,0)</f>
        <v>0.00865301413325642</v>
      </c>
      <c r="M7" s="20" t="s">
        <v>257</v>
      </c>
      <c r="N7" s="6" t="s">
        <v>258</v>
      </c>
    </row>
    <row r="8" customFormat="false" ht="78" hidden="false" customHeight="true" outlineLevel="0" collapsed="false">
      <c r="A8" s="42" t="s">
        <v>259</v>
      </c>
      <c r="B8" s="35" t="n">
        <f aca="false">COUNTIF('Video Data'!$H$5:$H$71,A8)</f>
        <v>14</v>
      </c>
      <c r="C8" s="37" t="n">
        <f aca="false">SUMIF('Video Data'!$H$5:$H$71,A8,'Video Data'!$K$5:$K$71)</f>
        <v>1963</v>
      </c>
      <c r="D8" s="38" t="n">
        <f aca="false">IFERROR(C8/$C$11,0)</f>
        <v>0.0752684049079755</v>
      </c>
      <c r="E8" s="37" t="n">
        <f aca="false">IFERROR(C8/B8,0)</f>
        <v>140.214285714286</v>
      </c>
      <c r="F8" s="37" t="n">
        <f aca="false">_xlfn.MAXIFS('Video Data'!$K$5:$K$71,'Video Data'!$H$5:$H$71,A8)</f>
        <v>272</v>
      </c>
      <c r="G8" s="46" t="n">
        <f aca="false">SUMIF('Video Data'!$H$5:$H$71,A8,'Video Data'!$L$5:$L$71)</f>
        <v>12.1717</v>
      </c>
      <c r="H8" s="46" t="n">
        <f aca="false">IFERROR(G8*3600/C8,0)</f>
        <v>22.3220173204279</v>
      </c>
      <c r="I8" s="35" t="n">
        <f aca="false">SUMIF('Video Data'!$H$5:$H$71,A8,'Video Data'!$O$5:$O$71)</f>
        <v>3</v>
      </c>
      <c r="J8" s="52" t="n">
        <f aca="false">IFERROR(I8/C8*1000,0)</f>
        <v>1.52827305145186</v>
      </c>
      <c r="K8" s="37" t="n">
        <f aca="false">SUMIF('Video Data'!$H$5:$H$71,A8,'Video Data'!$Q$5:$Q$71)</f>
        <v>11514</v>
      </c>
      <c r="L8" s="53" t="n">
        <f aca="false">IFERROR(SUMIF('Video Data'!$H$5:$H$71,A8,'Video Data'!$S$5:$S$71)/K8,0)</f>
        <v>0.0452492617682821</v>
      </c>
      <c r="M8" s="20" t="s">
        <v>260</v>
      </c>
      <c r="N8" s="6" t="s">
        <v>261</v>
      </c>
    </row>
    <row r="9" customFormat="false" ht="78" hidden="false" customHeight="true" outlineLevel="0" collapsed="false">
      <c r="A9" s="42" t="s">
        <v>262</v>
      </c>
      <c r="B9" s="35" t="n">
        <f aca="false">COUNTIF('Video Data'!$H$5:$H$71,A9)</f>
        <v>3</v>
      </c>
      <c r="C9" s="37" t="n">
        <f aca="false">SUMIF('Video Data'!$H$5:$H$71,A9,'Video Data'!$K$5:$K$71)</f>
        <v>410</v>
      </c>
      <c r="D9" s="38" t="n">
        <f aca="false">IFERROR(C9/$C$11,0)</f>
        <v>0.0157208588957055</v>
      </c>
      <c r="E9" s="37" t="n">
        <f aca="false">IFERROR(C9/B9,0)</f>
        <v>136.666666666667</v>
      </c>
      <c r="F9" s="37" t="n">
        <f aca="false">_xlfn.MAXIFS('Video Data'!$K$5:$K$71,'Video Data'!$H$5:$H$71,A9)</f>
        <v>152</v>
      </c>
      <c r="G9" s="46" t="n">
        <f aca="false">SUMIF('Video Data'!$H$5:$H$71,A9,'Video Data'!$L$5:$L$71)</f>
        <v>0.9662</v>
      </c>
      <c r="H9" s="46" t="n">
        <f aca="false">IFERROR(G9*3600/C9,0)</f>
        <v>8.48370731707317</v>
      </c>
      <c r="I9" s="35" t="n">
        <f aca="false">SUMIF('Video Data'!$H$5:$H$71,A9,'Video Data'!$O$5:$O$71)</f>
        <v>1</v>
      </c>
      <c r="J9" s="52" t="n">
        <f aca="false">IFERROR(I9/C9*1000,0)</f>
        <v>2.4390243902439</v>
      </c>
      <c r="K9" s="37" t="n">
        <f aca="false">SUMIF('Video Data'!$H$5:$H$71,A9,'Video Data'!$Q$5:$Q$71)</f>
        <v>7125</v>
      </c>
      <c r="L9" s="53" t="n">
        <f aca="false">IFERROR(SUMIF('Video Data'!$H$5:$H$71,A9,'Video Data'!$S$5:$S$71)/K9,0)</f>
        <v>0.0189473684210526</v>
      </c>
      <c r="M9" s="20" t="s">
        <v>260</v>
      </c>
      <c r="N9" s="6" t="s">
        <v>263</v>
      </c>
    </row>
    <row r="10" customFormat="false" ht="78" hidden="false" customHeight="true" outlineLevel="0" collapsed="false">
      <c r="A10" s="42" t="s">
        <v>264</v>
      </c>
      <c r="B10" s="35" t="n">
        <f aca="false">COUNTIF('Video Data'!$H$5:$H$71,A10)</f>
        <v>3</v>
      </c>
      <c r="C10" s="37" t="n">
        <f aca="false">SUMIF('Video Data'!$H$5:$H$71,A10,'Video Data'!$K$5:$K$71)</f>
        <v>5</v>
      </c>
      <c r="D10" s="38" t="n">
        <f aca="false">IFERROR(C10/$C$11,0)</f>
        <v>0.000191717791411043</v>
      </c>
      <c r="E10" s="37" t="n">
        <f aca="false">IFERROR(C10/B10,0)</f>
        <v>1.66666666666667</v>
      </c>
      <c r="F10" s="37" t="n">
        <f aca="false">_xlfn.MAXIFS('Video Data'!$K$5:$K$71,'Video Data'!$H$5:$H$71,A10)</f>
        <v>2</v>
      </c>
      <c r="G10" s="46" t="n">
        <f aca="false">SUMIF('Video Data'!$H$5:$H$71,A10,'Video Data'!$L$5:$L$71)</f>
        <v>0.0015</v>
      </c>
      <c r="H10" s="46" t="n">
        <f aca="false">IFERROR(G10*3600/C10,0)</f>
        <v>1.08</v>
      </c>
      <c r="I10" s="35" t="n">
        <f aca="false">SUMIF('Video Data'!$H$5:$H$71,A10,'Video Data'!$O$5:$O$71)</f>
        <v>0</v>
      </c>
      <c r="J10" s="52" t="n">
        <f aca="false">IFERROR(I10/C10*1000,0)</f>
        <v>0</v>
      </c>
      <c r="K10" s="37" t="n">
        <f aca="false">SUMIF('Video Data'!$H$5:$H$71,A10,'Video Data'!$Q$5:$Q$71)</f>
        <v>13</v>
      </c>
      <c r="L10" s="53" t="n">
        <f aca="false">IFERROR(SUMIF('Video Data'!$H$5:$H$71,A10,'Video Data'!$S$5:$S$71)/K10,0)</f>
        <v>0.153846153846154</v>
      </c>
      <c r="M10" s="20" t="s">
        <v>265</v>
      </c>
      <c r="N10" s="6" t="s">
        <v>266</v>
      </c>
    </row>
    <row r="11" customFormat="false" ht="15" hidden="false" customHeight="false" outlineLevel="0" collapsed="false">
      <c r="A11" s="15" t="s">
        <v>267</v>
      </c>
      <c r="B11" s="54" t="n">
        <f aca="false">SUM(B5:B10)</f>
        <v>67</v>
      </c>
      <c r="C11" s="55" t="n">
        <f aca="false">SUM(C5:C10)</f>
        <v>26080</v>
      </c>
      <c r="D11" s="56" t="n">
        <f aca="false">SUM(D5:D10)</f>
        <v>1</v>
      </c>
      <c r="E11" s="55" t="n">
        <f aca="false">IFERROR(C11/B11,0)</f>
        <v>389.253731343284</v>
      </c>
      <c r="F11" s="55" t="n">
        <f aca="false">MAX(F5:F10)</f>
        <v>8609</v>
      </c>
      <c r="G11" s="57" t="n">
        <f aca="false">SUM(G5:G10)</f>
        <v>64.6158</v>
      </c>
      <c r="H11" s="57" t="n">
        <f aca="false">IFERROR(G11*3600/C11,0)</f>
        <v>8.91935889570552</v>
      </c>
      <c r="I11" s="54" t="n">
        <f aca="false">SUM(I5:I10)</f>
        <v>20</v>
      </c>
      <c r="J11" s="58" t="n">
        <f aca="false">IFERROR(I11/C11*1000,0)</f>
        <v>0.766871165644172</v>
      </c>
      <c r="K11" s="55" t="n">
        <f aca="false">SUM(K5:K10)</f>
        <v>196868</v>
      </c>
      <c r="L11" s="59" t="n">
        <f aca="false">IFERROR(SUM('Video Data'!$S$5:$S$71)/K11,0)</f>
        <v>0.0582166731007579</v>
      </c>
    </row>
  </sheetData>
  <conditionalFormatting sqref="M5:M10">
    <cfRule type="cellIs" priority="2" operator="equal" aboveAverage="0" equalAverage="0" bottom="0" percent="0" rank="0" text="" dxfId="0">
      <formula>"DOUBLE DOWN"</formula>
    </cfRule>
    <cfRule type="cellIs" priority="3" operator="equal" aboveAverage="0" equalAverage="0" bottom="0" percent="0" rank="0" text="" dxfId="7">
      <formula>"KEEP, REPACKAGE"</formula>
    </cfRule>
    <cfRule type="cellIs" priority="4" operator="equal" aboveAverage="0" equalAverage="0" bottom="0" percent="0" rank="0" text="" dxfId="1">
      <formula>"ONE-OFF SPIKE"</formula>
    </cfRule>
    <cfRule type="cellIs" priority="5" operator="equal" aboveAverage="0" equalAverage="0" bottom="0" percent="0" rank="0" text="" dxfId="2">
      <formula>"STOP"</formula>
    </cfRule>
    <cfRule type="cellIs" priority="6" operator="equal" aboveAverage="0" equalAverage="0" bottom="0" percent="0" rank="0" text="" dxfId="2">
      <formula>"AVOID"</formula>
    </cfRule>
  </conditionalFormatting>
  <conditionalFormatting sqref="C5:C10">
    <cfRule type="dataBar" priority="7">
      <dataBar showValue="1" minLength="10" maxLength="90">
        <cfvo type="num" val="0"/>
        <cfvo type="max" val="0"/>
        <color rgb="FF5B9BD5"/>
      </dataBar>
      <extLst>
        <ext xmlns:x14="http://schemas.microsoft.com/office/spreadsheetml/2009/9/main" uri="{B025F937-C7B1-47D3-B67F-A62EFF666E3E}">
          <x14:id>{877A6AB5-CA60-481E-8CBD-F2D1E32C3941}</x14:id>
        </ext>
      </extLst>
    </cfRule>
  </conditionalFormatting>
  <conditionalFormatting sqref="E5:E10">
    <cfRule type="colorScale" priority="8">
      <colorScale>
        <cfvo type="min" val="0"/>
        <cfvo type="percentile" val="50"/>
        <cfvo type="max" val="0"/>
        <color rgb="FFF8696B"/>
        <color rgb="FFFFEB84"/>
        <color rgb="FF63BE7B"/>
      </colorScale>
    </cfRule>
  </conditionalFormatting>
  <conditionalFormatting sqref="L5:L10">
    <cfRule type="expression" priority="9" aboveAverage="0" equalAverage="0" bottom="0" percent="0" rank="0" text="" dxfId="0">
      <formula>AND(ISNUMBER(L5),L5&gt;=0.06)</formula>
    </cfRule>
    <cfRule type="expression" priority="10" aboveAverage="0" equalAverage="0" bottom="0" percent="0" rank="0" text="" dxfId="1">
      <formula>AND(ISNUMBER(L5),AND(L5&gt;=0.04,L5&lt;0.06))</formula>
    </cfRule>
    <cfRule type="expression" priority="11" aboveAverage="0" equalAverage="0" bottom="0" percent="0" rank="0" text="" dxfId="2">
      <formula>AND(ISNUMBER(L5),L5&lt;0.04)</formula>
    </cfRule>
  </conditionalFormatting>
  <conditionalFormatting sqref="H5:H10">
    <cfRule type="colorScale" priority="1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77A6AB5-CA60-481E-8CBD-F2D1E32C3941}">
            <x14:dataBar minLength="10" maxLength="90" axisPosition="none" gradient="true">
              <x14:cfvo type="num">
                <xm:f>0</xm:f>
              </x14:cfvo>
              <x14:cfvo type="max"/>
              <x14:negativeFillColor rgb="FF5B9BD5"/>
              <x14:axisColor rgb="FF000000"/>
            </x14:dataBar>
          </x14:cfRule>
          <xm:sqref>C5:C10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
    <col collapsed="false" customWidth="true" hidden="false" outlineLevel="0" max="4" min="3" style="0" width="11"/>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0" min="10" style="0" width="15"/>
  </cols>
  <sheetData>
    <row r="1" customFormat="false" ht="30" hidden="false" customHeight="true" outlineLevel="0" collapsed="false">
      <c r="A1" s="1" t="s">
        <v>268</v>
      </c>
    </row>
    <row r="2" customFormat="false" ht="15" hidden="false" customHeight="false" outlineLevel="0" collapsed="false">
      <c r="A2" s="2" t="s">
        <v>269</v>
      </c>
    </row>
    <row r="4" customFormat="false" ht="16.15" hidden="false" customHeight="false" outlineLevel="0" collapsed="false">
      <c r="A4" s="60" t="s">
        <v>270</v>
      </c>
    </row>
    <row r="5" customFormat="false" ht="31.5" hidden="false" customHeight="true" outlineLevel="0" collapsed="false">
      <c r="A5" s="4" t="s">
        <v>271</v>
      </c>
      <c r="B5" s="4" t="s">
        <v>240</v>
      </c>
      <c r="C5" s="4" t="s">
        <v>241</v>
      </c>
      <c r="D5" s="4" t="s">
        <v>243</v>
      </c>
      <c r="E5" s="4" t="s">
        <v>245</v>
      </c>
      <c r="F5" s="4" t="s">
        <v>93</v>
      </c>
      <c r="G5" s="4" t="s">
        <v>54</v>
      </c>
      <c r="H5" s="4" t="s">
        <v>46</v>
      </c>
      <c r="I5" s="4" t="s">
        <v>247</v>
      </c>
      <c r="J5" s="4" t="s">
        <v>272</v>
      </c>
    </row>
    <row r="6" customFormat="false" ht="15" hidden="false" customHeight="false" outlineLevel="0" collapsed="false">
      <c r="A6" s="61" t="s">
        <v>273</v>
      </c>
      <c r="B6" s="35" t="n">
        <f aca="false">COUNTIF('Video Data'!$G$5:$G$71,A6)</f>
        <v>62</v>
      </c>
      <c r="C6" s="37" t="n">
        <f aca="false">SUMIF('Video Data'!$G$5:$G$71,A6,'Video Data'!$K$5:$K$71)</f>
        <v>24562</v>
      </c>
      <c r="D6" s="37" t="n">
        <f aca="false">IFERROR(C6/B6,0)</f>
        <v>396.161290322581</v>
      </c>
      <c r="E6" s="46" t="n">
        <f aca="false">SUMIF('Video Data'!$G$5:$G$71,A6,'Video Data'!$L$5:$L$71)</f>
        <v>45.3527</v>
      </c>
      <c r="F6" s="46" t="n">
        <f aca="false">IFERROR(E6*3600/C6,0)</f>
        <v>6.64724859539126</v>
      </c>
      <c r="G6" s="52" t="n">
        <f aca="false">IFERROR(SUMIF('Video Data'!$G$5:$G$71,A6,'Video Data'!$O$5:$O$71)/C6*1000,0)</f>
        <v>0.732839345330185</v>
      </c>
      <c r="H6" s="37" t="n">
        <f aca="false">SUMIF('Video Data'!$G$5:$G$71,A6,'Video Data'!$Q$5:$Q$71)</f>
        <v>181887</v>
      </c>
      <c r="I6" s="53" t="n">
        <f aca="false">IFERROR(SUMIF('Video Data'!$G$5:$G$71,A6,'Video Data'!$S$5:$S$71)/H6,0)</f>
        <v>0.0576621748668129</v>
      </c>
      <c r="J6" s="36" t="str">
        <f aca="false">IF(B6&lt;5,"⚠ small sample","OK")</f>
        <v>OK</v>
      </c>
    </row>
    <row r="7" customFormat="false" ht="15" hidden="false" customHeight="false" outlineLevel="0" collapsed="false">
      <c r="A7" s="61" t="s">
        <v>151</v>
      </c>
      <c r="B7" s="35" t="n">
        <f aca="false">COUNTIF('Video Data'!$G$5:$G$71,A7)</f>
        <v>5</v>
      </c>
      <c r="C7" s="37" t="n">
        <f aca="false">SUMIF('Video Data'!$G$5:$G$71,A7,'Video Data'!$K$5:$K$71)</f>
        <v>1518</v>
      </c>
      <c r="D7" s="37" t="n">
        <f aca="false">IFERROR(C7/B7,0)</f>
        <v>303.6</v>
      </c>
      <c r="E7" s="46" t="n">
        <f aca="false">SUMIF('Video Data'!$G$5:$G$71,A7,'Video Data'!$L$5:$L$71)</f>
        <v>19.2631</v>
      </c>
      <c r="F7" s="46" t="n">
        <f aca="false">IFERROR(E7*3600/C7,0)</f>
        <v>45.6832411067194</v>
      </c>
      <c r="G7" s="52" t="n">
        <f aca="false">IFERROR(SUMIF('Video Data'!$G$5:$G$71,A7,'Video Data'!$O$5:$O$71)/C7*1000,0)</f>
        <v>1.31752305665349</v>
      </c>
      <c r="H7" s="37" t="n">
        <f aca="false">SUMIF('Video Data'!$G$5:$G$71,A7,'Video Data'!$Q$5:$Q$71)</f>
        <v>14981</v>
      </c>
      <c r="I7" s="53" t="n">
        <f aca="false">IFERROR(SUMIF('Video Data'!$G$5:$G$71,A7,'Video Data'!$S$5:$S$71)/H7,0)</f>
        <v>0.0649489353180696</v>
      </c>
      <c r="J7" s="36" t="str">
        <f aca="false">IF(B7&lt;5,"⚠ small sample","OK")</f>
        <v>OK</v>
      </c>
    </row>
    <row r="8" customFormat="false" ht="43.5" hidden="false" customHeight="true" outlineLevel="0" collapsed="false">
      <c r="A8" s="62" t="s">
        <v>274</v>
      </c>
      <c r="B8" s="62"/>
      <c r="C8" s="62"/>
      <c r="D8" s="62"/>
      <c r="E8" s="62"/>
      <c r="F8" s="62"/>
      <c r="G8" s="62"/>
      <c r="H8" s="62"/>
      <c r="I8" s="62"/>
      <c r="J8" s="62"/>
    </row>
    <row r="10" customFormat="false" ht="16.15" hidden="false" customHeight="false" outlineLevel="0" collapsed="false">
      <c r="A10" s="60" t="s">
        <v>275</v>
      </c>
    </row>
    <row r="11" customFormat="false" ht="31.5" hidden="false" customHeight="true" outlineLevel="0" collapsed="false">
      <c r="A11" s="4" t="s">
        <v>271</v>
      </c>
      <c r="B11" s="4" t="s">
        <v>240</v>
      </c>
      <c r="C11" s="4" t="s">
        <v>241</v>
      </c>
      <c r="D11" s="4" t="s">
        <v>243</v>
      </c>
      <c r="E11" s="4" t="s">
        <v>245</v>
      </c>
      <c r="F11" s="4" t="s">
        <v>93</v>
      </c>
      <c r="G11" s="4" t="s">
        <v>54</v>
      </c>
      <c r="H11" s="4" t="s">
        <v>46</v>
      </c>
      <c r="I11" s="4" t="s">
        <v>247</v>
      </c>
      <c r="J11" s="4" t="s">
        <v>272</v>
      </c>
    </row>
    <row r="12" customFormat="false" ht="15" hidden="false" customHeight="false" outlineLevel="0" collapsed="false">
      <c r="A12" s="61" t="s">
        <v>276</v>
      </c>
      <c r="B12" s="35" t="n">
        <f aca="false">COUNTIF('Video Data'!$I$5:$I$71,A12)</f>
        <v>37</v>
      </c>
      <c r="C12" s="37" t="n">
        <f aca="false">SUMIF('Video Data'!$I$5:$I$71,A12,'Video Data'!$K$5:$K$71)</f>
        <v>16301</v>
      </c>
      <c r="D12" s="37" t="n">
        <f aca="false">IFERROR(C12/B12,0)</f>
        <v>440.567567567568</v>
      </c>
      <c r="E12" s="46" t="n">
        <f aca="false">SUMIF('Video Data'!$I$5:$I$71,A12,'Video Data'!$L$5:$L$71)</f>
        <v>52.5439</v>
      </c>
      <c r="F12" s="46" t="n">
        <f aca="false">IFERROR(E12*3600/C12,0)</f>
        <v>11.6040758235691</v>
      </c>
      <c r="G12" s="52" t="n">
        <f aca="false">IFERROR(SUMIF('Video Data'!$I$5:$I$71,A12,'Video Data'!$O$5:$O$71)/C12*1000,0)</f>
        <v>1.0428808048586</v>
      </c>
      <c r="H12" s="37" t="n">
        <f aca="false">SUMIF('Video Data'!$I$5:$I$71,A12,'Video Data'!$Q$5:$Q$71)</f>
        <v>147736</v>
      </c>
      <c r="I12" s="53" t="n">
        <f aca="false">IFERROR(SUMIF('Video Data'!$I$5:$I$71,A12,'Video Data'!$S$5:$S$71)/H12,0)</f>
        <v>0.0655222829912818</v>
      </c>
      <c r="J12" s="36" t="str">
        <f aca="false">IF(B12&lt;5,"⚠ small sample","OK")</f>
        <v>OK</v>
      </c>
    </row>
    <row r="13" customFormat="false" ht="15" hidden="false" customHeight="false" outlineLevel="0" collapsed="false">
      <c r="A13" s="61" t="s">
        <v>277</v>
      </c>
      <c r="B13" s="35" t="n">
        <f aca="false">COUNTIF('Video Data'!$I$5:$I$71,A13)</f>
        <v>30</v>
      </c>
      <c r="C13" s="37" t="n">
        <f aca="false">SUMIF('Video Data'!$I$5:$I$71,A13,'Video Data'!$K$5:$K$71)</f>
        <v>9779</v>
      </c>
      <c r="D13" s="37" t="n">
        <f aca="false">IFERROR(C13/B13,0)</f>
        <v>325.966666666667</v>
      </c>
      <c r="E13" s="46" t="n">
        <f aca="false">SUMIF('Video Data'!$I$5:$I$71,A13,'Video Data'!$L$5:$L$71)</f>
        <v>12.0719</v>
      </c>
      <c r="F13" s="46" t="n">
        <f aca="false">IFERROR(E13*3600/C13,0)</f>
        <v>4.44409857858677</v>
      </c>
      <c r="G13" s="52" t="n">
        <f aca="false">IFERROR(SUMIF('Video Data'!$I$5:$I$71,A13,'Video Data'!$O$5:$O$71)/C13*1000,0)</f>
        <v>0.306779834338889</v>
      </c>
      <c r="H13" s="37" t="n">
        <f aca="false">SUMIF('Video Data'!$I$5:$I$71,A13,'Video Data'!$Q$5:$Q$71)</f>
        <v>49132</v>
      </c>
      <c r="I13" s="53" t="n">
        <f aca="false">IFERROR(SUMIF('Video Data'!$I$5:$I$71,A13,'Video Data'!$S$5:$S$71)/H13,0)</f>
        <v>0.0362492876333143</v>
      </c>
      <c r="J13" s="36" t="str">
        <f aca="false">IF(B13&lt;5,"⚠ small sample","OK")</f>
        <v>OK</v>
      </c>
    </row>
    <row r="14" customFormat="false" ht="43.5" hidden="false" customHeight="true" outlineLevel="0" collapsed="false">
      <c r="A14" s="62" t="s">
        <v>278</v>
      </c>
      <c r="B14" s="62"/>
      <c r="C14" s="62"/>
      <c r="D14" s="62"/>
      <c r="E14" s="62"/>
      <c r="F14" s="62"/>
      <c r="G14" s="62"/>
      <c r="H14" s="62"/>
      <c r="I14" s="62"/>
      <c r="J14" s="62"/>
    </row>
    <row r="16" customFormat="false" ht="16.15" hidden="false" customHeight="false" outlineLevel="0" collapsed="false">
      <c r="A16" s="60" t="s">
        <v>279</v>
      </c>
    </row>
    <row r="17" customFormat="false" ht="31.5" hidden="false" customHeight="true" outlineLevel="0" collapsed="false">
      <c r="A17" s="4" t="s">
        <v>271</v>
      </c>
      <c r="B17" s="4" t="s">
        <v>240</v>
      </c>
      <c r="C17" s="4" t="s">
        <v>241</v>
      </c>
      <c r="D17" s="4" t="s">
        <v>243</v>
      </c>
      <c r="E17" s="4" t="s">
        <v>245</v>
      </c>
      <c r="F17" s="4" t="s">
        <v>93</v>
      </c>
      <c r="G17" s="4" t="s">
        <v>54</v>
      </c>
      <c r="H17" s="4" t="s">
        <v>46</v>
      </c>
      <c r="I17" s="4" t="s">
        <v>247</v>
      </c>
      <c r="J17" s="4" t="s">
        <v>272</v>
      </c>
    </row>
    <row r="18" customFormat="false" ht="15" hidden="false" customHeight="false" outlineLevel="0" collapsed="false">
      <c r="A18" s="61" t="s">
        <v>280</v>
      </c>
      <c r="B18" s="35" t="n">
        <f aca="false">COUNTIF('Video Data'!$Y$5:$Y$71,A18)</f>
        <v>27</v>
      </c>
      <c r="C18" s="37" t="n">
        <f aca="false">SUMIF('Video Data'!$Y$5:$Y$71,A18,'Video Data'!$K$5:$K$71)</f>
        <v>17787</v>
      </c>
      <c r="D18" s="37" t="n">
        <f aca="false">IFERROR(C18/B18,0)</f>
        <v>658.777777777778</v>
      </c>
      <c r="E18" s="46" t="n">
        <f aca="false">SUMIF('Video Data'!$Y$5:$Y$71,A18,'Video Data'!$L$5:$L$71)</f>
        <v>31.4594</v>
      </c>
      <c r="F18" s="46" t="n">
        <f aca="false">IFERROR(E18*3600/C18,0)</f>
        <v>6.36722550177096</v>
      </c>
      <c r="G18" s="52" t="n">
        <f aca="false">IFERROR(SUMIF('Video Data'!$Y$5:$Y$71,A18,'Video Data'!$O$5:$O$71)/C18*1000,0)</f>
        <v>0.618429189857761</v>
      </c>
      <c r="H18" s="37" t="n">
        <f aca="false">SUMIF('Video Data'!$Y$5:$Y$71,A18,'Video Data'!$Q$5:$Q$71)</f>
        <v>120234</v>
      </c>
      <c r="I18" s="53" t="n">
        <f aca="false">IFERROR(SUMIF('Video Data'!$Y$5:$Y$71,A18,'Video Data'!$S$5:$S$71)/H18,0)</f>
        <v>0.0727747558926759</v>
      </c>
      <c r="J18" s="36" t="str">
        <f aca="false">IF(B18&lt;5,"⚠ small sample","OK")</f>
        <v>OK</v>
      </c>
    </row>
    <row r="19" customFormat="false" ht="15" hidden="false" customHeight="false" outlineLevel="0" collapsed="false">
      <c r="A19" s="61" t="s">
        <v>281</v>
      </c>
      <c r="B19" s="35" t="n">
        <f aca="false">COUNTIF('Video Data'!$Y$5:$Y$71,A19)</f>
        <v>5</v>
      </c>
      <c r="C19" s="37" t="n">
        <f aca="false">SUMIF('Video Data'!$Y$5:$Y$71,A19,'Video Data'!$K$5:$K$71)</f>
        <v>2362</v>
      </c>
      <c r="D19" s="37" t="n">
        <f aca="false">IFERROR(C19/B19,0)</f>
        <v>472.4</v>
      </c>
      <c r="E19" s="46" t="n">
        <f aca="false">SUMIF('Video Data'!$Y$5:$Y$71,A19,'Video Data'!$L$5:$L$71)</f>
        <v>2.9638</v>
      </c>
      <c r="F19" s="46" t="n">
        <f aca="false">IFERROR(E19*3600/C19,0)</f>
        <v>4.51722269263336</v>
      </c>
      <c r="G19" s="52" t="n">
        <f aca="false">IFERROR(SUMIF('Video Data'!$Y$5:$Y$71,A19,'Video Data'!$O$5:$O$71)/C19*1000,0)</f>
        <v>0.423370025402202</v>
      </c>
      <c r="H19" s="37" t="n">
        <f aca="false">SUMIF('Video Data'!$Y$5:$Y$71,A19,'Video Data'!$Q$5:$Q$71)</f>
        <v>35224</v>
      </c>
      <c r="I19" s="53" t="n">
        <f aca="false">IFERROR(SUMIF('Video Data'!$Y$5:$Y$71,A19,'Video Data'!$S$5:$S$71)/H19,0)</f>
        <v>0.0361685214626391</v>
      </c>
      <c r="J19" s="36" t="str">
        <f aca="false">IF(B19&lt;5,"⚠ small sample","OK")</f>
        <v>OK</v>
      </c>
    </row>
    <row r="20" customFormat="false" ht="15" hidden="false" customHeight="false" outlineLevel="0" collapsed="false">
      <c r="A20" s="61" t="s">
        <v>282</v>
      </c>
      <c r="B20" s="35" t="n">
        <f aca="false">COUNTIF('Video Data'!$Y$5:$Y$71,A20)</f>
        <v>7</v>
      </c>
      <c r="C20" s="37" t="n">
        <f aca="false">SUMIF('Video Data'!$Y$5:$Y$71,A20,'Video Data'!$K$5:$K$71)</f>
        <v>2138</v>
      </c>
      <c r="D20" s="37" t="n">
        <f aca="false">IFERROR(C20/B20,0)</f>
        <v>305.428571428571</v>
      </c>
      <c r="E20" s="46" t="n">
        <f aca="false">SUMIF('Video Data'!$Y$5:$Y$71,A20,'Video Data'!$L$5:$L$71)</f>
        <v>10.8371</v>
      </c>
      <c r="F20" s="46" t="n">
        <f aca="false">IFERROR(E20*3600/C20,0)</f>
        <v>18.2476894293732</v>
      </c>
      <c r="G20" s="52" t="n">
        <f aca="false">IFERROR(SUMIF('Video Data'!$Y$5:$Y$71,A20,'Video Data'!$O$5:$O$71)/C20*1000,0)</f>
        <v>0</v>
      </c>
      <c r="H20" s="37" t="n">
        <f aca="false">SUMIF('Video Data'!$Y$5:$Y$71,A20,'Video Data'!$Q$5:$Q$71)</f>
        <v>7889</v>
      </c>
      <c r="I20" s="53" t="n">
        <f aca="false">IFERROR(SUMIF('Video Data'!$Y$5:$Y$71,A20,'Video Data'!$S$5:$S$71)/H20,0)</f>
        <v>0.024717961718849</v>
      </c>
      <c r="J20" s="36" t="str">
        <f aca="false">IF(B20&lt;5,"⚠ small sample","OK")</f>
        <v>OK</v>
      </c>
    </row>
    <row r="21" customFormat="false" ht="15" hidden="false" customHeight="false" outlineLevel="0" collapsed="false">
      <c r="A21" s="61" t="s">
        <v>283</v>
      </c>
      <c r="B21" s="35" t="n">
        <f aca="false">COUNTIF('Video Data'!$Y$5:$Y$71,A21)</f>
        <v>28</v>
      </c>
      <c r="C21" s="37" t="n">
        <f aca="false">SUMIF('Video Data'!$Y$5:$Y$71,A21,'Video Data'!$K$5:$K$71)</f>
        <v>3793</v>
      </c>
      <c r="D21" s="37" t="n">
        <f aca="false">IFERROR(C21/B21,0)</f>
        <v>135.464285714286</v>
      </c>
      <c r="E21" s="46" t="n">
        <f aca="false">SUMIF('Video Data'!$Y$5:$Y$71,A21,'Video Data'!$L$5:$L$71)</f>
        <v>19.3555</v>
      </c>
      <c r="F21" s="46" t="n">
        <f aca="false">IFERROR(E21*3600/C21,0)</f>
        <v>18.3706301080939</v>
      </c>
      <c r="G21" s="52" t="n">
        <f aca="false">IFERROR(SUMIF('Video Data'!$Y$5:$Y$71,A21,'Video Data'!$O$5:$O$71)/C21*1000,0)</f>
        <v>2.10914843132085</v>
      </c>
      <c r="H21" s="37" t="n">
        <f aca="false">SUMIF('Video Data'!$Y$5:$Y$71,A21,'Video Data'!$Q$5:$Q$71)</f>
        <v>33521</v>
      </c>
      <c r="I21" s="53" t="n">
        <f aca="false">IFERROR(SUMIF('Video Data'!$Y$5:$Y$71,A21,'Video Data'!$S$5:$S$71)/H21,0)</f>
        <v>0.0370514006145401</v>
      </c>
      <c r="J21" s="36" t="str">
        <f aca="false">IF(B21&lt;5,"⚠ small sample","OK")</f>
        <v>OK</v>
      </c>
    </row>
    <row r="22" customFormat="false" ht="43.5" hidden="false" customHeight="true" outlineLevel="0" collapsed="false">
      <c r="A22" s="62" t="s">
        <v>284</v>
      </c>
      <c r="B22" s="62"/>
      <c r="C22" s="62"/>
      <c r="D22" s="62"/>
      <c r="E22" s="62"/>
      <c r="F22" s="62"/>
      <c r="G22" s="62"/>
      <c r="H22" s="62"/>
      <c r="I22" s="62"/>
      <c r="J22" s="62"/>
    </row>
    <row r="24" customFormat="false" ht="16.15" hidden="false" customHeight="false" outlineLevel="0" collapsed="false">
      <c r="A24" s="60" t="s">
        <v>285</v>
      </c>
    </row>
    <row r="25" customFormat="false" ht="31.5" hidden="false" customHeight="true" outlineLevel="0" collapsed="false">
      <c r="A25" s="4" t="s">
        <v>271</v>
      </c>
      <c r="B25" s="4" t="s">
        <v>240</v>
      </c>
      <c r="C25" s="4" t="s">
        <v>241</v>
      </c>
      <c r="D25" s="4" t="s">
        <v>243</v>
      </c>
      <c r="E25" s="4" t="s">
        <v>245</v>
      </c>
      <c r="F25" s="4" t="s">
        <v>93</v>
      </c>
      <c r="G25" s="4" t="s">
        <v>54</v>
      </c>
      <c r="H25" s="4" t="s">
        <v>46</v>
      </c>
      <c r="I25" s="4" t="s">
        <v>247</v>
      </c>
      <c r="J25" s="4" t="s">
        <v>272</v>
      </c>
    </row>
    <row r="26" customFormat="false" ht="15" hidden="false" customHeight="false" outlineLevel="0" collapsed="false">
      <c r="A26" s="61" t="s">
        <v>286</v>
      </c>
      <c r="B26" s="35" t="n">
        <f aca="false">COUNTIF('Video Data'!$W$5:$W$71,A26)</f>
        <v>16</v>
      </c>
      <c r="C26" s="37" t="n">
        <f aca="false">SUMIF('Video Data'!$W$5:$W$71,A26,'Video Data'!$K$5:$K$71)</f>
        <v>3053</v>
      </c>
      <c r="D26" s="37" t="n">
        <f aca="false">IFERROR(C26/B26,0)</f>
        <v>190.8125</v>
      </c>
      <c r="E26" s="46" t="n">
        <f aca="false">SUMIF('Video Data'!$W$5:$W$71,A26,'Video Data'!$L$5:$L$71)</f>
        <v>1.8361</v>
      </c>
      <c r="F26" s="46" t="n">
        <f aca="false">IFERROR(E26*3600/C26,0)</f>
        <v>2.16507042253521</v>
      </c>
      <c r="G26" s="52" t="n">
        <f aca="false">IFERROR(SUMIF('Video Data'!$W$5:$W$71,A26,'Video Data'!$O$5:$O$71)/C26*1000,0)</f>
        <v>0.327546675401245</v>
      </c>
      <c r="H26" s="37" t="n">
        <f aca="false">SUMIF('Video Data'!$W$5:$W$71,A26,'Video Data'!$Q$5:$Q$71)</f>
        <v>1847</v>
      </c>
      <c r="I26" s="53" t="n">
        <f aca="false">IFERROR(SUMIF('Video Data'!$W$5:$W$71,A26,'Video Data'!$S$5:$S$71)/H26,0)</f>
        <v>0.0276123443421765</v>
      </c>
      <c r="J26" s="36" t="str">
        <f aca="false">IF(B26&lt;5,"⚠ small sample","OK")</f>
        <v>OK</v>
      </c>
    </row>
    <row r="27" customFormat="false" ht="15" hidden="false" customHeight="false" outlineLevel="0" collapsed="false">
      <c r="A27" s="61" t="s">
        <v>287</v>
      </c>
      <c r="B27" s="35" t="n">
        <f aca="false">COUNTIF('Video Data'!$W$5:$W$71,A27)</f>
        <v>51</v>
      </c>
      <c r="C27" s="37" t="n">
        <f aca="false">SUMIF('Video Data'!$W$5:$W$71,A27,'Video Data'!$K$5:$K$71)</f>
        <v>23027</v>
      </c>
      <c r="D27" s="37" t="n">
        <f aca="false">IFERROR(C27/B27,0)</f>
        <v>451.509803921569</v>
      </c>
      <c r="E27" s="46" t="n">
        <f aca="false">SUMIF('Video Data'!$W$5:$W$71,A27,'Video Data'!$L$5:$L$71)</f>
        <v>62.7797</v>
      </c>
      <c r="F27" s="46" t="n">
        <f aca="false">IFERROR(E27*3600/C27,0)</f>
        <v>9.81486602683806</v>
      </c>
      <c r="G27" s="52" t="n">
        <f aca="false">IFERROR(SUMIF('Video Data'!$W$5:$W$71,A27,'Video Data'!$O$5:$O$71)/C27*1000,0)</f>
        <v>0.825118339340774</v>
      </c>
      <c r="H27" s="37" t="n">
        <f aca="false">SUMIF('Video Data'!$W$5:$W$71,A27,'Video Data'!$Q$5:$Q$71)</f>
        <v>195021</v>
      </c>
      <c r="I27" s="53" t="n">
        <f aca="false">IFERROR(SUMIF('Video Data'!$W$5:$W$71,A27,'Video Data'!$S$5:$S$71)/H27,0)</f>
        <v>0.0585065198106871</v>
      </c>
      <c r="J27" s="36" t="str">
        <f aca="false">IF(B27&lt;5,"⚠ small sample","OK")</f>
        <v>OK</v>
      </c>
    </row>
    <row r="28" customFormat="false" ht="43.5" hidden="false" customHeight="true" outlineLevel="0" collapsed="false">
      <c r="A28" s="62" t="s">
        <v>288</v>
      </c>
      <c r="B28" s="62"/>
      <c r="C28" s="62"/>
      <c r="D28" s="62"/>
      <c r="E28" s="62"/>
      <c r="F28" s="62"/>
      <c r="G28" s="62"/>
      <c r="H28" s="62"/>
      <c r="I28" s="62"/>
      <c r="J28" s="62"/>
    </row>
    <row r="30" customFormat="false" ht="16.15" hidden="false" customHeight="false" outlineLevel="0" collapsed="false">
      <c r="A30" s="60" t="s">
        <v>289</v>
      </c>
    </row>
    <row r="31" customFormat="false" ht="31.5" hidden="false" customHeight="true" outlineLevel="0" collapsed="false">
      <c r="A31" s="4" t="s">
        <v>271</v>
      </c>
      <c r="B31" s="4" t="s">
        <v>240</v>
      </c>
      <c r="C31" s="4" t="s">
        <v>241</v>
      </c>
      <c r="D31" s="4" t="s">
        <v>243</v>
      </c>
      <c r="E31" s="4" t="s">
        <v>245</v>
      </c>
      <c r="F31" s="4" t="s">
        <v>93</v>
      </c>
      <c r="G31" s="4" t="s">
        <v>54</v>
      </c>
      <c r="H31" s="4" t="s">
        <v>46</v>
      </c>
      <c r="I31" s="4" t="s">
        <v>247</v>
      </c>
      <c r="J31" s="4" t="s">
        <v>272</v>
      </c>
    </row>
    <row r="32" customFormat="false" ht="15" hidden="false" customHeight="false" outlineLevel="0" collapsed="false">
      <c r="A32" s="61" t="s">
        <v>290</v>
      </c>
      <c r="B32" s="35" t="n">
        <f aca="false">COUNTIF('Video Data'!$Z$5:$Z$71,A32)</f>
        <v>15</v>
      </c>
      <c r="C32" s="37" t="n">
        <f aca="false">SUMIF('Video Data'!$Z$5:$Z$71,A32,'Video Data'!$K$5:$K$71)</f>
        <v>7077</v>
      </c>
      <c r="D32" s="37" t="n">
        <f aca="false">IFERROR(C32/B32,0)</f>
        <v>471.8</v>
      </c>
      <c r="E32" s="46" t="n">
        <f aca="false">SUMIF('Video Data'!$Z$5:$Z$71,A32,'Video Data'!$L$5:$L$71)</f>
        <v>5.6074</v>
      </c>
      <c r="F32" s="46" t="n">
        <f aca="false">IFERROR(E32*3600/C32,0)</f>
        <v>2.85242899533701</v>
      </c>
      <c r="G32" s="52" t="n">
        <f aca="false">IFERROR(SUMIF('Video Data'!$Z$5:$Z$71,A32,'Video Data'!$O$5:$O$71)/C32*1000,0)</f>
        <v>0.282605623851915</v>
      </c>
      <c r="H32" s="37" t="n">
        <f aca="false">SUMIF('Video Data'!$Z$5:$Z$71,A32,'Video Data'!$Q$5:$Q$71)</f>
        <v>35744</v>
      </c>
      <c r="I32" s="53" t="n">
        <f aca="false">IFERROR(SUMIF('Video Data'!$Z$5:$Z$71,A32,'Video Data'!$S$5:$S$71)/H32,0)</f>
        <v>0.0358661593554163</v>
      </c>
      <c r="J32" s="36" t="str">
        <f aca="false">IF(B32&lt;5,"⚠ small sample","OK")</f>
        <v>OK</v>
      </c>
    </row>
    <row r="33" customFormat="false" ht="15" hidden="false" customHeight="false" outlineLevel="0" collapsed="false">
      <c r="A33" s="61" t="s">
        <v>291</v>
      </c>
      <c r="B33" s="35" t="n">
        <f aca="false">COUNTIF('Video Data'!$Z$5:$Z$71,A33)</f>
        <v>17</v>
      </c>
      <c r="C33" s="37" t="n">
        <f aca="false">SUMIF('Video Data'!$Z$5:$Z$71,A33,'Video Data'!$K$5:$K$71)</f>
        <v>12190</v>
      </c>
      <c r="D33" s="37" t="n">
        <f aca="false">IFERROR(C33/B33,0)</f>
        <v>717.058823529412</v>
      </c>
      <c r="E33" s="46" t="n">
        <f aca="false">SUMIF('Video Data'!$Z$5:$Z$71,A33,'Video Data'!$L$5:$L$71)</f>
        <v>27.1465</v>
      </c>
      <c r="F33" s="46" t="n">
        <f aca="false">IFERROR(E33*3600/C33,0)</f>
        <v>8.01701394585726</v>
      </c>
      <c r="G33" s="52" t="n">
        <f aca="false">IFERROR(SUMIF('Video Data'!$Z$5:$Z$71,A33,'Video Data'!$O$5:$O$71)/C33*1000,0)</f>
        <v>0.574241181296144</v>
      </c>
      <c r="H33" s="37" t="n">
        <f aca="false">SUMIF('Video Data'!$Z$5:$Z$71,A33,'Video Data'!$Q$5:$Q$71)</f>
        <v>114499</v>
      </c>
      <c r="I33" s="53" t="n">
        <f aca="false">IFERROR(SUMIF('Video Data'!$Z$5:$Z$71,A33,'Video Data'!$S$5:$S$71)/H33,0)</f>
        <v>0.0758259897466354</v>
      </c>
      <c r="J33" s="36" t="str">
        <f aca="false">IF(B33&lt;5,"⚠ small sample","OK")</f>
        <v>OK</v>
      </c>
    </row>
    <row r="34" customFormat="false" ht="15" hidden="false" customHeight="false" outlineLevel="0" collapsed="false">
      <c r="A34" s="61" t="s">
        <v>292</v>
      </c>
      <c r="B34" s="35" t="n">
        <f aca="false">COUNTIF('Video Data'!$Z$5:$Z$71,A34)</f>
        <v>35</v>
      </c>
      <c r="C34" s="37" t="n">
        <f aca="false">SUMIF('Video Data'!$Z$5:$Z$71,A34,'Video Data'!$K$5:$K$71)</f>
        <v>6813</v>
      </c>
      <c r="D34" s="37" t="n">
        <f aca="false">IFERROR(C34/B34,0)</f>
        <v>194.657142857143</v>
      </c>
      <c r="E34" s="46" t="n">
        <f aca="false">SUMIF('Video Data'!$Z$5:$Z$71,A34,'Video Data'!$L$5:$L$71)</f>
        <v>31.8619</v>
      </c>
      <c r="F34" s="46" t="n">
        <f aca="false">IFERROR(E34*3600/C34,0)</f>
        <v>16.8358784676354</v>
      </c>
      <c r="G34" s="52" t="n">
        <f aca="false">IFERROR(SUMIF('Video Data'!$Z$5:$Z$71,A34,'Video Data'!$O$5:$O$71)/C34*1000,0)</f>
        <v>1.61456039923675</v>
      </c>
      <c r="H34" s="37" t="n">
        <f aca="false">SUMIF('Video Data'!$Z$5:$Z$71,A34,'Video Data'!$Q$5:$Q$71)</f>
        <v>46625</v>
      </c>
      <c r="I34" s="53" t="n">
        <f aca="false">IFERROR(SUMIF('Video Data'!$Z$5:$Z$71,A34,'Video Data'!$S$5:$S$71)/H34,0)</f>
        <v>0.0321072386058981</v>
      </c>
      <c r="J34" s="36" t="str">
        <f aca="false">IF(B34&lt;5,"⚠ small sample","OK")</f>
        <v>OK</v>
      </c>
    </row>
    <row r="35" customFormat="false" ht="43.5" hidden="false" customHeight="true" outlineLevel="0" collapsed="false">
      <c r="A35" s="62" t="s">
        <v>293</v>
      </c>
      <c r="B35" s="62"/>
      <c r="C35" s="62"/>
      <c r="D35" s="62"/>
      <c r="E35" s="62"/>
      <c r="F35" s="62"/>
      <c r="G35" s="62"/>
      <c r="H35" s="62"/>
      <c r="I35" s="62"/>
      <c r="J35" s="62"/>
    </row>
    <row r="37" customFormat="false" ht="16.15" hidden="false" customHeight="false" outlineLevel="0" collapsed="false">
      <c r="A37" s="60" t="s">
        <v>294</v>
      </c>
    </row>
    <row r="38" customFormat="false" ht="31.5" hidden="false" customHeight="true" outlineLevel="0" collapsed="false">
      <c r="A38" s="4" t="s">
        <v>271</v>
      </c>
      <c r="B38" s="4" t="s">
        <v>240</v>
      </c>
      <c r="C38" s="4" t="s">
        <v>241</v>
      </c>
      <c r="D38" s="4" t="s">
        <v>243</v>
      </c>
      <c r="E38" s="4" t="s">
        <v>245</v>
      </c>
      <c r="F38" s="4" t="s">
        <v>93</v>
      </c>
      <c r="G38" s="4" t="s">
        <v>54</v>
      </c>
      <c r="H38" s="4" t="s">
        <v>46</v>
      </c>
      <c r="I38" s="4" t="s">
        <v>247</v>
      </c>
      <c r="J38" s="4" t="s">
        <v>272</v>
      </c>
    </row>
    <row r="39" customFormat="false" ht="15" hidden="false" customHeight="false" outlineLevel="0" collapsed="false">
      <c r="A39" s="61" t="s">
        <v>295</v>
      </c>
      <c r="B39" s="35" t="n">
        <f aca="false">COUNTIF('Video Data'!$AA$5:$AA$71,A39)</f>
        <v>36</v>
      </c>
      <c r="C39" s="37" t="n">
        <f aca="false">SUMIF('Video Data'!$AA$5:$AA$71,A39,'Video Data'!$K$5:$K$71)</f>
        <v>16037</v>
      </c>
      <c r="D39" s="37" t="n">
        <f aca="false">IFERROR(C39/B39,0)</f>
        <v>445.472222222222</v>
      </c>
      <c r="E39" s="46" t="n">
        <f aca="false">SUMIF('Video Data'!$AA$5:$AA$71,A39,'Video Data'!$L$5:$L$71)</f>
        <v>13.6303</v>
      </c>
      <c r="F39" s="46" t="n">
        <f aca="false">IFERROR(E39*3600/C39,0)</f>
        <v>3.05974184697886</v>
      </c>
      <c r="G39" s="52" t="n">
        <f aca="false">IFERROR(SUMIF('Video Data'!$AA$5:$AA$71,A39,'Video Data'!$O$5:$O$71)/C39*1000,0)</f>
        <v>0.498846417659163</v>
      </c>
      <c r="H39" s="37" t="n">
        <f aca="false">SUMIF('Video Data'!$AA$5:$AA$71,A39,'Video Data'!$Q$5:$Q$71)</f>
        <v>134598</v>
      </c>
      <c r="I39" s="53" t="n">
        <f aca="false">IFERROR(SUMIF('Video Data'!$AA$5:$AA$71,A39,'Video Data'!$S$5:$S$71)/H39,0)</f>
        <v>0.0670960935526531</v>
      </c>
      <c r="J39" s="36" t="str">
        <f aca="false">IF(B39&lt;5,"⚠ small sample","OK")</f>
        <v>OK</v>
      </c>
    </row>
    <row r="40" customFormat="false" ht="15" hidden="false" customHeight="false" outlineLevel="0" collapsed="false">
      <c r="A40" s="61" t="s">
        <v>296</v>
      </c>
      <c r="B40" s="35" t="n">
        <f aca="false">COUNTIF('Video Data'!$AA$5:$AA$71,A40)</f>
        <v>8</v>
      </c>
      <c r="C40" s="37" t="n">
        <f aca="false">SUMIF('Video Data'!$AA$5:$AA$71,A40,'Video Data'!$K$5:$K$71)</f>
        <v>2589</v>
      </c>
      <c r="D40" s="37" t="n">
        <f aca="false">IFERROR(C40/B40,0)</f>
        <v>323.625</v>
      </c>
      <c r="E40" s="46" t="n">
        <f aca="false">SUMIF('Video Data'!$AA$5:$AA$71,A40,'Video Data'!$L$5:$L$71)</f>
        <v>3.4755</v>
      </c>
      <c r="F40" s="46" t="n">
        <f aca="false">IFERROR(E40*3600/C40,0)</f>
        <v>4.83267670915411</v>
      </c>
      <c r="G40" s="52" t="n">
        <f aca="false">IFERROR(SUMIF('Video Data'!$AA$5:$AA$71,A40,'Video Data'!$O$5:$O$71)/C40*1000,0)</f>
        <v>1.15874855156431</v>
      </c>
      <c r="H40" s="37" t="n">
        <f aca="false">SUMIF('Video Data'!$AA$5:$AA$71,A40,'Video Data'!$Q$5:$Q$71)</f>
        <v>12163</v>
      </c>
      <c r="I40" s="53" t="n">
        <f aca="false">IFERROR(SUMIF('Video Data'!$AA$5:$AA$71,A40,'Video Data'!$S$5:$S$71)/H40,0)</f>
        <v>0.0284469292115432</v>
      </c>
      <c r="J40" s="36" t="str">
        <f aca="false">IF(B40&lt;5,"⚠ small sample","OK")</f>
        <v>OK</v>
      </c>
    </row>
    <row r="41" customFormat="false" ht="15" hidden="false" customHeight="false" outlineLevel="0" collapsed="false">
      <c r="A41" s="61" t="s">
        <v>297</v>
      </c>
      <c r="B41" s="35" t="n">
        <f aca="false">COUNTIF('Video Data'!$AA$5:$AA$71,A41)</f>
        <v>11</v>
      </c>
      <c r="C41" s="37" t="n">
        <f aca="false">SUMIF('Video Data'!$AA$5:$AA$71,A41,'Video Data'!$K$5:$K$71)</f>
        <v>4054</v>
      </c>
      <c r="D41" s="37" t="n">
        <f aca="false">IFERROR(C41/B41,0)</f>
        <v>368.545454545455</v>
      </c>
      <c r="E41" s="46" t="n">
        <f aca="false">SUMIF('Video Data'!$AA$5:$AA$71,A41,'Video Data'!$L$5:$L$71)</f>
        <v>20.8357</v>
      </c>
      <c r="F41" s="46" t="n">
        <f aca="false">IFERROR(E41*3600/C41,0)</f>
        <v>18.5023482979773</v>
      </c>
      <c r="G41" s="52" t="n">
        <f aca="false">IFERROR(SUMIF('Video Data'!$AA$5:$AA$71,A41,'Video Data'!$O$5:$O$71)/C41*1000,0)</f>
        <v>0.986679822397632</v>
      </c>
      <c r="H41" s="37" t="n">
        <f aca="false">SUMIF('Video Data'!$AA$5:$AA$71,A41,'Video Data'!$Q$5:$Q$71)</f>
        <v>17234</v>
      </c>
      <c r="I41" s="53" t="n">
        <f aca="false">IFERROR(SUMIF('Video Data'!$AA$5:$AA$71,A41,'Video Data'!$S$5:$S$71)/H41,0)</f>
        <v>0.0255889520714866</v>
      </c>
      <c r="J41" s="36" t="str">
        <f aca="false">IF(B41&lt;5,"⚠ small sample","OK")</f>
        <v>OK</v>
      </c>
    </row>
    <row r="42" customFormat="false" ht="15" hidden="false" customHeight="false" outlineLevel="0" collapsed="false">
      <c r="A42" s="61" t="s">
        <v>298</v>
      </c>
      <c r="B42" s="35" t="n">
        <f aca="false">COUNTIF('Video Data'!$AA$5:$AA$71,A42)</f>
        <v>7</v>
      </c>
      <c r="C42" s="37" t="n">
        <f aca="false">SUMIF('Video Data'!$AA$5:$AA$71,A42,'Video Data'!$K$5:$K$71)</f>
        <v>1882</v>
      </c>
      <c r="D42" s="37" t="n">
        <f aca="false">IFERROR(C42/B42,0)</f>
        <v>268.857142857143</v>
      </c>
      <c r="E42" s="46" t="n">
        <f aca="false">SUMIF('Video Data'!$AA$5:$AA$71,A42,'Video Data'!$L$5:$L$71)</f>
        <v>7.4112</v>
      </c>
      <c r="F42" s="46" t="n">
        <f aca="false">IFERROR(E42*3600/C42,0)</f>
        <v>14.1765781083953</v>
      </c>
      <c r="G42" s="52" t="n">
        <f aca="false">IFERROR(SUMIF('Video Data'!$AA$5:$AA$71,A42,'Video Data'!$O$5:$O$71)/C42*1000,0)</f>
        <v>1.59404888416578</v>
      </c>
      <c r="H42" s="37" t="n">
        <f aca="false">SUMIF('Video Data'!$AA$5:$AA$71,A42,'Video Data'!$Q$5:$Q$71)</f>
        <v>17892</v>
      </c>
      <c r="I42" s="53" t="n">
        <f aca="false">IFERROR(SUMIF('Video Data'!$AA$5:$AA$71,A42,'Video Data'!$S$5:$S$71)/H42,0)</f>
        <v>0.0374469036440867</v>
      </c>
      <c r="J42" s="36" t="str">
        <f aca="false">IF(B42&lt;5,"⚠ small sample","OK")</f>
        <v>OK</v>
      </c>
    </row>
    <row r="43" customFormat="false" ht="15" hidden="false" customHeight="false" outlineLevel="0" collapsed="false">
      <c r="A43" s="61" t="s">
        <v>299</v>
      </c>
      <c r="B43" s="35" t="n">
        <f aca="false">COUNTIF('Video Data'!$AA$5:$AA$71,A43)</f>
        <v>5</v>
      </c>
      <c r="C43" s="37" t="n">
        <f aca="false">SUMIF('Video Data'!$AA$5:$AA$71,A43,'Video Data'!$K$5:$K$71)</f>
        <v>1518</v>
      </c>
      <c r="D43" s="37" t="n">
        <f aca="false">IFERROR(C43/B43,0)</f>
        <v>303.6</v>
      </c>
      <c r="E43" s="46" t="n">
        <f aca="false">SUMIF('Video Data'!$AA$5:$AA$71,A43,'Video Data'!$L$5:$L$71)</f>
        <v>19.2631</v>
      </c>
      <c r="F43" s="46" t="n">
        <f aca="false">IFERROR(E43*3600/C43,0)</f>
        <v>45.6832411067194</v>
      </c>
      <c r="G43" s="52" t="n">
        <f aca="false">IFERROR(SUMIF('Video Data'!$AA$5:$AA$71,A43,'Video Data'!$O$5:$O$71)/C43*1000,0)</f>
        <v>1.31752305665349</v>
      </c>
      <c r="H43" s="37" t="n">
        <f aca="false">SUMIF('Video Data'!$AA$5:$AA$71,A43,'Video Data'!$Q$5:$Q$71)</f>
        <v>14981</v>
      </c>
      <c r="I43" s="53" t="n">
        <f aca="false">IFERROR(SUMIF('Video Data'!$AA$5:$AA$71,A43,'Video Data'!$S$5:$S$71)/H43,0)</f>
        <v>0.0649489353180696</v>
      </c>
      <c r="J43" s="36" t="str">
        <f aca="false">IF(B43&lt;5,"⚠ small sample","OK")</f>
        <v>OK</v>
      </c>
    </row>
    <row r="44" customFormat="false" ht="43.5" hidden="false" customHeight="true" outlineLevel="0" collapsed="false">
      <c r="A44" s="62" t="s">
        <v>300</v>
      </c>
      <c r="B44" s="62"/>
      <c r="C44" s="62"/>
      <c r="D44" s="62"/>
      <c r="E44" s="62"/>
      <c r="F44" s="62"/>
      <c r="G44" s="62"/>
      <c r="H44" s="62"/>
      <c r="I44" s="62"/>
      <c r="J44" s="62"/>
    </row>
    <row r="46" customFormat="false" ht="16.15" hidden="false" customHeight="false" outlineLevel="0" collapsed="false">
      <c r="A46" s="60" t="s">
        <v>301</v>
      </c>
    </row>
    <row r="47" customFormat="false" ht="31.5" hidden="false" customHeight="true" outlineLevel="0" collapsed="false">
      <c r="A47" s="4" t="s">
        <v>271</v>
      </c>
      <c r="B47" s="4" t="s">
        <v>240</v>
      </c>
      <c r="C47" s="4" t="s">
        <v>241</v>
      </c>
      <c r="D47" s="4" t="s">
        <v>243</v>
      </c>
      <c r="E47" s="4" t="s">
        <v>245</v>
      </c>
      <c r="F47" s="4" t="s">
        <v>93</v>
      </c>
      <c r="G47" s="4" t="s">
        <v>54</v>
      </c>
      <c r="H47" s="4" t="s">
        <v>46</v>
      </c>
      <c r="I47" s="4" t="s">
        <v>247</v>
      </c>
      <c r="J47" s="4" t="s">
        <v>272</v>
      </c>
    </row>
    <row r="48" customFormat="false" ht="15" hidden="false" customHeight="false" outlineLevel="0" collapsed="false">
      <c r="A48" s="61" t="s">
        <v>302</v>
      </c>
      <c r="B48" s="35" t="n">
        <f aca="false">COUNTIF('Video Data'!$F$5:$F$71,A48)</f>
        <v>8</v>
      </c>
      <c r="C48" s="37" t="n">
        <f aca="false">SUMIF('Video Data'!$F$5:$F$71,A48,'Video Data'!$K$5:$K$71)</f>
        <v>790</v>
      </c>
      <c r="D48" s="37" t="n">
        <f aca="false">IFERROR(C48/B48,0)</f>
        <v>98.75</v>
      </c>
      <c r="E48" s="46" t="n">
        <f aca="false">SUMIF('Video Data'!$F$5:$F$71,A48,'Video Data'!$L$5:$L$71)</f>
        <v>7.6445</v>
      </c>
      <c r="F48" s="46" t="n">
        <f aca="false">IFERROR(E48*3600/C48,0)</f>
        <v>34.8356962025317</v>
      </c>
      <c r="G48" s="52" t="n">
        <f aca="false">IFERROR(SUMIF('Video Data'!$F$5:$F$71,A48,'Video Data'!$O$5:$O$71)/C48*1000,0)</f>
        <v>1.26582278481013</v>
      </c>
      <c r="H48" s="37" t="n">
        <f aca="false">SUMIF('Video Data'!$F$5:$F$71,A48,'Video Data'!$Q$5:$Q$71)</f>
        <v>8549</v>
      </c>
      <c r="I48" s="53" t="n">
        <f aca="false">IFERROR(SUMIF('Video Data'!$F$5:$F$71,A48,'Video Data'!$S$5:$S$71)/H48,0)</f>
        <v>0.0426950520528717</v>
      </c>
      <c r="J48" s="36" t="str">
        <f aca="false">IF(B48&lt;5,"⚠ small sample","OK")</f>
        <v>OK</v>
      </c>
    </row>
    <row r="49" customFormat="false" ht="15" hidden="false" customHeight="false" outlineLevel="0" collapsed="false">
      <c r="A49" s="61" t="s">
        <v>303</v>
      </c>
      <c r="B49" s="35" t="n">
        <f aca="false">COUNTIF('Video Data'!$F$5:$F$71,A49)</f>
        <v>11</v>
      </c>
      <c r="C49" s="37" t="n">
        <f aca="false">SUMIF('Video Data'!$F$5:$F$71,A49,'Video Data'!$K$5:$K$71)</f>
        <v>3879</v>
      </c>
      <c r="D49" s="37" t="n">
        <f aca="false">IFERROR(C49/B49,0)</f>
        <v>352.636363636364</v>
      </c>
      <c r="E49" s="46" t="n">
        <f aca="false">SUMIF('Video Data'!$F$5:$F$71,A49,'Video Data'!$L$5:$L$71)</f>
        <v>22.6211</v>
      </c>
      <c r="F49" s="46" t="n">
        <f aca="false">IFERROR(E49*3600/C49,0)</f>
        <v>20.994060324826</v>
      </c>
      <c r="G49" s="52" t="n">
        <f aca="false">IFERROR(SUMIF('Video Data'!$F$5:$F$71,A49,'Video Data'!$O$5:$O$71)/C49*1000,0)</f>
        <v>0.773395204949729</v>
      </c>
      <c r="H49" s="37" t="n">
        <f aca="false">SUMIF('Video Data'!$F$5:$F$71,A49,'Video Data'!$Q$5:$Q$71)</f>
        <v>15196</v>
      </c>
      <c r="I49" s="53" t="n">
        <f aca="false">IFERROR(SUMIF('Video Data'!$F$5:$F$71,A49,'Video Data'!$S$5:$S$71)/H49,0)</f>
        <v>0.0492892866543827</v>
      </c>
      <c r="J49" s="36" t="str">
        <f aca="false">IF(B49&lt;5,"⚠ small sample","OK")</f>
        <v>OK</v>
      </c>
    </row>
    <row r="50" customFormat="false" ht="15" hidden="false" customHeight="false" outlineLevel="0" collapsed="false">
      <c r="A50" s="61" t="s">
        <v>304</v>
      </c>
      <c r="B50" s="35" t="n">
        <f aca="false">COUNTIF('Video Data'!$F$5:$F$71,A50)</f>
        <v>2</v>
      </c>
      <c r="C50" s="37" t="n">
        <f aca="false">SUMIF('Video Data'!$F$5:$F$71,A50,'Video Data'!$K$5:$K$71)</f>
        <v>138</v>
      </c>
      <c r="D50" s="37" t="n">
        <f aca="false">IFERROR(C50/B50,0)</f>
        <v>69</v>
      </c>
      <c r="E50" s="46" t="n">
        <f aca="false">SUMIF('Video Data'!$F$5:$F$71,A50,'Video Data'!$L$5:$L$71)</f>
        <v>0.4289</v>
      </c>
      <c r="F50" s="46" t="n">
        <f aca="false">IFERROR(E50*3600/C50,0)</f>
        <v>11.1886956521739</v>
      </c>
      <c r="G50" s="52" t="n">
        <f aca="false">IFERROR(SUMIF('Video Data'!$F$5:$F$71,A50,'Video Data'!$O$5:$O$71)/C50*1000,0)</f>
        <v>7.2463768115942</v>
      </c>
      <c r="H50" s="37" t="n">
        <f aca="false">SUMIF('Video Data'!$F$5:$F$71,A50,'Video Data'!$Q$5:$Q$71)</f>
        <v>930</v>
      </c>
      <c r="I50" s="53" t="n">
        <f aca="false">IFERROR(SUMIF('Video Data'!$F$5:$F$71,A50,'Video Data'!$S$5:$S$71)/H50,0)</f>
        <v>0.0236559139784946</v>
      </c>
      <c r="J50" s="36" t="str">
        <f aca="false">IF(B50&lt;5,"⚠ small sample","OK")</f>
        <v>⚠ small sample</v>
      </c>
    </row>
    <row r="51" customFormat="false" ht="15" hidden="false" customHeight="false" outlineLevel="0" collapsed="false">
      <c r="A51" s="61" t="s">
        <v>305</v>
      </c>
      <c r="B51" s="35" t="n">
        <f aca="false">COUNTIF('Video Data'!$F$5:$F$71,A51)</f>
        <v>2</v>
      </c>
      <c r="C51" s="37" t="n">
        <f aca="false">SUMIF('Video Data'!$F$5:$F$71,A51,'Video Data'!$K$5:$K$71)</f>
        <v>373</v>
      </c>
      <c r="D51" s="37" t="n">
        <f aca="false">IFERROR(C51/B51,0)</f>
        <v>186.5</v>
      </c>
      <c r="E51" s="46" t="n">
        <f aca="false">SUMIF('Video Data'!$F$5:$F$71,A51,'Video Data'!$L$5:$L$71)</f>
        <v>1.2229</v>
      </c>
      <c r="F51" s="46" t="n">
        <f aca="false">IFERROR(E51*3600/C51,0)</f>
        <v>11.8027882037534</v>
      </c>
      <c r="G51" s="52" t="n">
        <f aca="false">IFERROR(SUMIF('Video Data'!$F$5:$F$71,A51,'Video Data'!$O$5:$O$71)/C51*1000,0)</f>
        <v>2.68096514745308</v>
      </c>
      <c r="H51" s="37" t="n">
        <f aca="false">SUMIF('Video Data'!$F$5:$F$71,A51,'Video Data'!$Q$5:$Q$71)</f>
        <v>1261</v>
      </c>
      <c r="I51" s="53" t="n">
        <f aca="false">IFERROR(SUMIF('Video Data'!$F$5:$F$71,A51,'Video Data'!$S$5:$S$71)/H51,0)</f>
        <v>0.0126883425852498</v>
      </c>
      <c r="J51" s="36" t="str">
        <f aca="false">IF(B51&lt;5,"⚠ small sample","OK")</f>
        <v>⚠ small sample</v>
      </c>
    </row>
    <row r="52" customFormat="false" ht="15" hidden="false" customHeight="false" outlineLevel="0" collapsed="false">
      <c r="A52" s="61" t="s">
        <v>306</v>
      </c>
      <c r="B52" s="35" t="n">
        <f aca="false">COUNTIF('Video Data'!$F$5:$F$71,A52)</f>
        <v>12</v>
      </c>
      <c r="C52" s="37" t="n">
        <f aca="false">SUMIF('Video Data'!$F$5:$F$71,A52,'Video Data'!$K$5:$K$71)</f>
        <v>4204</v>
      </c>
      <c r="D52" s="37" t="n">
        <f aca="false">IFERROR(C52/B52,0)</f>
        <v>350.333333333333</v>
      </c>
      <c r="E52" s="46" t="n">
        <f aca="false">SUMIF('Video Data'!$F$5:$F$71,A52,'Video Data'!$L$5:$L$71)</f>
        <v>8.0529</v>
      </c>
      <c r="F52" s="46" t="n">
        <f aca="false">IFERROR(E52*3600/C52,0)</f>
        <v>6.89591817316841</v>
      </c>
      <c r="G52" s="52" t="n">
        <f aca="false">IFERROR(SUMIF('Video Data'!$F$5:$F$71,A52,'Video Data'!$O$5:$O$71)/C52*1000,0)</f>
        <v>1.18934348239772</v>
      </c>
      <c r="H52" s="37" t="n">
        <f aca="false">SUMIF('Video Data'!$F$5:$F$71,A52,'Video Data'!$Q$5:$Q$71)</f>
        <v>22046</v>
      </c>
      <c r="I52" s="53" t="n">
        <f aca="false">IFERROR(SUMIF('Video Data'!$F$5:$F$71,A52,'Video Data'!$S$5:$S$71)/H52,0)</f>
        <v>0.0255375124739182</v>
      </c>
      <c r="J52" s="36" t="str">
        <f aca="false">IF(B52&lt;5,"⚠ small sample","OK")</f>
        <v>OK</v>
      </c>
    </row>
    <row r="53" customFormat="false" ht="15" hidden="false" customHeight="false" outlineLevel="0" collapsed="false">
      <c r="A53" s="61" t="s">
        <v>307</v>
      </c>
      <c r="B53" s="35" t="n">
        <f aca="false">COUNTIF('Video Data'!$F$5:$F$71,A53)</f>
        <v>16</v>
      </c>
      <c r="C53" s="37" t="n">
        <f aca="false">SUMIF('Video Data'!$F$5:$F$71,A53,'Video Data'!$K$5:$K$71)</f>
        <v>11385</v>
      </c>
      <c r="D53" s="37" t="n">
        <f aca="false">IFERROR(C53/B53,0)</f>
        <v>711.5625</v>
      </c>
      <c r="E53" s="46" t="n">
        <f aca="false">SUMIF('Video Data'!$F$5:$F$71,A53,'Video Data'!$L$5:$L$71)</f>
        <v>18.1698</v>
      </c>
      <c r="F53" s="46" t="n">
        <f aca="false">IFERROR(E53*3600/C53,0)</f>
        <v>5.74539130434783</v>
      </c>
      <c r="G53" s="52" t="n">
        <f aca="false">IFERROR(SUMIF('Video Data'!$F$5:$F$71,A53,'Video Data'!$O$5:$O$71)/C53*1000,0)</f>
        <v>0.790513833992095</v>
      </c>
      <c r="H53" s="37" t="n">
        <f aca="false">SUMIF('Video Data'!$F$5:$F$71,A53,'Video Data'!$Q$5:$Q$71)</f>
        <v>146235</v>
      </c>
      <c r="I53" s="53" t="n">
        <f aca="false">IFERROR(SUMIF('Video Data'!$F$5:$F$71,A53,'Video Data'!$S$5:$S$71)/H53,0)</f>
        <v>0.0659828358464116</v>
      </c>
      <c r="J53" s="36" t="str">
        <f aca="false">IF(B53&lt;5,"⚠ small sample","OK")</f>
        <v>OK</v>
      </c>
    </row>
    <row r="54" customFormat="false" ht="15" hidden="false" customHeight="false" outlineLevel="0" collapsed="false">
      <c r="A54" s="61" t="s">
        <v>308</v>
      </c>
      <c r="B54" s="35" t="n">
        <f aca="false">COUNTIF('Video Data'!$F$5:$F$71,A54)</f>
        <v>16</v>
      </c>
      <c r="C54" s="37" t="n">
        <f aca="false">SUMIF('Video Data'!$F$5:$F$71,A54,'Video Data'!$K$5:$K$71)</f>
        <v>5311</v>
      </c>
      <c r="D54" s="37" t="n">
        <f aca="false">IFERROR(C54/B54,0)</f>
        <v>331.9375</v>
      </c>
      <c r="E54" s="46" t="n">
        <f aca="false">SUMIF('Video Data'!$F$5:$F$71,A54,'Video Data'!$L$5:$L$71)</f>
        <v>6.4757</v>
      </c>
      <c r="F54" s="46" t="n">
        <f aca="false">IFERROR(E54*3600/C54,0)</f>
        <v>4.38947844097157</v>
      </c>
      <c r="G54" s="52" t="n">
        <f aca="false">IFERROR(SUMIF('Video Data'!$F$5:$F$71,A54,'Video Data'!$O$5:$O$71)/C54*1000,0)</f>
        <v>0</v>
      </c>
      <c r="H54" s="37" t="n">
        <f aca="false">SUMIF('Video Data'!$F$5:$F$71,A54,'Video Data'!$Q$5:$Q$71)</f>
        <v>2651</v>
      </c>
      <c r="I54" s="53" t="n">
        <f aca="false">IFERROR(SUMIF('Video Data'!$F$5:$F$71,A54,'Video Data'!$S$5:$S$71)/H54,0)</f>
        <v>0.036589966050547</v>
      </c>
      <c r="J54" s="36" t="str">
        <f aca="false">IF(B54&lt;5,"⚠ small sample","OK")</f>
        <v>OK</v>
      </c>
    </row>
    <row r="55" customFormat="false" ht="43.5" hidden="false" customHeight="true" outlineLevel="0" collapsed="false">
      <c r="A55" s="62" t="s">
        <v>309</v>
      </c>
      <c r="B55" s="62"/>
      <c r="C55" s="62"/>
      <c r="D55" s="62"/>
      <c r="E55" s="62"/>
      <c r="F55" s="62"/>
      <c r="G55" s="62"/>
      <c r="H55" s="62"/>
      <c r="I55" s="62"/>
      <c r="J55" s="62"/>
    </row>
  </sheetData>
  <mergeCells count="7">
    <mergeCell ref="A8:J8"/>
    <mergeCell ref="A14:J14"/>
    <mergeCell ref="A22:J22"/>
    <mergeCell ref="A28:J28"/>
    <mergeCell ref="A35:J35"/>
    <mergeCell ref="A44:J44"/>
    <mergeCell ref="A55:J55"/>
  </mergeCells>
  <conditionalFormatting sqref="D6:D7">
    <cfRule type="colorScale" priority="2">
      <colorScale>
        <cfvo type="min" val="0"/>
        <cfvo type="percentile" val="50"/>
        <cfvo type="max" val="0"/>
        <color rgb="FFF8696B"/>
        <color rgb="FFFFEB84"/>
        <color rgb="FF63BE7B"/>
      </colorScale>
    </cfRule>
  </conditionalFormatting>
  <conditionalFormatting sqref="F6:F7">
    <cfRule type="colorScale" priority="3">
      <colorScale>
        <cfvo type="min" val="0"/>
        <cfvo type="max" val="0"/>
        <color rgb="FFFFFFFF"/>
        <color rgb="FF63BE7B"/>
      </colorScale>
    </cfRule>
  </conditionalFormatting>
  <conditionalFormatting sqref="I6:I7">
    <cfRule type="expression" priority="4" aboveAverage="0" equalAverage="0" bottom="0" percent="0" rank="0" text="" dxfId="0">
      <formula>AND(ISNUMBER(I6),I6&gt;=0.06)</formula>
    </cfRule>
    <cfRule type="expression" priority="5" aboveAverage="0" equalAverage="0" bottom="0" percent="0" rank="0" text="" dxfId="1">
      <formula>AND(ISNUMBER(I6),AND(I6&gt;=0.04,I6&lt;0.06))</formula>
    </cfRule>
    <cfRule type="expression" priority="6" aboveAverage="0" equalAverage="0" bottom="0" percent="0" rank="0" text="" dxfId="2">
      <formula>AND(ISNUMBER(I6),I6&lt;0.04)</formula>
    </cfRule>
  </conditionalFormatting>
  <conditionalFormatting sqref="J6:J7">
    <cfRule type="cellIs" priority="7" operator="notEqual" aboveAverage="0" equalAverage="0" bottom="0" percent="0" rank="0" text="" dxfId="1">
      <formula>"OK"</formula>
    </cfRule>
  </conditionalFormatting>
  <conditionalFormatting sqref="D12:D13">
    <cfRule type="colorScale" priority="8">
      <colorScale>
        <cfvo type="min" val="0"/>
        <cfvo type="percentile" val="50"/>
        <cfvo type="max" val="0"/>
        <color rgb="FFF8696B"/>
        <color rgb="FFFFEB84"/>
        <color rgb="FF63BE7B"/>
      </colorScale>
    </cfRule>
  </conditionalFormatting>
  <conditionalFormatting sqref="F12:F13">
    <cfRule type="colorScale" priority="9">
      <colorScale>
        <cfvo type="min" val="0"/>
        <cfvo type="max" val="0"/>
        <color rgb="FFFFFFFF"/>
        <color rgb="FF63BE7B"/>
      </colorScale>
    </cfRule>
  </conditionalFormatting>
  <conditionalFormatting sqref="I12:I13">
    <cfRule type="expression" priority="10" aboveAverage="0" equalAverage="0" bottom="0" percent="0" rank="0" text="" dxfId="0">
      <formula>AND(ISNUMBER(I12),I12&gt;=0.06)</formula>
    </cfRule>
    <cfRule type="expression" priority="11" aboveAverage="0" equalAverage="0" bottom="0" percent="0" rank="0" text="" dxfId="1">
      <formula>AND(ISNUMBER(I12),AND(I12&gt;=0.04,I12&lt;0.06))</formula>
    </cfRule>
    <cfRule type="expression" priority="12" aboveAverage="0" equalAverage="0" bottom="0" percent="0" rank="0" text="" dxfId="2">
      <formula>AND(ISNUMBER(I12),I12&lt;0.04)</formula>
    </cfRule>
  </conditionalFormatting>
  <conditionalFormatting sqref="J12:J13">
    <cfRule type="cellIs" priority="13" operator="notEqual" aboveAverage="0" equalAverage="0" bottom="0" percent="0" rank="0" text="" dxfId="1">
      <formula>"OK"</formula>
    </cfRule>
  </conditionalFormatting>
  <conditionalFormatting sqref="D18:D21">
    <cfRule type="colorScale" priority="14">
      <colorScale>
        <cfvo type="min" val="0"/>
        <cfvo type="percentile" val="50"/>
        <cfvo type="max" val="0"/>
        <color rgb="FFF8696B"/>
        <color rgb="FFFFEB84"/>
        <color rgb="FF63BE7B"/>
      </colorScale>
    </cfRule>
  </conditionalFormatting>
  <conditionalFormatting sqref="F18:F21">
    <cfRule type="colorScale" priority="15">
      <colorScale>
        <cfvo type="min" val="0"/>
        <cfvo type="max" val="0"/>
        <color rgb="FFFFFFFF"/>
        <color rgb="FF63BE7B"/>
      </colorScale>
    </cfRule>
  </conditionalFormatting>
  <conditionalFormatting sqref="I18:I21">
    <cfRule type="expression" priority="16" aboveAverage="0" equalAverage="0" bottom="0" percent="0" rank="0" text="" dxfId="0">
      <formula>AND(ISNUMBER(I18),I18&gt;=0.06)</formula>
    </cfRule>
    <cfRule type="expression" priority="17" aboveAverage="0" equalAverage="0" bottom="0" percent="0" rank="0" text="" dxfId="1">
      <formula>AND(ISNUMBER(I18),AND(I18&gt;=0.04,I18&lt;0.06))</formula>
    </cfRule>
    <cfRule type="expression" priority="18" aboveAverage="0" equalAverage="0" bottom="0" percent="0" rank="0" text="" dxfId="2">
      <formula>AND(ISNUMBER(I18),I18&lt;0.04)</formula>
    </cfRule>
  </conditionalFormatting>
  <conditionalFormatting sqref="J18:J21">
    <cfRule type="cellIs" priority="19" operator="notEqual" aboveAverage="0" equalAverage="0" bottom="0" percent="0" rank="0" text="" dxfId="1">
      <formula>"OK"</formula>
    </cfRule>
  </conditionalFormatting>
  <conditionalFormatting sqref="D26:D27">
    <cfRule type="colorScale" priority="20">
      <colorScale>
        <cfvo type="min" val="0"/>
        <cfvo type="percentile" val="50"/>
        <cfvo type="max" val="0"/>
        <color rgb="FFF8696B"/>
        <color rgb="FFFFEB84"/>
        <color rgb="FF63BE7B"/>
      </colorScale>
    </cfRule>
  </conditionalFormatting>
  <conditionalFormatting sqref="F26:F27">
    <cfRule type="colorScale" priority="21">
      <colorScale>
        <cfvo type="min" val="0"/>
        <cfvo type="max" val="0"/>
        <color rgb="FFFFFFFF"/>
        <color rgb="FF63BE7B"/>
      </colorScale>
    </cfRule>
  </conditionalFormatting>
  <conditionalFormatting sqref="I26:I27">
    <cfRule type="expression" priority="22" aboveAverage="0" equalAverage="0" bottom="0" percent="0" rank="0" text="" dxfId="0">
      <formula>AND(ISNUMBER(I26),I26&gt;=0.06)</formula>
    </cfRule>
    <cfRule type="expression" priority="23" aboveAverage="0" equalAverage="0" bottom="0" percent="0" rank="0" text="" dxfId="1">
      <formula>AND(ISNUMBER(I26),AND(I26&gt;=0.04,I26&lt;0.06))</formula>
    </cfRule>
    <cfRule type="expression" priority="24" aboveAverage="0" equalAverage="0" bottom="0" percent="0" rank="0" text="" dxfId="2">
      <formula>AND(ISNUMBER(I26),I26&lt;0.04)</formula>
    </cfRule>
  </conditionalFormatting>
  <conditionalFormatting sqref="J26:J27">
    <cfRule type="cellIs" priority="25" operator="notEqual" aboveAverage="0" equalAverage="0" bottom="0" percent="0" rank="0" text="" dxfId="1">
      <formula>"OK"</formula>
    </cfRule>
  </conditionalFormatting>
  <conditionalFormatting sqref="D32:D34">
    <cfRule type="colorScale" priority="26">
      <colorScale>
        <cfvo type="min" val="0"/>
        <cfvo type="percentile" val="50"/>
        <cfvo type="max" val="0"/>
        <color rgb="FFF8696B"/>
        <color rgb="FFFFEB84"/>
        <color rgb="FF63BE7B"/>
      </colorScale>
    </cfRule>
  </conditionalFormatting>
  <conditionalFormatting sqref="F32:F34">
    <cfRule type="colorScale" priority="27">
      <colorScale>
        <cfvo type="min" val="0"/>
        <cfvo type="max" val="0"/>
        <color rgb="FFFFFFFF"/>
        <color rgb="FF63BE7B"/>
      </colorScale>
    </cfRule>
  </conditionalFormatting>
  <conditionalFormatting sqref="I32:I34">
    <cfRule type="expression" priority="28" aboveAverage="0" equalAverage="0" bottom="0" percent="0" rank="0" text="" dxfId="0">
      <formula>AND(ISNUMBER(I32),I32&gt;=0.06)</formula>
    </cfRule>
    <cfRule type="expression" priority="29" aboveAverage="0" equalAverage="0" bottom="0" percent="0" rank="0" text="" dxfId="1">
      <formula>AND(ISNUMBER(I32),AND(I32&gt;=0.04,I32&lt;0.06))</formula>
    </cfRule>
    <cfRule type="expression" priority="30" aboveAverage="0" equalAverage="0" bottom="0" percent="0" rank="0" text="" dxfId="2">
      <formula>AND(ISNUMBER(I32),I32&lt;0.04)</formula>
    </cfRule>
  </conditionalFormatting>
  <conditionalFormatting sqref="J32:J34">
    <cfRule type="cellIs" priority="31" operator="notEqual" aboveAverage="0" equalAverage="0" bottom="0" percent="0" rank="0" text="" dxfId="1">
      <formula>"OK"</formula>
    </cfRule>
  </conditionalFormatting>
  <conditionalFormatting sqref="D39:D43">
    <cfRule type="colorScale" priority="32">
      <colorScale>
        <cfvo type="min" val="0"/>
        <cfvo type="percentile" val="50"/>
        <cfvo type="max" val="0"/>
        <color rgb="FFF8696B"/>
        <color rgb="FFFFEB84"/>
        <color rgb="FF63BE7B"/>
      </colorScale>
    </cfRule>
  </conditionalFormatting>
  <conditionalFormatting sqref="F39:F43">
    <cfRule type="colorScale" priority="33">
      <colorScale>
        <cfvo type="min" val="0"/>
        <cfvo type="max" val="0"/>
        <color rgb="FFFFFFFF"/>
        <color rgb="FF63BE7B"/>
      </colorScale>
    </cfRule>
  </conditionalFormatting>
  <conditionalFormatting sqref="I39:I43">
    <cfRule type="expression" priority="34" aboveAverage="0" equalAverage="0" bottom="0" percent="0" rank="0" text="" dxfId="0">
      <formula>AND(ISNUMBER(I39),I39&gt;=0.06)</formula>
    </cfRule>
    <cfRule type="expression" priority="35" aboveAverage="0" equalAverage="0" bottom="0" percent="0" rank="0" text="" dxfId="1">
      <formula>AND(ISNUMBER(I39),AND(I39&gt;=0.04,I39&lt;0.06))</formula>
    </cfRule>
    <cfRule type="expression" priority="36" aboveAverage="0" equalAverage="0" bottom="0" percent="0" rank="0" text="" dxfId="2">
      <formula>AND(ISNUMBER(I39),I39&lt;0.04)</formula>
    </cfRule>
  </conditionalFormatting>
  <conditionalFormatting sqref="J39:J43">
    <cfRule type="cellIs" priority="37" operator="notEqual" aboveAverage="0" equalAverage="0" bottom="0" percent="0" rank="0" text="" dxfId="1">
      <formula>"OK"</formula>
    </cfRule>
  </conditionalFormatting>
  <conditionalFormatting sqref="D48:D54">
    <cfRule type="colorScale" priority="38">
      <colorScale>
        <cfvo type="min" val="0"/>
        <cfvo type="percentile" val="50"/>
        <cfvo type="max" val="0"/>
        <color rgb="FFF8696B"/>
        <color rgb="FFFFEB84"/>
        <color rgb="FF63BE7B"/>
      </colorScale>
    </cfRule>
  </conditionalFormatting>
  <conditionalFormatting sqref="F48:F54">
    <cfRule type="colorScale" priority="39">
      <colorScale>
        <cfvo type="min" val="0"/>
        <cfvo type="max" val="0"/>
        <color rgb="FFFFFFFF"/>
        <color rgb="FF63BE7B"/>
      </colorScale>
    </cfRule>
  </conditionalFormatting>
  <conditionalFormatting sqref="I48:I54">
    <cfRule type="expression" priority="40" aboveAverage="0" equalAverage="0" bottom="0" percent="0" rank="0" text="" dxfId="0">
      <formula>AND(ISNUMBER(I48),I48&gt;=0.06)</formula>
    </cfRule>
    <cfRule type="expression" priority="41" aboveAverage="0" equalAverage="0" bottom="0" percent="0" rank="0" text="" dxfId="1">
      <formula>AND(ISNUMBER(I48),AND(I48&gt;=0.04,I48&lt;0.06))</formula>
    </cfRule>
    <cfRule type="expression" priority="42" aboveAverage="0" equalAverage="0" bottom="0" percent="0" rank="0" text="" dxfId="2">
      <formula>AND(ISNUMBER(I48),I48&lt;0.04)</formula>
    </cfRule>
  </conditionalFormatting>
  <conditionalFormatting sqref="J48:J54">
    <cfRule type="cellIs" priority="43" operator="notEqual" aboveAverage="0" equalAverage="0" bottom="0" percent="0" rank="0" text="" dxfId="1">
      <formula>"OK"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E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4" min="4" style="0" width="13"/>
    <col collapsed="false" customWidth="true" hidden="false" outlineLevel="0" max="5" min="5" style="0" width="62"/>
    <col collapsed="false" customWidth="true" hidden="false" outlineLevel="0" max="7" min="7" style="0" width="12"/>
  </cols>
  <sheetData>
    <row r="1" customFormat="false" ht="30" hidden="false" customHeight="true" outlineLevel="0" collapsed="false">
      <c r="A1" s="1" t="s">
        <v>310</v>
      </c>
    </row>
    <row r="2" customFormat="false" ht="15" hidden="false" customHeight="false" outlineLevel="0" collapsed="false">
      <c r="A2" s="2" t="s">
        <v>311</v>
      </c>
    </row>
    <row r="4" customFormat="false" ht="31.5" hidden="false" customHeight="true" outlineLevel="0" collapsed="false">
      <c r="A4" s="4" t="s">
        <v>312</v>
      </c>
      <c r="B4" s="4" t="s">
        <v>102</v>
      </c>
      <c r="C4" s="4" t="s">
        <v>313</v>
      </c>
      <c r="D4" s="4" t="s">
        <v>314</v>
      </c>
      <c r="E4" s="4" t="s">
        <v>315</v>
      </c>
    </row>
    <row r="5" customFormat="false" ht="15" hidden="false" customHeight="false" outlineLevel="0" collapsed="false">
      <c r="A5" s="63" t="n">
        <v>44774</v>
      </c>
      <c r="B5" s="37" t="n">
        <f aca="false">SUMIFS('Daily Views (raw)'!$B$5:$B$1935,'Daily Views (raw)'!$A$5:$A$1935,"&gt;="&amp;A5,'Daily Views (raw)'!$A$5:$A$1935,"&lt;"&amp;EDATE(A5,1))</f>
        <v>36</v>
      </c>
      <c r="C5" s="35" t="n">
        <f aca="false">COUNTIFS('Video Data'!$D$5:$D$71,"&gt;="&amp;A5,'Video Data'!$D$5:$D$71,"&lt;"&amp;EDATE(A5,1))</f>
        <v>0</v>
      </c>
      <c r="D5" s="37" t="str">
        <f aca="false">IF(C5&gt;0,B5/C5,"–")</f>
        <v>–</v>
      </c>
      <c r="E5" s="36"/>
    </row>
    <row r="6" customFormat="false" ht="15" hidden="false" customHeight="false" outlineLevel="0" collapsed="false">
      <c r="A6" s="63" t="n">
        <v>44805</v>
      </c>
      <c r="B6" s="37" t="n">
        <f aca="false">SUMIFS('Daily Views (raw)'!$B$5:$B$1935,'Daily Views (raw)'!$A$5:$A$1935,"&gt;="&amp;A6,'Daily Views (raw)'!$A$5:$A$1935,"&lt;"&amp;EDATE(A6,1))</f>
        <v>84</v>
      </c>
      <c r="C6" s="35" t="n">
        <f aca="false">COUNTIFS('Video Data'!$D$5:$D$71,"&gt;="&amp;A6,'Video Data'!$D$5:$D$71,"&lt;"&amp;EDATE(A6,1))</f>
        <v>1</v>
      </c>
      <c r="D6" s="37" t="n">
        <f aca="false">IF(C6&gt;0,B6/C6,"–")</f>
        <v>84</v>
      </c>
      <c r="E6" s="36"/>
    </row>
    <row r="7" customFormat="false" ht="15" hidden="false" customHeight="false" outlineLevel="0" collapsed="false">
      <c r="A7" s="63" t="n">
        <v>44835</v>
      </c>
      <c r="B7" s="37" t="n">
        <f aca="false">SUMIFS('Daily Views (raw)'!$B$5:$B$1935,'Daily Views (raw)'!$A$5:$A$1935,"&gt;="&amp;A7,'Daily Views (raw)'!$A$5:$A$1935,"&lt;"&amp;EDATE(A7,1))</f>
        <v>53</v>
      </c>
      <c r="C7" s="35" t="n">
        <f aca="false">COUNTIFS('Video Data'!$D$5:$D$71,"&gt;="&amp;A7,'Video Data'!$D$5:$D$71,"&lt;"&amp;EDATE(A7,1))</f>
        <v>0</v>
      </c>
      <c r="D7" s="37" t="str">
        <f aca="false">IF(C7&gt;0,B7/C7,"–")</f>
        <v>–</v>
      </c>
      <c r="E7" s="36"/>
    </row>
    <row r="8" customFormat="false" ht="15" hidden="false" customHeight="false" outlineLevel="0" collapsed="false">
      <c r="A8" s="63" t="n">
        <v>44866</v>
      </c>
      <c r="B8" s="37" t="n">
        <f aca="false">SUMIFS('Daily Views (raw)'!$B$5:$B$1935,'Daily Views (raw)'!$A$5:$A$1935,"&gt;="&amp;A8,'Daily Views (raw)'!$A$5:$A$1935,"&lt;"&amp;EDATE(A8,1))</f>
        <v>1202</v>
      </c>
      <c r="C8" s="35" t="n">
        <f aca="false">COUNTIFS('Video Data'!$D$5:$D$71,"&gt;="&amp;A8,'Video Data'!$D$5:$D$71,"&lt;"&amp;EDATE(A8,1))</f>
        <v>3</v>
      </c>
      <c r="D8" s="37" t="n">
        <f aca="false">IF(C8&gt;0,B8/C8,"–")</f>
        <v>400.666666666667</v>
      </c>
      <c r="E8" s="36"/>
    </row>
    <row r="9" customFormat="false" ht="15" hidden="false" customHeight="false" outlineLevel="0" collapsed="false">
      <c r="A9" s="63" t="n">
        <v>44896</v>
      </c>
      <c r="B9" s="37" t="n">
        <f aca="false">SUMIFS('Daily Views (raw)'!$B$5:$B$1935,'Daily Views (raw)'!$A$5:$A$1935,"&gt;="&amp;A9,'Daily Views (raw)'!$A$5:$A$1935,"&lt;"&amp;EDATE(A9,1))</f>
        <v>3193</v>
      </c>
      <c r="C9" s="35" t="n">
        <f aca="false">COUNTIFS('Video Data'!$D$5:$D$71,"&gt;="&amp;A9,'Video Data'!$D$5:$D$71,"&lt;"&amp;EDATE(A9,1))</f>
        <v>6</v>
      </c>
      <c r="D9" s="37" t="n">
        <f aca="false">IF(C9&gt;0,B9/C9,"–")</f>
        <v>532.166666666667</v>
      </c>
      <c r="E9" s="36" t="s">
        <v>316</v>
      </c>
    </row>
    <row r="10" customFormat="false" ht="15" hidden="false" customHeight="false" outlineLevel="0" collapsed="false">
      <c r="A10" s="63" t="n">
        <v>44927</v>
      </c>
      <c r="B10" s="37" t="n">
        <f aca="false">SUMIFS('Daily Views (raw)'!$B$5:$B$1935,'Daily Views (raw)'!$A$5:$A$1935,"&gt;="&amp;A10,'Daily Views (raw)'!$A$5:$A$1935,"&lt;"&amp;EDATE(A10,1))</f>
        <v>840</v>
      </c>
      <c r="C10" s="35" t="n">
        <f aca="false">COUNTIFS('Video Data'!$D$5:$D$71,"&gt;="&amp;A10,'Video Data'!$D$5:$D$71,"&lt;"&amp;EDATE(A10,1))</f>
        <v>4</v>
      </c>
      <c r="D10" s="37" t="n">
        <f aca="false">IF(C10&gt;0,B10/C10,"–")</f>
        <v>210</v>
      </c>
      <c r="E10" s="36"/>
    </row>
    <row r="11" customFormat="false" ht="15" hidden="false" customHeight="false" outlineLevel="0" collapsed="false">
      <c r="A11" s="63" t="n">
        <v>44958</v>
      </c>
      <c r="B11" s="37" t="n">
        <f aca="false">SUMIFS('Daily Views (raw)'!$B$5:$B$1935,'Daily Views (raw)'!$A$5:$A$1935,"&gt;="&amp;A11,'Daily Views (raw)'!$A$5:$A$1935,"&lt;"&amp;EDATE(A11,1))</f>
        <v>844</v>
      </c>
      <c r="C11" s="35" t="n">
        <f aca="false">COUNTIFS('Video Data'!$D$5:$D$71,"&gt;="&amp;A11,'Video Data'!$D$5:$D$71,"&lt;"&amp;EDATE(A11,1))</f>
        <v>0</v>
      </c>
      <c r="D11" s="37" t="str">
        <f aca="false">IF(C11&gt;0,B11/C11,"–")</f>
        <v>–</v>
      </c>
      <c r="E11" s="36"/>
    </row>
    <row r="12" customFormat="false" ht="15" hidden="false" customHeight="false" outlineLevel="0" collapsed="false">
      <c r="A12" s="63" t="n">
        <v>44986</v>
      </c>
      <c r="B12" s="37" t="n">
        <f aca="false">SUMIFS('Daily Views (raw)'!$B$5:$B$1935,'Daily Views (raw)'!$A$5:$A$1935,"&gt;="&amp;A12,'Daily Views (raw)'!$A$5:$A$1935,"&lt;"&amp;EDATE(A12,1))</f>
        <v>731</v>
      </c>
      <c r="C12" s="35" t="n">
        <f aca="false">COUNTIFS('Video Data'!$D$5:$D$71,"&gt;="&amp;A12,'Video Data'!$D$5:$D$71,"&lt;"&amp;EDATE(A12,1))</f>
        <v>2</v>
      </c>
      <c r="D12" s="37" t="n">
        <f aca="false">IF(C12&gt;0,B12/C12,"–")</f>
        <v>365.5</v>
      </c>
      <c r="E12" s="36"/>
    </row>
    <row r="13" customFormat="false" ht="15" hidden="false" customHeight="false" outlineLevel="0" collapsed="false">
      <c r="A13" s="63" t="n">
        <v>45017</v>
      </c>
      <c r="B13" s="37" t="n">
        <f aca="false">SUMIFS('Daily Views (raw)'!$B$5:$B$1935,'Daily Views (raw)'!$A$5:$A$1935,"&gt;="&amp;A13,'Daily Views (raw)'!$A$5:$A$1935,"&lt;"&amp;EDATE(A13,1))</f>
        <v>675</v>
      </c>
      <c r="C13" s="35" t="n">
        <f aca="false">COUNTIFS('Video Data'!$D$5:$D$71,"&gt;="&amp;A13,'Video Data'!$D$5:$D$71,"&lt;"&amp;EDATE(A13,1))</f>
        <v>3</v>
      </c>
      <c r="D13" s="37" t="n">
        <f aca="false">IF(C13&gt;0,B13/C13,"–")</f>
        <v>225</v>
      </c>
      <c r="E13" s="36"/>
    </row>
    <row r="14" customFormat="false" ht="15" hidden="false" customHeight="false" outlineLevel="0" collapsed="false">
      <c r="A14" s="63" t="n">
        <v>45047</v>
      </c>
      <c r="B14" s="37" t="n">
        <f aca="false">SUMIFS('Daily Views (raw)'!$B$5:$B$1935,'Daily Views (raw)'!$A$5:$A$1935,"&gt;="&amp;A14,'Daily Views (raw)'!$A$5:$A$1935,"&lt;"&amp;EDATE(A14,1))</f>
        <v>453</v>
      </c>
      <c r="C14" s="35" t="n">
        <f aca="false">COUNTIFS('Video Data'!$D$5:$D$71,"&gt;="&amp;A14,'Video Data'!$D$5:$D$71,"&lt;"&amp;EDATE(A14,1))</f>
        <v>2</v>
      </c>
      <c r="D14" s="37" t="n">
        <f aca="false">IF(C14&gt;0,B14/C14,"–")</f>
        <v>226.5</v>
      </c>
      <c r="E14" s="36"/>
    </row>
    <row r="15" customFormat="false" ht="15" hidden="false" customHeight="false" outlineLevel="0" collapsed="false">
      <c r="A15" s="63" t="n">
        <v>45078</v>
      </c>
      <c r="B15" s="37" t="n">
        <f aca="false">SUMIFS('Daily Views (raw)'!$B$5:$B$1935,'Daily Views (raw)'!$A$5:$A$1935,"&gt;="&amp;A15,'Daily Views (raw)'!$A$5:$A$1935,"&lt;"&amp;EDATE(A15,1))</f>
        <v>89</v>
      </c>
      <c r="C15" s="35" t="n">
        <f aca="false">COUNTIFS('Video Data'!$D$5:$D$71,"&gt;="&amp;A15,'Video Data'!$D$5:$D$71,"&lt;"&amp;EDATE(A15,1))</f>
        <v>0</v>
      </c>
      <c r="D15" s="37" t="str">
        <f aca="false">IF(C15&gt;0,B15/C15,"–")</f>
        <v>–</v>
      </c>
      <c r="E15" s="36"/>
    </row>
    <row r="16" customFormat="false" ht="15" hidden="false" customHeight="false" outlineLevel="0" collapsed="false">
      <c r="A16" s="63" t="n">
        <v>45108</v>
      </c>
      <c r="B16" s="37" t="n">
        <f aca="false">SUMIFS('Daily Views (raw)'!$B$5:$B$1935,'Daily Views (raw)'!$A$5:$A$1935,"&gt;="&amp;A16,'Daily Views (raw)'!$A$5:$A$1935,"&lt;"&amp;EDATE(A16,1))</f>
        <v>148</v>
      </c>
      <c r="C16" s="35" t="n">
        <f aca="false">COUNTIFS('Video Data'!$D$5:$D$71,"&gt;="&amp;A16,'Video Data'!$D$5:$D$71,"&lt;"&amp;EDATE(A16,1))</f>
        <v>0</v>
      </c>
      <c r="D16" s="37" t="str">
        <f aca="false">IF(C16&gt;0,B16/C16,"–")</f>
        <v>–</v>
      </c>
      <c r="E16" s="36"/>
    </row>
    <row r="17" customFormat="false" ht="15" hidden="false" customHeight="false" outlineLevel="0" collapsed="false">
      <c r="A17" s="63" t="n">
        <v>45139</v>
      </c>
      <c r="B17" s="37" t="n">
        <f aca="false">SUMIFS('Daily Views (raw)'!$B$5:$B$1935,'Daily Views (raw)'!$A$5:$A$1935,"&gt;="&amp;A17,'Daily Views (raw)'!$A$5:$A$1935,"&lt;"&amp;EDATE(A17,1))</f>
        <v>176</v>
      </c>
      <c r="C17" s="35" t="n">
        <f aca="false">COUNTIFS('Video Data'!$D$5:$D$71,"&gt;="&amp;A17,'Video Data'!$D$5:$D$71,"&lt;"&amp;EDATE(A17,1))</f>
        <v>0</v>
      </c>
      <c r="D17" s="37" t="str">
        <f aca="false">IF(C17&gt;0,B17/C17,"–")</f>
        <v>–</v>
      </c>
      <c r="E17" s="36"/>
    </row>
    <row r="18" customFormat="false" ht="15" hidden="false" customHeight="false" outlineLevel="0" collapsed="false">
      <c r="A18" s="63" t="n">
        <v>45170</v>
      </c>
      <c r="B18" s="37" t="n">
        <f aca="false">SUMIFS('Daily Views (raw)'!$B$5:$B$1935,'Daily Views (raw)'!$A$5:$A$1935,"&gt;="&amp;A18,'Daily Views (raw)'!$A$5:$A$1935,"&lt;"&amp;EDATE(A18,1))</f>
        <v>71</v>
      </c>
      <c r="C18" s="35" t="n">
        <f aca="false">COUNTIFS('Video Data'!$D$5:$D$71,"&gt;="&amp;A18,'Video Data'!$D$5:$D$71,"&lt;"&amp;EDATE(A18,1))</f>
        <v>0</v>
      </c>
      <c r="D18" s="37" t="str">
        <f aca="false">IF(C18&gt;0,B18/C18,"–")</f>
        <v>–</v>
      </c>
      <c r="E18" s="36"/>
    </row>
    <row r="19" customFormat="false" ht="15" hidden="false" customHeight="false" outlineLevel="0" collapsed="false">
      <c r="A19" s="63" t="n">
        <v>45200</v>
      </c>
      <c r="B19" s="37" t="n">
        <f aca="false">SUMIFS('Daily Views (raw)'!$B$5:$B$1935,'Daily Views (raw)'!$A$5:$A$1935,"&gt;="&amp;A19,'Daily Views (raw)'!$A$5:$A$1935,"&lt;"&amp;EDATE(A19,1))</f>
        <v>488</v>
      </c>
      <c r="C19" s="35" t="n">
        <f aca="false">COUNTIFS('Video Data'!$D$5:$D$71,"&gt;="&amp;A19,'Video Data'!$D$5:$D$71,"&lt;"&amp;EDATE(A19,1))</f>
        <v>3</v>
      </c>
      <c r="D19" s="37" t="n">
        <f aca="false">IF(C19&gt;0,B19/C19,"–")</f>
        <v>162.666666666667</v>
      </c>
      <c r="E19" s="36"/>
    </row>
    <row r="20" customFormat="false" ht="15" hidden="false" customHeight="false" outlineLevel="0" collapsed="false">
      <c r="A20" s="63" t="n">
        <v>45231</v>
      </c>
      <c r="B20" s="37" t="n">
        <f aca="false">SUMIFS('Daily Views (raw)'!$B$5:$B$1935,'Daily Views (raw)'!$A$5:$A$1935,"&gt;="&amp;A20,'Daily Views (raw)'!$A$5:$A$1935,"&lt;"&amp;EDATE(A20,1))</f>
        <v>602</v>
      </c>
      <c r="C20" s="35" t="n">
        <f aca="false">COUNTIFS('Video Data'!$D$5:$D$71,"&gt;="&amp;A20,'Video Data'!$D$5:$D$71,"&lt;"&amp;EDATE(A20,1))</f>
        <v>5</v>
      </c>
      <c r="D20" s="37" t="n">
        <f aca="false">IF(C20&gt;0,B20/C20,"–")</f>
        <v>120.4</v>
      </c>
      <c r="E20" s="36"/>
    </row>
    <row r="21" customFormat="false" ht="15" hidden="false" customHeight="false" outlineLevel="0" collapsed="false">
      <c r="A21" s="63" t="n">
        <v>45261</v>
      </c>
      <c r="B21" s="37" t="n">
        <f aca="false">SUMIFS('Daily Views (raw)'!$B$5:$B$1935,'Daily Views (raw)'!$A$5:$A$1935,"&gt;="&amp;A21,'Daily Views (raw)'!$A$5:$A$1935,"&lt;"&amp;EDATE(A21,1))</f>
        <v>357</v>
      </c>
      <c r="C21" s="35" t="n">
        <f aca="false">COUNTIFS('Video Data'!$D$5:$D$71,"&gt;="&amp;A21,'Video Data'!$D$5:$D$71,"&lt;"&amp;EDATE(A21,1))</f>
        <v>1</v>
      </c>
      <c r="D21" s="37" t="n">
        <f aca="false">IF(C21&gt;0,B21/C21,"–")</f>
        <v>357</v>
      </c>
      <c r="E21" s="36"/>
    </row>
    <row r="22" customFormat="false" ht="15" hidden="false" customHeight="false" outlineLevel="0" collapsed="false">
      <c r="A22" s="63" t="n">
        <v>45292</v>
      </c>
      <c r="B22" s="37" t="n">
        <f aca="false">SUMIFS('Daily Views (raw)'!$B$5:$B$1935,'Daily Views (raw)'!$A$5:$A$1935,"&gt;="&amp;A22,'Daily Views (raw)'!$A$5:$A$1935,"&lt;"&amp;EDATE(A22,1))</f>
        <v>1033</v>
      </c>
      <c r="C22" s="35" t="n">
        <f aca="false">COUNTIFS('Video Data'!$D$5:$D$71,"&gt;="&amp;A22,'Video Data'!$D$5:$D$71,"&lt;"&amp;EDATE(A22,1))</f>
        <v>3</v>
      </c>
      <c r="D22" s="37" t="n">
        <f aca="false">IF(C22&gt;0,B22/C22,"–")</f>
        <v>344.333333333333</v>
      </c>
      <c r="E22" s="36"/>
    </row>
    <row r="23" customFormat="false" ht="15" hidden="false" customHeight="false" outlineLevel="0" collapsed="false">
      <c r="A23" s="63" t="n">
        <v>45323</v>
      </c>
      <c r="B23" s="37" t="n">
        <f aca="false">SUMIFS('Daily Views (raw)'!$B$5:$B$1935,'Daily Views (raw)'!$A$5:$A$1935,"&gt;="&amp;A23,'Daily Views (raw)'!$A$5:$A$1935,"&lt;"&amp;EDATE(A23,1))</f>
        <v>2410</v>
      </c>
      <c r="C23" s="35" t="n">
        <f aca="false">COUNTIFS('Video Data'!$D$5:$D$71,"&gt;="&amp;A23,'Video Data'!$D$5:$D$71,"&lt;"&amp;EDATE(A23,1))</f>
        <v>0</v>
      </c>
      <c r="D23" s="37" t="str">
        <f aca="false">IF(C23&gt;0,B23/C23,"–")</f>
        <v>–</v>
      </c>
      <c r="E23" s="36" t="s">
        <v>317</v>
      </c>
    </row>
    <row r="24" customFormat="false" ht="15" hidden="false" customHeight="false" outlineLevel="0" collapsed="false">
      <c r="A24" s="63" t="n">
        <v>45352</v>
      </c>
      <c r="B24" s="37" t="n">
        <f aca="false">SUMIFS('Daily Views (raw)'!$B$5:$B$1935,'Daily Views (raw)'!$A$5:$A$1935,"&gt;="&amp;A24,'Daily Views (raw)'!$A$5:$A$1935,"&lt;"&amp;EDATE(A24,1))</f>
        <v>4607</v>
      </c>
      <c r="C24" s="35" t="n">
        <f aca="false">COUNTIFS('Video Data'!$D$5:$D$71,"&gt;="&amp;A24,'Video Data'!$D$5:$D$71,"&lt;"&amp;EDATE(A24,1))</f>
        <v>0</v>
      </c>
      <c r="D24" s="37" t="str">
        <f aca="false">IF(C24&gt;0,B24/C24,"–")</f>
        <v>–</v>
      </c>
      <c r="E24" s="36" t="s">
        <v>318</v>
      </c>
    </row>
    <row r="25" customFormat="false" ht="15" hidden="false" customHeight="false" outlineLevel="0" collapsed="false">
      <c r="A25" s="63" t="n">
        <v>45383</v>
      </c>
      <c r="B25" s="37" t="n">
        <f aca="false">SUMIFS('Daily Views (raw)'!$B$5:$B$1935,'Daily Views (raw)'!$A$5:$A$1935,"&gt;="&amp;A25,'Daily Views (raw)'!$A$5:$A$1935,"&lt;"&amp;EDATE(A25,1))</f>
        <v>510</v>
      </c>
      <c r="C25" s="35" t="n">
        <f aca="false">COUNTIFS('Video Data'!$D$5:$D$71,"&gt;="&amp;A25,'Video Data'!$D$5:$D$71,"&lt;"&amp;EDATE(A25,1))</f>
        <v>0</v>
      </c>
      <c r="D25" s="37" t="str">
        <f aca="false">IF(C25&gt;0,B25/C25,"–")</f>
        <v>–</v>
      </c>
      <c r="E25" s="36"/>
    </row>
    <row r="26" customFormat="false" ht="15" hidden="false" customHeight="false" outlineLevel="0" collapsed="false">
      <c r="A26" s="63" t="n">
        <v>45413</v>
      </c>
      <c r="B26" s="37" t="n">
        <f aca="false">SUMIFS('Daily Views (raw)'!$B$5:$B$1935,'Daily Views (raw)'!$A$5:$A$1935,"&gt;="&amp;A26,'Daily Views (raw)'!$A$5:$A$1935,"&lt;"&amp;EDATE(A26,1))</f>
        <v>87</v>
      </c>
      <c r="C26" s="35" t="n">
        <f aca="false">COUNTIFS('Video Data'!$D$5:$D$71,"&gt;="&amp;A26,'Video Data'!$D$5:$D$71,"&lt;"&amp;EDATE(A26,1))</f>
        <v>2</v>
      </c>
      <c r="D26" s="37" t="n">
        <f aca="false">IF(C26&gt;0,B26/C26,"–")</f>
        <v>43.5</v>
      </c>
      <c r="E26" s="36"/>
    </row>
    <row r="27" customFormat="false" ht="15" hidden="false" customHeight="false" outlineLevel="0" collapsed="false">
      <c r="A27" s="63" t="n">
        <v>45444</v>
      </c>
      <c r="B27" s="37" t="n">
        <f aca="false">SUMIFS('Daily Views (raw)'!$B$5:$B$1935,'Daily Views (raw)'!$A$5:$A$1935,"&gt;="&amp;A27,'Daily Views (raw)'!$A$5:$A$1935,"&lt;"&amp;EDATE(A27,1))</f>
        <v>24</v>
      </c>
      <c r="C27" s="35" t="n">
        <f aca="false">COUNTIFS('Video Data'!$D$5:$D$71,"&gt;="&amp;A27,'Video Data'!$D$5:$D$71,"&lt;"&amp;EDATE(A27,1))</f>
        <v>1</v>
      </c>
      <c r="D27" s="37" t="n">
        <f aca="false">IF(C27&gt;0,B27/C27,"–")</f>
        <v>24</v>
      </c>
      <c r="E27" s="36"/>
    </row>
    <row r="28" customFormat="false" ht="15" hidden="false" customHeight="false" outlineLevel="0" collapsed="false">
      <c r="A28" s="63" t="n">
        <v>45474</v>
      </c>
      <c r="B28" s="37" t="n">
        <f aca="false">SUMIFS('Daily Views (raw)'!$B$5:$B$1935,'Daily Views (raw)'!$A$5:$A$1935,"&gt;="&amp;A28,'Daily Views (raw)'!$A$5:$A$1935,"&lt;"&amp;EDATE(A28,1))</f>
        <v>38</v>
      </c>
      <c r="C28" s="35" t="n">
        <f aca="false">COUNTIFS('Video Data'!$D$5:$D$71,"&gt;="&amp;A28,'Video Data'!$D$5:$D$71,"&lt;"&amp;EDATE(A28,1))</f>
        <v>0</v>
      </c>
      <c r="D28" s="37" t="str">
        <f aca="false">IF(C28&gt;0,B28/C28,"–")</f>
        <v>–</v>
      </c>
      <c r="E28" s="36"/>
    </row>
    <row r="29" customFormat="false" ht="15" hidden="false" customHeight="false" outlineLevel="0" collapsed="false">
      <c r="A29" s="63" t="n">
        <v>45505</v>
      </c>
      <c r="B29" s="37" t="n">
        <f aca="false">SUMIFS('Daily Views (raw)'!$B$5:$B$1935,'Daily Views (raw)'!$A$5:$A$1935,"&gt;="&amp;A29,'Daily Views (raw)'!$A$5:$A$1935,"&lt;"&amp;EDATE(A29,1))</f>
        <v>23</v>
      </c>
      <c r="C29" s="35" t="n">
        <f aca="false">COUNTIFS('Video Data'!$D$5:$D$71,"&gt;="&amp;A29,'Video Data'!$D$5:$D$71,"&lt;"&amp;EDATE(A29,1))</f>
        <v>0</v>
      </c>
      <c r="D29" s="37" t="str">
        <f aca="false">IF(C29&gt;0,B29/C29,"–")</f>
        <v>–</v>
      </c>
      <c r="E29" s="36"/>
    </row>
    <row r="30" customFormat="false" ht="15" hidden="false" customHeight="false" outlineLevel="0" collapsed="false">
      <c r="A30" s="63" t="n">
        <v>45536</v>
      </c>
      <c r="B30" s="37" t="n">
        <f aca="false">SUMIFS('Daily Views (raw)'!$B$5:$B$1935,'Daily Views (raw)'!$A$5:$A$1935,"&gt;="&amp;A30,'Daily Views (raw)'!$A$5:$A$1935,"&lt;"&amp;EDATE(A30,1))</f>
        <v>16</v>
      </c>
      <c r="C30" s="35" t="n">
        <f aca="false">COUNTIFS('Video Data'!$D$5:$D$71,"&gt;="&amp;A30,'Video Data'!$D$5:$D$71,"&lt;"&amp;EDATE(A30,1))</f>
        <v>0</v>
      </c>
      <c r="D30" s="37" t="str">
        <f aca="false">IF(C30&gt;0,B30/C30,"–")</f>
        <v>–</v>
      </c>
      <c r="E30" s="36"/>
    </row>
    <row r="31" customFormat="false" ht="15" hidden="false" customHeight="false" outlineLevel="0" collapsed="false">
      <c r="A31" s="63" t="n">
        <v>45566</v>
      </c>
      <c r="B31" s="37" t="n">
        <f aca="false">SUMIFS('Daily Views (raw)'!$B$5:$B$1935,'Daily Views (raw)'!$A$5:$A$1935,"&gt;="&amp;A31,'Daily Views (raw)'!$A$5:$A$1935,"&lt;"&amp;EDATE(A31,1))</f>
        <v>157</v>
      </c>
      <c r="C31" s="35" t="n">
        <f aca="false">COUNTIFS('Video Data'!$D$5:$D$71,"&gt;="&amp;A31,'Video Data'!$D$5:$D$71,"&lt;"&amp;EDATE(A31,1))</f>
        <v>1</v>
      </c>
      <c r="D31" s="37" t="n">
        <f aca="false">IF(C31&gt;0,B31/C31,"–")</f>
        <v>157</v>
      </c>
      <c r="E31" s="36"/>
    </row>
    <row r="32" customFormat="false" ht="15" hidden="false" customHeight="false" outlineLevel="0" collapsed="false">
      <c r="A32" s="63" t="n">
        <v>45597</v>
      </c>
      <c r="B32" s="37" t="n">
        <f aca="false">SUMIFS('Daily Views (raw)'!$B$5:$B$1935,'Daily Views (raw)'!$A$5:$A$1935,"&gt;="&amp;A32,'Daily Views (raw)'!$A$5:$A$1935,"&lt;"&amp;EDATE(A32,1))</f>
        <v>1</v>
      </c>
      <c r="C32" s="35" t="n">
        <f aca="false">COUNTIFS('Video Data'!$D$5:$D$71,"&gt;="&amp;A32,'Video Data'!$D$5:$D$71,"&lt;"&amp;EDATE(A32,1))</f>
        <v>0</v>
      </c>
      <c r="D32" s="37" t="str">
        <f aca="false">IF(C32&gt;0,B32/C32,"–")</f>
        <v>–</v>
      </c>
      <c r="E32" s="36"/>
    </row>
    <row r="33" customFormat="false" ht="15" hidden="false" customHeight="false" outlineLevel="0" collapsed="false">
      <c r="A33" s="63" t="n">
        <v>45627</v>
      </c>
      <c r="B33" s="37" t="n">
        <f aca="false">SUMIFS('Daily Views (raw)'!$B$5:$B$1935,'Daily Views (raw)'!$A$5:$A$1935,"&gt;="&amp;A33,'Daily Views (raw)'!$A$5:$A$1935,"&lt;"&amp;EDATE(A33,1))</f>
        <v>9</v>
      </c>
      <c r="C33" s="35" t="n">
        <f aca="false">COUNTIFS('Video Data'!$D$5:$D$71,"&gt;="&amp;A33,'Video Data'!$D$5:$D$71,"&lt;"&amp;EDATE(A33,1))</f>
        <v>0</v>
      </c>
      <c r="D33" s="37" t="str">
        <f aca="false">IF(C33&gt;0,B33/C33,"–")</f>
        <v>–</v>
      </c>
      <c r="E33" s="36"/>
    </row>
    <row r="34" customFormat="false" ht="15" hidden="false" customHeight="false" outlineLevel="0" collapsed="false">
      <c r="A34" s="63" t="n">
        <v>45658</v>
      </c>
      <c r="B34" s="37" t="n">
        <f aca="false">SUMIFS('Daily Views (raw)'!$B$5:$B$1935,'Daily Views (raw)'!$A$5:$A$1935,"&gt;="&amp;A34,'Daily Views (raw)'!$A$5:$A$1935,"&lt;"&amp;EDATE(A34,1))</f>
        <v>6</v>
      </c>
      <c r="C34" s="35" t="n">
        <f aca="false">COUNTIFS('Video Data'!$D$5:$D$71,"&gt;="&amp;A34,'Video Data'!$D$5:$D$71,"&lt;"&amp;EDATE(A34,1))</f>
        <v>0</v>
      </c>
      <c r="D34" s="37" t="str">
        <f aca="false">IF(C34&gt;0,B34/C34,"–")</f>
        <v>–</v>
      </c>
      <c r="E34" s="36"/>
    </row>
    <row r="35" customFormat="false" ht="15" hidden="false" customHeight="false" outlineLevel="0" collapsed="false">
      <c r="A35" s="63" t="n">
        <v>45689</v>
      </c>
      <c r="B35" s="37" t="n">
        <f aca="false">SUMIFS('Daily Views (raw)'!$B$5:$B$1935,'Daily Views (raw)'!$A$5:$A$1935,"&gt;="&amp;A35,'Daily Views (raw)'!$A$5:$A$1935,"&lt;"&amp;EDATE(A35,1))</f>
        <v>4</v>
      </c>
      <c r="C35" s="35" t="n">
        <f aca="false">COUNTIFS('Video Data'!$D$5:$D$71,"&gt;="&amp;A35,'Video Data'!$D$5:$D$71,"&lt;"&amp;EDATE(A35,1))</f>
        <v>0</v>
      </c>
      <c r="D35" s="37" t="str">
        <f aca="false">IF(C35&gt;0,B35/C35,"–")</f>
        <v>–</v>
      </c>
      <c r="E35" s="36"/>
    </row>
    <row r="36" customFormat="false" ht="15" hidden="false" customHeight="false" outlineLevel="0" collapsed="false">
      <c r="A36" s="63" t="n">
        <v>45717</v>
      </c>
      <c r="B36" s="37" t="n">
        <f aca="false">SUMIFS('Daily Views (raw)'!$B$5:$B$1935,'Daily Views (raw)'!$A$5:$A$1935,"&gt;="&amp;A36,'Daily Views (raw)'!$A$5:$A$1935,"&lt;"&amp;EDATE(A36,1))</f>
        <v>10</v>
      </c>
      <c r="C36" s="35" t="n">
        <f aca="false">COUNTIFS('Video Data'!$D$5:$D$71,"&gt;="&amp;A36,'Video Data'!$D$5:$D$71,"&lt;"&amp;EDATE(A36,1))</f>
        <v>0</v>
      </c>
      <c r="D36" s="37" t="str">
        <f aca="false">IF(C36&gt;0,B36/C36,"–")</f>
        <v>–</v>
      </c>
      <c r="E36" s="36"/>
    </row>
    <row r="37" customFormat="false" ht="15" hidden="false" customHeight="false" outlineLevel="0" collapsed="false">
      <c r="A37" s="63" t="n">
        <v>45748</v>
      </c>
      <c r="B37" s="37" t="n">
        <f aca="false">SUMIFS('Daily Views (raw)'!$B$5:$B$1935,'Daily Views (raw)'!$A$5:$A$1935,"&gt;="&amp;A37,'Daily Views (raw)'!$A$5:$A$1935,"&lt;"&amp;EDATE(A37,1))</f>
        <v>2</v>
      </c>
      <c r="C37" s="35" t="n">
        <f aca="false">COUNTIFS('Video Data'!$D$5:$D$71,"&gt;="&amp;A37,'Video Data'!$D$5:$D$71,"&lt;"&amp;EDATE(A37,1))</f>
        <v>0</v>
      </c>
      <c r="D37" s="37" t="str">
        <f aca="false">IF(C37&gt;0,B37/C37,"–")</f>
        <v>–</v>
      </c>
      <c r="E37" s="36"/>
    </row>
    <row r="38" customFormat="false" ht="15" hidden="false" customHeight="false" outlineLevel="0" collapsed="false">
      <c r="A38" s="63" t="n">
        <v>45778</v>
      </c>
      <c r="B38" s="37" t="n">
        <f aca="false">SUMIFS('Daily Views (raw)'!$B$5:$B$1935,'Daily Views (raw)'!$A$5:$A$1935,"&gt;="&amp;A38,'Daily Views (raw)'!$A$5:$A$1935,"&lt;"&amp;EDATE(A38,1))</f>
        <v>2</v>
      </c>
      <c r="C38" s="35" t="n">
        <f aca="false">COUNTIFS('Video Data'!$D$5:$D$71,"&gt;="&amp;A38,'Video Data'!$D$5:$D$71,"&lt;"&amp;EDATE(A38,1))</f>
        <v>0</v>
      </c>
      <c r="D38" s="37" t="str">
        <f aca="false">IF(C38&gt;0,B38/C38,"–")</f>
        <v>–</v>
      </c>
      <c r="E38" s="36"/>
    </row>
    <row r="39" customFormat="false" ht="15" hidden="false" customHeight="false" outlineLevel="0" collapsed="false">
      <c r="A39" s="63" t="n">
        <v>45809</v>
      </c>
      <c r="B39" s="37" t="n">
        <f aca="false">SUMIFS('Daily Views (raw)'!$B$5:$B$1935,'Daily Views (raw)'!$A$5:$A$1935,"&gt;="&amp;A39,'Daily Views (raw)'!$A$5:$A$1935,"&lt;"&amp;EDATE(A39,1))</f>
        <v>3</v>
      </c>
      <c r="C39" s="35" t="n">
        <f aca="false">COUNTIFS('Video Data'!$D$5:$D$71,"&gt;="&amp;A39,'Video Data'!$D$5:$D$71,"&lt;"&amp;EDATE(A39,1))</f>
        <v>0</v>
      </c>
      <c r="D39" s="37" t="str">
        <f aca="false">IF(C39&gt;0,B39/C39,"–")</f>
        <v>–</v>
      </c>
      <c r="E39" s="36"/>
    </row>
    <row r="40" customFormat="false" ht="15" hidden="false" customHeight="false" outlineLevel="0" collapsed="false">
      <c r="A40" s="63" t="n">
        <v>45839</v>
      </c>
      <c r="B40" s="37" t="n">
        <f aca="false">SUMIFS('Daily Views (raw)'!$B$5:$B$1935,'Daily Views (raw)'!$A$5:$A$1935,"&gt;="&amp;A40,'Daily Views (raw)'!$A$5:$A$1935,"&lt;"&amp;EDATE(A40,1))</f>
        <v>7</v>
      </c>
      <c r="C40" s="35" t="n">
        <f aca="false">COUNTIFS('Video Data'!$D$5:$D$71,"&gt;="&amp;A40,'Video Data'!$D$5:$D$71,"&lt;"&amp;EDATE(A40,1))</f>
        <v>0</v>
      </c>
      <c r="D40" s="37" t="str">
        <f aca="false">IF(C40&gt;0,B40/C40,"–")</f>
        <v>–</v>
      </c>
      <c r="E40" s="36"/>
    </row>
    <row r="41" customFormat="false" ht="15" hidden="false" customHeight="false" outlineLevel="0" collapsed="false">
      <c r="A41" s="63" t="n">
        <v>45870</v>
      </c>
      <c r="B41" s="37" t="n">
        <f aca="false">SUMIFS('Daily Views (raw)'!$B$5:$B$1935,'Daily Views (raw)'!$A$5:$A$1935,"&gt;="&amp;A41,'Daily Views (raw)'!$A$5:$A$1935,"&lt;"&amp;EDATE(A41,1))</f>
        <v>3</v>
      </c>
      <c r="C41" s="35" t="n">
        <f aca="false">COUNTIFS('Video Data'!$D$5:$D$71,"&gt;="&amp;A41,'Video Data'!$D$5:$D$71,"&lt;"&amp;EDATE(A41,1))</f>
        <v>0</v>
      </c>
      <c r="D41" s="37" t="str">
        <f aca="false">IF(C41&gt;0,B41/C41,"–")</f>
        <v>–</v>
      </c>
      <c r="E41" s="36"/>
    </row>
    <row r="42" customFormat="false" ht="15" hidden="false" customHeight="false" outlineLevel="0" collapsed="false">
      <c r="A42" s="63" t="n">
        <v>45901</v>
      </c>
      <c r="B42" s="37" t="n">
        <f aca="false">SUMIFS('Daily Views (raw)'!$B$5:$B$1935,'Daily Views (raw)'!$A$5:$A$1935,"&gt;="&amp;A42,'Daily Views (raw)'!$A$5:$A$1935,"&lt;"&amp;EDATE(A42,1))</f>
        <v>6</v>
      </c>
      <c r="C42" s="35" t="n">
        <f aca="false">COUNTIFS('Video Data'!$D$5:$D$71,"&gt;="&amp;A42,'Video Data'!$D$5:$D$71,"&lt;"&amp;EDATE(A42,1))</f>
        <v>0</v>
      </c>
      <c r="D42" s="37" t="str">
        <f aca="false">IF(C42&gt;0,B42/C42,"–")</f>
        <v>–</v>
      </c>
      <c r="E42" s="36"/>
    </row>
    <row r="43" customFormat="false" ht="15" hidden="false" customHeight="false" outlineLevel="0" collapsed="false">
      <c r="A43" s="63" t="n">
        <v>45931</v>
      </c>
      <c r="B43" s="37" t="n">
        <f aca="false">SUMIFS('Daily Views (raw)'!$B$5:$B$1935,'Daily Views (raw)'!$A$5:$A$1935,"&gt;="&amp;A43,'Daily Views (raw)'!$A$5:$A$1935,"&lt;"&amp;EDATE(A43,1))</f>
        <v>14</v>
      </c>
      <c r="C43" s="35" t="n">
        <f aca="false">COUNTIFS('Video Data'!$D$5:$D$71,"&gt;="&amp;A43,'Video Data'!$D$5:$D$71,"&lt;"&amp;EDATE(A43,1))</f>
        <v>0</v>
      </c>
      <c r="D43" s="37" t="str">
        <f aca="false">IF(C43&gt;0,B43/C43,"–")</f>
        <v>–</v>
      </c>
      <c r="E43" s="36"/>
    </row>
    <row r="44" customFormat="false" ht="15" hidden="false" customHeight="false" outlineLevel="0" collapsed="false">
      <c r="A44" s="63" t="n">
        <v>45962</v>
      </c>
      <c r="B44" s="37" t="n">
        <f aca="false">SUMIFS('Daily Views (raw)'!$B$5:$B$1935,'Daily Views (raw)'!$A$5:$A$1935,"&gt;="&amp;A44,'Daily Views (raw)'!$A$5:$A$1935,"&lt;"&amp;EDATE(A44,1))</f>
        <v>4781</v>
      </c>
      <c r="C44" s="35" t="n">
        <f aca="false">COUNTIFS('Video Data'!$D$5:$D$71,"&gt;="&amp;A44,'Video Data'!$D$5:$D$71,"&lt;"&amp;EDATE(A44,1))</f>
        <v>13</v>
      </c>
      <c r="D44" s="37" t="n">
        <f aca="false">IF(C44&gt;0,B44/C44,"–")</f>
        <v>367.769230769231</v>
      </c>
      <c r="E44" s="36" t="s">
        <v>319</v>
      </c>
    </row>
    <row r="45" customFormat="false" ht="15" hidden="false" customHeight="false" outlineLevel="0" collapsed="false">
      <c r="A45" s="63" t="n">
        <v>45992</v>
      </c>
      <c r="B45" s="37" t="n">
        <f aca="false">SUMIFS('Daily Views (raw)'!$B$5:$B$1935,'Daily Views (raw)'!$A$5:$A$1935,"&gt;="&amp;A45,'Daily Views (raw)'!$A$5:$A$1935,"&lt;"&amp;EDATE(A45,1))</f>
        <v>201</v>
      </c>
      <c r="C45" s="35" t="n">
        <f aca="false">COUNTIFS('Video Data'!$D$5:$D$71,"&gt;="&amp;A45,'Video Data'!$D$5:$D$71,"&lt;"&amp;EDATE(A45,1))</f>
        <v>1</v>
      </c>
      <c r="D45" s="37" t="n">
        <f aca="false">IF(C45&gt;0,B45/C45,"–")</f>
        <v>201</v>
      </c>
      <c r="E45" s="36"/>
    </row>
    <row r="46" customFormat="false" ht="15" hidden="false" customHeight="false" outlineLevel="0" collapsed="false">
      <c r="A46" s="63" t="n">
        <v>46023</v>
      </c>
      <c r="B46" s="37" t="n">
        <f aca="false">SUMIFS('Daily Views (raw)'!$B$5:$B$1935,'Daily Views (raw)'!$A$5:$A$1935,"&gt;="&amp;A46,'Daily Views (raw)'!$A$5:$A$1935,"&lt;"&amp;EDATE(A46,1))</f>
        <v>14</v>
      </c>
      <c r="C46" s="35" t="n">
        <f aca="false">COUNTIFS('Video Data'!$D$5:$D$71,"&gt;="&amp;A46,'Video Data'!$D$5:$D$71,"&lt;"&amp;EDATE(A46,1))</f>
        <v>0</v>
      </c>
      <c r="D46" s="37" t="str">
        <f aca="false">IF(C46&gt;0,B46/C46,"–")</f>
        <v>–</v>
      </c>
      <c r="E46" s="36"/>
    </row>
    <row r="47" customFormat="false" ht="15" hidden="false" customHeight="false" outlineLevel="0" collapsed="false">
      <c r="A47" s="63" t="n">
        <v>46054</v>
      </c>
      <c r="B47" s="37" t="n">
        <f aca="false">SUMIFS('Daily Views (raw)'!$B$5:$B$1935,'Daily Views (raw)'!$A$5:$A$1935,"&gt;="&amp;A47,'Daily Views (raw)'!$A$5:$A$1935,"&lt;"&amp;EDATE(A47,1))</f>
        <v>7</v>
      </c>
      <c r="C47" s="35" t="n">
        <f aca="false">COUNTIFS('Video Data'!$D$5:$D$71,"&gt;="&amp;A47,'Video Data'!$D$5:$D$71,"&lt;"&amp;EDATE(A47,1))</f>
        <v>0</v>
      </c>
      <c r="D47" s="37" t="str">
        <f aca="false">IF(C47&gt;0,B47/C47,"–")</f>
        <v>–</v>
      </c>
      <c r="E47" s="36"/>
    </row>
    <row r="48" customFormat="false" ht="15" hidden="false" customHeight="false" outlineLevel="0" collapsed="false">
      <c r="A48" s="63" t="n">
        <v>46082</v>
      </c>
      <c r="B48" s="37" t="n">
        <f aca="false">SUMIFS('Daily Views (raw)'!$B$5:$B$1935,'Daily Views (raw)'!$A$5:$A$1935,"&gt;="&amp;A48,'Daily Views (raw)'!$A$5:$A$1935,"&lt;"&amp;EDATE(A48,1))</f>
        <v>10</v>
      </c>
      <c r="C48" s="35" t="n">
        <f aca="false">COUNTIFS('Video Data'!$D$5:$D$71,"&gt;="&amp;A48,'Video Data'!$D$5:$D$71,"&lt;"&amp;EDATE(A48,1))</f>
        <v>0</v>
      </c>
      <c r="D48" s="37" t="str">
        <f aca="false">IF(C48&gt;0,B48/C48,"–")</f>
        <v>–</v>
      </c>
      <c r="E48" s="36"/>
    </row>
    <row r="49" customFormat="false" ht="15" hidden="false" customHeight="false" outlineLevel="0" collapsed="false">
      <c r="A49" s="63" t="n">
        <v>46113</v>
      </c>
      <c r="B49" s="37" t="n">
        <f aca="false">SUMIFS('Daily Views (raw)'!$B$5:$B$1935,'Daily Views (raw)'!$A$5:$A$1935,"&gt;="&amp;A49,'Daily Views (raw)'!$A$5:$A$1935,"&lt;"&amp;EDATE(A49,1))</f>
        <v>803</v>
      </c>
      <c r="C49" s="35" t="n">
        <f aca="false">COUNTIFS('Video Data'!$D$5:$D$71,"&gt;="&amp;A49,'Video Data'!$D$5:$D$71,"&lt;"&amp;EDATE(A49,1))</f>
        <v>3</v>
      </c>
      <c r="D49" s="37" t="n">
        <f aca="false">IF(C49&gt;0,B49/C49,"–")</f>
        <v>267.666666666667</v>
      </c>
      <c r="E49" s="36"/>
    </row>
    <row r="50" customFormat="false" ht="15" hidden="false" customHeight="false" outlineLevel="0" collapsed="false">
      <c r="A50" s="63" t="n">
        <v>46143</v>
      </c>
      <c r="B50" s="37" t="n">
        <f aca="false">SUMIFS('Daily Views (raw)'!$B$5:$B$1935,'Daily Views (raw)'!$A$5:$A$1935,"&gt;="&amp;A50,'Daily Views (raw)'!$A$5:$A$1935,"&lt;"&amp;EDATE(A50,1))</f>
        <v>1628</v>
      </c>
      <c r="C50" s="35" t="n">
        <f aca="false">COUNTIFS('Video Data'!$D$5:$D$71,"&gt;="&amp;A50,'Video Data'!$D$5:$D$71,"&lt;"&amp;EDATE(A50,1))</f>
        <v>5</v>
      </c>
      <c r="D50" s="37" t="n">
        <f aca="false">IF(C50&gt;0,B50/C50,"–")</f>
        <v>325.6</v>
      </c>
      <c r="E50" s="36"/>
    </row>
    <row r="51" customFormat="false" ht="15" hidden="false" customHeight="false" outlineLevel="0" collapsed="false">
      <c r="A51" s="63" t="n">
        <v>46174</v>
      </c>
      <c r="B51" s="37" t="n">
        <f aca="false">SUMIFS('Daily Views (raw)'!$B$5:$B$1935,'Daily Views (raw)'!$A$5:$A$1935,"&gt;="&amp;A51,'Daily Views (raw)'!$A$5:$A$1935,"&lt;"&amp;EDATE(A51,1))</f>
        <v>2358</v>
      </c>
      <c r="C51" s="35" t="n">
        <f aca="false">COUNTIFS('Video Data'!$D$5:$D$71,"&gt;="&amp;A51,'Video Data'!$D$5:$D$71,"&lt;"&amp;EDATE(A51,1))</f>
        <v>5</v>
      </c>
      <c r="D51" s="37" t="n">
        <f aca="false">IF(C51&gt;0,B51/C51,"–")</f>
        <v>471.6</v>
      </c>
      <c r="E51" s="36" t="s">
        <v>320</v>
      </c>
    </row>
    <row r="52" customFormat="false" ht="15" hidden="false" customHeight="false" outlineLevel="0" collapsed="false">
      <c r="A52" s="63" t="n">
        <v>46204</v>
      </c>
      <c r="B52" s="37" t="n">
        <f aca="false">SUMIFS('Daily Views (raw)'!$B$5:$B$1935,'Daily Views (raw)'!$A$5:$A$1935,"&gt;="&amp;A52,'Daily Views (raw)'!$A$5:$A$1935,"&lt;"&amp;EDATE(A52,1))</f>
        <v>32</v>
      </c>
      <c r="C52" s="35" t="n">
        <f aca="false">COUNTIFS('Video Data'!$D$5:$D$71,"&gt;="&amp;A52,'Video Data'!$D$5:$D$71,"&lt;"&amp;EDATE(A52,1))</f>
        <v>3</v>
      </c>
      <c r="D52" s="37" t="n">
        <f aca="false">IF(C52&gt;0,B52/C52,"–")</f>
        <v>10.6666666666667</v>
      </c>
      <c r="E52" s="36" t="s">
        <v>321</v>
      </c>
    </row>
    <row r="53" customFormat="false" ht="15" hidden="false" customHeight="false" outlineLevel="0" collapsed="false">
      <c r="A53" s="63" t="n">
        <v>46235</v>
      </c>
      <c r="B53" s="37" t="n">
        <f aca="false">SUMIFS('Daily Views (raw)'!$B$5:$B$1935,'Daily Views (raw)'!$A$5:$A$1935,"&gt;="&amp;A53,'Daily Views (raw)'!$A$5:$A$1935,"&lt;"&amp;EDATE(A53,1))</f>
        <v>19</v>
      </c>
      <c r="C53" s="35" t="n">
        <f aca="false">COUNTIFS('Video Data'!$D$5:$D$71,"&gt;="&amp;A53,'Video Data'!$D$5:$D$71,"&lt;"&amp;EDATE(A53,1))</f>
        <v>0</v>
      </c>
      <c r="D53" s="37" t="str">
        <f aca="false">IF(C53&gt;0,B53/C53,"–")</f>
        <v>–</v>
      </c>
      <c r="E53" s="36"/>
    </row>
    <row r="54" customFormat="false" ht="15" hidden="false" customHeight="false" outlineLevel="0" collapsed="false">
      <c r="A54" s="63" t="n">
        <v>46266</v>
      </c>
      <c r="B54" s="37" t="n">
        <f aca="false">SUMIFS('Daily Views (raw)'!$B$5:$B$1935,'Daily Views (raw)'!$A$5:$A$1935,"&gt;="&amp;A54,'Daily Views (raw)'!$A$5:$A$1935,"&lt;"&amp;EDATE(A54,1))</f>
        <v>47</v>
      </c>
      <c r="C54" s="35" t="n">
        <f aca="false">COUNTIFS('Video Data'!$D$5:$D$71,"&gt;="&amp;A54,'Video Data'!$D$5:$D$71,"&lt;"&amp;EDATE(A54,1))</f>
        <v>0</v>
      </c>
      <c r="D54" s="37" t="str">
        <f aca="false">IF(C54&gt;0,B54/C54,"–")</f>
        <v>–</v>
      </c>
      <c r="E54" s="36"/>
    </row>
    <row r="55" customFormat="false" ht="15" hidden="false" customHeight="false" outlineLevel="0" collapsed="false">
      <c r="A55" s="63" t="n">
        <v>46296</v>
      </c>
      <c r="B55" s="37" t="n">
        <f aca="false">SUMIFS('Daily Views (raw)'!$B$5:$B$1935,'Daily Views (raw)'!$A$5:$A$1935,"&gt;="&amp;A55,'Daily Views (raw)'!$A$5:$A$1935,"&lt;"&amp;EDATE(A55,1))</f>
        <v>7</v>
      </c>
      <c r="C55" s="35" t="n">
        <f aca="false">COUNTIFS('Video Data'!$D$5:$D$71,"&gt;="&amp;A55,'Video Data'!$D$5:$D$71,"&lt;"&amp;EDATE(A55,1))</f>
        <v>0</v>
      </c>
      <c r="D55" s="37" t="str">
        <f aca="false">IF(C55&gt;0,B55/C55,"–")</f>
        <v>–</v>
      </c>
      <c r="E55" s="36"/>
    </row>
    <row r="58" customFormat="false" ht="16.15" hidden="false" customHeight="false" outlineLevel="0" collapsed="false">
      <c r="A58" s="60" t="s">
        <v>322</v>
      </c>
    </row>
    <row r="59" customFormat="false" ht="31.5" hidden="false" customHeight="true" outlineLevel="0" collapsed="false">
      <c r="A59" s="4" t="s">
        <v>323</v>
      </c>
      <c r="B59" s="4" t="s">
        <v>102</v>
      </c>
      <c r="C59" s="4" t="s">
        <v>313</v>
      </c>
      <c r="D59" s="4" t="s">
        <v>324</v>
      </c>
    </row>
    <row r="60" customFormat="false" ht="15" hidden="false" customHeight="false" outlineLevel="0" collapsed="false">
      <c r="A60" s="61" t="s">
        <v>325</v>
      </c>
      <c r="B60" s="37" t="n">
        <f aca="false">SUMPRODUCT((YEAR($A$5:$A$55)=2022)*$B$5:$B$55)</f>
        <v>4568</v>
      </c>
      <c r="C60" s="35" t="n">
        <f aca="false">SUMPRODUCT((YEAR($A$5:$A$55)=2022)*$C$5:$C$55)</f>
        <v>10</v>
      </c>
      <c r="D60" s="37" t="n">
        <f aca="false">IFERROR(B60/C60,0)</f>
        <v>456.8</v>
      </c>
    </row>
    <row r="61" customFormat="false" ht="15" hidden="false" customHeight="false" outlineLevel="0" collapsed="false">
      <c r="A61" s="61" t="s">
        <v>326</v>
      </c>
      <c r="B61" s="37" t="n">
        <f aca="false">SUMPRODUCT((YEAR($A$5:$A$55)=2023)*$B$5:$B$55)</f>
        <v>5474</v>
      </c>
      <c r="C61" s="35" t="n">
        <f aca="false">SUMPRODUCT((YEAR($A$5:$A$55)=2023)*$C$5:$C$55)</f>
        <v>20</v>
      </c>
      <c r="D61" s="37" t="n">
        <f aca="false">IFERROR(B61/C61,0)</f>
        <v>273.7</v>
      </c>
    </row>
    <row r="62" customFormat="false" ht="15" hidden="false" customHeight="false" outlineLevel="0" collapsed="false">
      <c r="A62" s="61" t="s">
        <v>327</v>
      </c>
      <c r="B62" s="37" t="n">
        <f aca="false">SUMPRODUCT((YEAR($A$5:$A$55)=2024)*$B$5:$B$55)</f>
        <v>8915</v>
      </c>
      <c r="C62" s="35" t="n">
        <f aca="false">SUMPRODUCT((YEAR($A$5:$A$55)=2024)*$C$5:$C$55)</f>
        <v>7</v>
      </c>
      <c r="D62" s="37" t="n">
        <f aca="false">IFERROR(B62/C62,0)</f>
        <v>1273.57142857143</v>
      </c>
    </row>
    <row r="63" customFormat="false" ht="15" hidden="false" customHeight="false" outlineLevel="0" collapsed="false">
      <c r="A63" s="61" t="s">
        <v>328</v>
      </c>
      <c r="B63" s="37" t="n">
        <f aca="false">SUMPRODUCT((YEAR($A$5:$A$55)=2025)*$B$5:$B$55)</f>
        <v>5039</v>
      </c>
      <c r="C63" s="35" t="n">
        <f aca="false">SUMPRODUCT((YEAR($A$5:$A$55)=2025)*$C$5:$C$55)</f>
        <v>14</v>
      </c>
      <c r="D63" s="37" t="n">
        <f aca="false">IFERROR(B63/C63,0)</f>
        <v>359.928571428571</v>
      </c>
    </row>
    <row r="64" customFormat="false" ht="15" hidden="false" customHeight="false" outlineLevel="0" collapsed="false">
      <c r="A64" s="61" t="s">
        <v>329</v>
      </c>
      <c r="B64" s="37" t="n">
        <f aca="false">SUMPRODUCT((YEAR($A$5:$A$55)=2026)*$B$5:$B$55)</f>
        <v>4925</v>
      </c>
      <c r="C64" s="35" t="n">
        <f aca="false">SUMPRODUCT((YEAR($A$5:$A$55)=2026)*$C$5:$C$55)</f>
        <v>16</v>
      </c>
      <c r="D64" s="37" t="n">
        <f aca="false">IFERROR(B64/C64,0)</f>
        <v>307.8125</v>
      </c>
    </row>
    <row r="66" customFormat="false" ht="48" hidden="false" customHeight="true" outlineLevel="0" collapsed="false">
      <c r="A66" s="62" t="s">
        <v>330</v>
      </c>
      <c r="B66" s="62"/>
      <c r="C66" s="62"/>
      <c r="D66" s="62"/>
      <c r="E66" s="62"/>
    </row>
  </sheetData>
  <mergeCells count="1">
    <mergeCell ref="A66:E66"/>
  </mergeCells>
  <conditionalFormatting sqref="B5:B55">
    <cfRule type="dataBar" priority="2">
      <dataBar showValue="1" minLength="10" maxLength="90">
        <cfvo type="num" val="0"/>
        <cfvo type="max" val="0"/>
        <color rgb="FFED7D31"/>
      </dataBar>
      <extLst>
        <ext xmlns:x14="http://schemas.microsoft.com/office/spreadsheetml/2009/9/main" uri="{B025F937-C7B1-47D3-B67F-A62EFF666E3E}">
          <x14:id>{88F69980-3B35-45C7-814E-FFB14098E7B5}</x14:id>
        </ext>
      </extLst>
    </cfRule>
  </conditionalFormatting>
  <conditionalFormatting sqref="C5:C55">
    <cfRule type="cellIs" priority="3" operator="greaterThan" aboveAverage="0" equalAverage="0" bottom="0" percent="0" rank="0" text="" dxfId="0">
      <formula>0</formula>
    </cfRule>
    <cfRule type="cellIs" priority="4" operator="equal"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8F69980-3B35-45C7-814E-FFB14098E7B5}">
            <x14:dataBar minLength="10" maxLength="90" axisPosition="none" gradient="true">
              <x14:cfvo type="num">
                <xm:f>0</xm:f>
              </x14:cfvo>
              <x14:cfvo type="max"/>
              <x14:negativeFillColor rgb="FFED7D31"/>
              <x14:axisColor rgb="FF000000"/>
            </x14:dataBar>
          </x14:cfRule>
          <xm:sqref>B5:B55</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1"/>
    <col collapsed="false" customWidth="true" hidden="false" outlineLevel="0" max="5" min="4" style="0" width="12"/>
    <col collapsed="false" customWidth="true" hidden="false" outlineLevel="0" max="6" min="6" style="0" width="11"/>
    <col collapsed="false" customWidth="true" hidden="false" outlineLevel="0" max="7" min="7" style="0" width="12"/>
    <col collapsed="false" customWidth="true" hidden="false" outlineLevel="0" max="8" min="8" style="0" width="11"/>
    <col collapsed="false" customWidth="true" hidden="false" outlineLevel="0" max="9" min="9" style="0" width="44"/>
  </cols>
  <sheetData>
    <row r="1" customFormat="false" ht="30" hidden="false" customHeight="true" outlineLevel="0" collapsed="false">
      <c r="A1" s="1" t="s">
        <v>331</v>
      </c>
    </row>
    <row r="2" customFormat="false" ht="15" hidden="false" customHeight="false" outlineLevel="0" collapsed="false">
      <c r="A2" s="2" t="s">
        <v>332</v>
      </c>
    </row>
    <row r="4" customFormat="false" ht="31.5" hidden="false" customHeight="true" outlineLevel="0" collapsed="false">
      <c r="A4" s="4" t="s">
        <v>333</v>
      </c>
      <c r="B4" s="4" t="s">
        <v>334</v>
      </c>
      <c r="C4" s="4" t="s">
        <v>335</v>
      </c>
      <c r="D4" s="4" t="s">
        <v>336</v>
      </c>
      <c r="E4" s="4" t="s">
        <v>337</v>
      </c>
      <c r="F4" s="4" t="s">
        <v>338</v>
      </c>
      <c r="G4" s="4" t="s">
        <v>339</v>
      </c>
      <c r="H4" s="4" t="s">
        <v>340</v>
      </c>
      <c r="I4" s="4" t="s">
        <v>341</v>
      </c>
    </row>
    <row r="5" customFormat="false" ht="31.5" hidden="false" customHeight="true" outlineLevel="0" collapsed="false">
      <c r="A5" s="42" t="s">
        <v>342</v>
      </c>
      <c r="B5" s="64" t="n">
        <v>45248</v>
      </c>
      <c r="C5" s="37" t="n">
        <v>8609</v>
      </c>
      <c r="D5" s="37" t="n">
        <v>267</v>
      </c>
      <c r="E5" s="37" t="n">
        <v>426</v>
      </c>
      <c r="F5" s="49" t="n">
        <f aca="false">IFERROR(D5/C5,0)</f>
        <v>0.0310140550586595</v>
      </c>
      <c r="G5" s="64" t="n">
        <v>403</v>
      </c>
      <c r="H5" s="37"/>
      <c r="I5" s="6" t="str">
        <f aca="false">IF(F5&gt;=0.8,"⚡ Feed spike: got its views in days, then stopped","🌱 Evergreen slow-burn: kept growing for months")</f>
        <v>🌱 Evergreen slow-burn: kept growing for months</v>
      </c>
    </row>
    <row r="6" customFormat="false" ht="31.5" hidden="false" customHeight="true" outlineLevel="0" collapsed="false">
      <c r="A6" s="42" t="s">
        <v>343</v>
      </c>
      <c r="B6" s="64" t="n">
        <v>45989</v>
      </c>
      <c r="C6" s="37" t="n">
        <v>2006</v>
      </c>
      <c r="D6" s="37" t="n">
        <v>2004</v>
      </c>
      <c r="E6" s="37" t="n">
        <v>2004</v>
      </c>
      <c r="F6" s="49" t="n">
        <f aca="false">IFERROR(D6/C6,0)</f>
        <v>0.999002991026919</v>
      </c>
      <c r="G6" s="64" t="n">
        <v>1063</v>
      </c>
      <c r="H6" s="37"/>
      <c r="I6" s="6" t="str">
        <f aca="false">IF(F6&gt;=0.8,"⚡ Feed spike: got its views in days, then stopped","🌱 Evergreen slow-burn: kept growing for months")</f>
        <v>⚡ Feed spike: got its views in days, then stopped</v>
      </c>
    </row>
    <row r="7" customFormat="false" ht="31.5" hidden="false" customHeight="true" outlineLevel="0" collapsed="false">
      <c r="A7" s="42" t="s">
        <v>344</v>
      </c>
      <c r="B7" s="64" t="n">
        <v>44901</v>
      </c>
      <c r="C7" s="37" t="n">
        <v>1603</v>
      </c>
      <c r="D7" s="37" t="n">
        <v>1553</v>
      </c>
      <c r="E7" s="37" t="n">
        <v>1555</v>
      </c>
      <c r="F7" s="49" t="n">
        <f aca="false">IFERROR(D7/C7,0)</f>
        <v>0.968808484092327</v>
      </c>
      <c r="G7" s="64" t="n">
        <v>1549</v>
      </c>
      <c r="H7" s="37"/>
      <c r="I7" s="6" t="str">
        <f aca="false">IF(F7&gt;=0.8,"⚡ Feed spike: got its views in days, then stopped","🌱 Evergreen slow-burn: kept growing for months")</f>
        <v>⚡ Feed spike: got its views in days, then stopped</v>
      </c>
    </row>
    <row r="8" customFormat="false" ht="31.5" hidden="false" customHeight="true" outlineLevel="0" collapsed="false">
      <c r="A8" s="42" t="s">
        <v>345</v>
      </c>
      <c r="B8" s="64" t="n">
        <v>45970</v>
      </c>
      <c r="C8" s="37" t="n">
        <v>1585</v>
      </c>
      <c r="D8" s="37" t="n">
        <v>1585</v>
      </c>
      <c r="E8" s="37" t="n">
        <v>1585</v>
      </c>
      <c r="F8" s="49" t="n">
        <f aca="false">IFERROR(D8/C8,0)</f>
        <v>1</v>
      </c>
      <c r="G8" s="64" t="n">
        <v>748</v>
      </c>
      <c r="H8" s="37"/>
      <c r="I8" s="6" t="str">
        <f aca="false">IF(F8&gt;=0.8,"⚡ Feed spike: got its views in days, then stopped","🌱 Evergreen slow-burn: kept growing for months")</f>
        <v>⚡ Feed spike: got its views in days, then stopped</v>
      </c>
    </row>
    <row r="9" customFormat="false" ht="31.5" hidden="false" customHeight="true" outlineLevel="0" collapsed="false">
      <c r="A9" s="42" t="s">
        <v>346</v>
      </c>
      <c r="B9" s="64" t="n">
        <v>46187</v>
      </c>
      <c r="C9" s="37" t="n">
        <v>1523</v>
      </c>
      <c r="D9" s="37" t="n">
        <v>1523</v>
      </c>
      <c r="E9" s="37" t="n">
        <v>1523</v>
      </c>
      <c r="F9" s="49" t="n">
        <f aca="false">IFERROR(D9/C9,0)</f>
        <v>1</v>
      </c>
      <c r="G9" s="64" t="n">
        <v>912</v>
      </c>
      <c r="H9" s="37"/>
      <c r="I9" s="6" t="str">
        <f aca="false">IF(F9&gt;=0.8,"⚡ Feed spike: got its views in days, then stopped","🌱 Evergreen slow-burn: kept growing for months")</f>
        <v>⚡ Feed spike: got its views in days, then stopped</v>
      </c>
    </row>
    <row r="11" customFormat="false" ht="79.5" hidden="false" customHeight="true" outlineLevel="0" collapsed="false">
      <c r="A11" s="62" t="s">
        <v>347</v>
      </c>
      <c r="B11" s="62"/>
      <c r="C11" s="62"/>
      <c r="D11" s="62"/>
      <c r="E11" s="62"/>
      <c r="F11" s="62"/>
      <c r="G11" s="62"/>
      <c r="H11" s="62"/>
      <c r="I11" s="62"/>
    </row>
    <row r="13" customFormat="false" ht="16.15" hidden="false" customHeight="false" outlineLevel="0" collapsed="false">
      <c r="A13" s="60" t="s">
        <v>348</v>
      </c>
    </row>
    <row r="14" customFormat="false" ht="31.5" hidden="false" customHeight="true" outlineLevel="0" collapsed="false">
      <c r="A14" s="4" t="s">
        <v>312</v>
      </c>
      <c r="B14" s="4" t="s">
        <v>102</v>
      </c>
    </row>
    <row r="15" customFormat="false" ht="15" hidden="false" customHeight="false" outlineLevel="0" collapsed="false">
      <c r="A15" s="63" t="n">
        <v>45231</v>
      </c>
      <c r="B15" s="37" t="n">
        <v>330</v>
      </c>
    </row>
    <row r="16" customFormat="false" ht="15" hidden="false" customHeight="false" outlineLevel="0" collapsed="false">
      <c r="A16" s="63" t="n">
        <v>45261</v>
      </c>
      <c r="B16" s="37" t="n">
        <v>243</v>
      </c>
    </row>
    <row r="17" customFormat="false" ht="15" hidden="false" customHeight="false" outlineLevel="0" collapsed="false">
      <c r="A17" s="63" t="n">
        <v>45292</v>
      </c>
      <c r="B17" s="37" t="n">
        <v>636</v>
      </c>
    </row>
    <row r="18" customFormat="false" ht="15" hidden="false" customHeight="false" outlineLevel="0" collapsed="false">
      <c r="A18" s="63" t="n">
        <v>45323</v>
      </c>
      <c r="B18" s="37" t="n">
        <v>2361</v>
      </c>
    </row>
    <row r="19" customFormat="false" ht="15" hidden="false" customHeight="false" outlineLevel="0" collapsed="false">
      <c r="A19" s="63" t="n">
        <v>45352</v>
      </c>
      <c r="B19" s="37" t="n">
        <v>4520</v>
      </c>
    </row>
    <row r="20" customFormat="false" ht="15" hidden="false" customHeight="false" outlineLevel="0" collapsed="false">
      <c r="A20" s="63" t="n">
        <v>45383</v>
      </c>
      <c r="B20" s="37" t="n">
        <v>481</v>
      </c>
    </row>
    <row r="21" customFormat="false" ht="15" hidden="false" customHeight="false" outlineLevel="0" collapsed="false">
      <c r="A21" s="63" t="n">
        <v>45413</v>
      </c>
      <c r="B21" s="37" t="n">
        <v>0</v>
      </c>
    </row>
    <row r="22" customFormat="false" ht="15" hidden="false" customHeight="false" outlineLevel="0" collapsed="false">
      <c r="A22" s="63" t="n">
        <v>45444</v>
      </c>
      <c r="B22" s="37" t="n">
        <v>2</v>
      </c>
    </row>
    <row r="23" customFormat="false" ht="15" hidden="false" customHeight="false" outlineLevel="0" collapsed="false">
      <c r="A23" s="63" t="n">
        <v>45474</v>
      </c>
      <c r="B23" s="37" t="n">
        <v>0</v>
      </c>
    </row>
    <row r="24" customFormat="false" ht="15" hidden="false" customHeight="false" outlineLevel="0" collapsed="false">
      <c r="A24" s="63" t="n">
        <v>45505</v>
      </c>
      <c r="B24" s="37" t="n">
        <v>1</v>
      </c>
    </row>
    <row r="25" customFormat="false" ht="15" hidden="false" customHeight="false" outlineLevel="0" collapsed="false">
      <c r="A25" s="63" t="n">
        <v>45536</v>
      </c>
      <c r="B25" s="37" t="n">
        <v>0</v>
      </c>
    </row>
    <row r="26" customFormat="false" ht="15" hidden="false" customHeight="false" outlineLevel="0" collapsed="false">
      <c r="A26" s="63" t="n">
        <v>45566</v>
      </c>
      <c r="B26" s="37" t="n">
        <v>5</v>
      </c>
    </row>
    <row r="27" customFormat="false" ht="15" hidden="false" customHeight="false" outlineLevel="0" collapsed="false">
      <c r="A27" s="63" t="n">
        <v>45597</v>
      </c>
      <c r="B27" s="37" t="n">
        <v>0</v>
      </c>
    </row>
    <row r="28" customFormat="false" ht="15" hidden="false" customHeight="false" outlineLevel="0" collapsed="false">
      <c r="A28" s="63" t="n">
        <v>45627</v>
      </c>
      <c r="B28" s="37" t="n">
        <v>1</v>
      </c>
    </row>
    <row r="29" customFormat="false" ht="15" hidden="false" customHeight="false" outlineLevel="0" collapsed="false">
      <c r="A29" s="63" t="n">
        <v>45658</v>
      </c>
      <c r="B29" s="37" t="n">
        <v>0</v>
      </c>
    </row>
    <row r="30" customFormat="false" ht="15" hidden="false" customHeight="false" outlineLevel="0" collapsed="false">
      <c r="A30" s="63" t="n">
        <v>45689</v>
      </c>
      <c r="B30" s="37" t="n">
        <v>1</v>
      </c>
    </row>
    <row r="31" customFormat="false" ht="15" hidden="false" customHeight="false" outlineLevel="0" collapsed="false">
      <c r="A31" s="63" t="n">
        <v>45717</v>
      </c>
      <c r="B31" s="37" t="n">
        <v>7</v>
      </c>
    </row>
    <row r="32" customFormat="false" ht="15" hidden="false" customHeight="false" outlineLevel="0" collapsed="false">
      <c r="A32" s="63" t="n">
        <v>45748</v>
      </c>
      <c r="B32" s="37" t="n">
        <v>0</v>
      </c>
    </row>
    <row r="33" customFormat="false" ht="15" hidden="false" customHeight="false" outlineLevel="0" collapsed="false">
      <c r="A33" s="63" t="n">
        <v>45778</v>
      </c>
      <c r="B33" s="37" t="n">
        <v>1</v>
      </c>
    </row>
    <row r="34" customFormat="false" ht="15" hidden="false" customHeight="false" outlineLevel="0" collapsed="false">
      <c r="A34" s="63" t="n">
        <v>45809</v>
      </c>
      <c r="B34" s="37" t="n">
        <v>0</v>
      </c>
    </row>
  </sheetData>
  <mergeCells count="1">
    <mergeCell ref="A11:I11"/>
  </mergeCells>
  <conditionalFormatting sqref="F5:F9">
    <cfRule type="expression" priority="2" aboveAverage="0" equalAverage="0" bottom="0" percent="0" rank="0" text="" dxfId="1">
      <formula>F5&gt;=0.8</formula>
    </cfRule>
    <cfRule type="expression" priority="3" aboveAverage="0" equalAverage="0" bottom="0" percent="0" rank="0" text="" dxfId="0">
      <formula>F5&lt;0.8</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AC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52"/>
    <col collapsed="false" customWidth="true" hidden="false" outlineLevel="0" max="4" min="4" style="0" width="12"/>
    <col collapsed="false" customWidth="true" hidden="false" outlineLevel="0" max="5" min="5" style="0" width="7"/>
    <col collapsed="false" customWidth="true" hidden="false" outlineLevel="0" max="6" min="6" style="0" width="8"/>
    <col collapsed="false" customWidth="true" hidden="false" outlineLevel="0" max="7" min="7" style="0" width="10"/>
    <col collapsed="false" customWidth="true" hidden="false" outlineLevel="0" max="8" min="8" style="0" width="27"/>
    <col collapsed="false" customWidth="true" hidden="false" outlineLevel="0" max="9" min="9" style="0" width="30"/>
    <col collapsed="false" customWidth="true" hidden="false" outlineLevel="0" max="10" min="10" style="0" width="9"/>
    <col collapsed="false" customWidth="true" hidden="false" outlineLevel="0" max="14" min="11" style="0" width="10"/>
    <col collapsed="false" customWidth="true" hidden="false" outlineLevel="0" max="15" min="15" style="0" width="8"/>
    <col collapsed="false" customWidth="true" hidden="false" outlineLevel="0" max="16" min="16" style="0" width="9"/>
    <col collapsed="false" customWidth="true" hidden="false" outlineLevel="0" max="17" min="17" style="0" width="12"/>
    <col collapsed="false" customWidth="true" hidden="false" outlineLevel="0" max="18" min="18" style="0" width="9"/>
    <col collapsed="false" customWidth="true" hidden="false" outlineLevel="0" max="19" min="19" style="0" width="10"/>
    <col collapsed="false" customWidth="true" hidden="false" outlineLevel="0" max="20" min="20" style="0" width="14"/>
    <col collapsed="false" customWidth="true" hidden="false" outlineLevel="0" max="21" min="21" style="0" width="10"/>
    <col collapsed="false" customWidth="true" hidden="false" outlineLevel="0" max="22" min="22" style="0" width="9"/>
    <col collapsed="false" customWidth="true" hidden="false" outlineLevel="0" max="23" min="23" style="0" width="8"/>
    <col collapsed="false" customWidth="true" hidden="false" outlineLevel="0" max="24" min="24" style="0" width="9"/>
    <col collapsed="false" customWidth="true" hidden="false" outlineLevel="0" max="25" min="25" style="0" width="14"/>
    <col collapsed="false" customWidth="true" hidden="false" outlineLevel="0" max="27" min="26" style="0" width="15"/>
    <col collapsed="false" customWidth="true" hidden="false" outlineLevel="0" max="28" min="28" style="0" width="17"/>
    <col collapsed="false" customWidth="true" hidden="false" outlineLevel="0" max="29" min="29" style="0" width="9"/>
  </cols>
  <sheetData>
    <row r="1" customFormat="false" ht="30" hidden="false" customHeight="true" outlineLevel="0" collapsed="false">
      <c r="A1" s="1" t="s">
        <v>349</v>
      </c>
    </row>
    <row r="2" customFormat="false" ht="15" hidden="false" customHeight="false" outlineLevel="0" collapsed="false">
      <c r="A2" s="2" t="s">
        <v>350</v>
      </c>
    </row>
    <row r="4" customFormat="false" ht="31.5" hidden="false" customHeight="true" outlineLevel="0" collapsed="false">
      <c r="A4" s="4" t="s">
        <v>351</v>
      </c>
      <c r="B4" s="4" t="s">
        <v>352</v>
      </c>
      <c r="C4" s="4" t="s">
        <v>101</v>
      </c>
      <c r="D4" s="4" t="s">
        <v>334</v>
      </c>
      <c r="E4" s="65" t="s">
        <v>323</v>
      </c>
      <c r="F4" s="65" t="s">
        <v>353</v>
      </c>
      <c r="G4" s="4" t="s">
        <v>354</v>
      </c>
      <c r="H4" s="4" t="s">
        <v>239</v>
      </c>
      <c r="I4" s="4" t="s">
        <v>355</v>
      </c>
      <c r="J4" s="4" t="s">
        <v>356</v>
      </c>
      <c r="K4" s="4" t="s">
        <v>102</v>
      </c>
      <c r="L4" s="4" t="s">
        <v>357</v>
      </c>
      <c r="M4" s="65" t="s">
        <v>93</v>
      </c>
      <c r="N4" s="65" t="s">
        <v>358</v>
      </c>
      <c r="O4" s="4" t="s">
        <v>246</v>
      </c>
      <c r="P4" s="65" t="s">
        <v>54</v>
      </c>
      <c r="Q4" s="4" t="s">
        <v>82</v>
      </c>
      <c r="R4" s="4" t="s">
        <v>73</v>
      </c>
      <c r="S4" s="65" t="s">
        <v>359</v>
      </c>
      <c r="T4" s="65" t="s">
        <v>360</v>
      </c>
      <c r="U4" s="65" t="s">
        <v>361</v>
      </c>
      <c r="V4" s="4" t="s">
        <v>362</v>
      </c>
      <c r="W4" s="4" t="s">
        <v>363</v>
      </c>
      <c r="X4" s="65" t="s">
        <v>364</v>
      </c>
      <c r="Y4" s="65" t="s">
        <v>365</v>
      </c>
      <c r="Z4" s="65" t="s">
        <v>366</v>
      </c>
      <c r="AA4" s="65" t="s">
        <v>367</v>
      </c>
      <c r="AB4" s="65" t="s">
        <v>368</v>
      </c>
      <c r="AC4" s="65" t="s">
        <v>369</v>
      </c>
    </row>
    <row r="5" customFormat="false" ht="15.75" hidden="false" customHeight="true" outlineLevel="0" collapsed="false">
      <c r="A5" s="36" t="n">
        <v>1</v>
      </c>
      <c r="B5" s="36" t="s">
        <v>370</v>
      </c>
      <c r="C5" s="36" t="s">
        <v>342</v>
      </c>
      <c r="D5" s="64" t="n">
        <v>45248</v>
      </c>
      <c r="E5" s="35" t="n">
        <f aca="false">YEAR(D5)</f>
        <v>2023</v>
      </c>
      <c r="F5" s="36" t="str">
        <f aca="false">TEXT(D5,"ddd")</f>
        <v>Sat</v>
      </c>
      <c r="G5" s="36" t="s">
        <v>273</v>
      </c>
      <c r="H5" s="36" t="s">
        <v>250</v>
      </c>
      <c r="I5" s="36" t="s">
        <v>276</v>
      </c>
      <c r="J5" s="36" t="n">
        <v>3</v>
      </c>
      <c r="K5" s="37" t="n">
        <v>8609</v>
      </c>
      <c r="L5" s="52" t="n">
        <v>7.1248</v>
      </c>
      <c r="M5" s="46" t="n">
        <f aca="false">IFERROR(L5*3600/K5,0)</f>
        <v>2.97935648739691</v>
      </c>
      <c r="N5" s="49" t="n">
        <f aca="false">IFERROR(M5/J5,0)</f>
        <v>0.993118829132303</v>
      </c>
      <c r="O5" s="36" t="n">
        <v>6</v>
      </c>
      <c r="P5" s="46" t="n">
        <f aca="false">IFERROR(O5/K5*1000,0)</f>
        <v>0.696945057497967</v>
      </c>
      <c r="Q5" s="37" t="n">
        <v>91238</v>
      </c>
      <c r="R5" s="53" t="n">
        <v>0.0829</v>
      </c>
      <c r="S5" s="37" t="n">
        <f aca="false">IF(ISNUMBER(R5),ROUND(R5*Q5,0),0)</f>
        <v>7564</v>
      </c>
      <c r="T5" s="37" t="n">
        <f aca="false">MAX(K5-S5,0)</f>
        <v>1045</v>
      </c>
      <c r="U5" s="49" t="n">
        <f aca="false">IFERROR(T5/K5,0)</f>
        <v>0.121384597514229</v>
      </c>
      <c r="V5" s="36" t="n">
        <v>0</v>
      </c>
      <c r="W5" s="36" t="s">
        <v>287</v>
      </c>
      <c r="X5" s="36" t="n">
        <f aca="false">LEN(C5)</f>
        <v>36</v>
      </c>
      <c r="Y5" s="36" t="str">
        <f aca="false">IF(V5=0,"0 (clean title)",IF(V5&lt;=2,"1–2",IF(V5&lt;=5,"3–5","6+")))</f>
        <v>0 (clean title)</v>
      </c>
      <c r="Z5" s="36" t="str">
        <f aca="false">IF(X5&lt;=30,"Short (≤30)",IF(X5&lt;=50,"Medium (31–50)","Long (51+)"))</f>
        <v>Medium (31–50)</v>
      </c>
      <c r="AA5" s="36" t="str">
        <f aca="false">IF(J5&lt;=10,"a) ≤10s",IF(J5&lt;=30,"b) 11–30s",IF(J5&lt;=60,"c) 31–60s",IF(J5&lt;=180,"d) 61–180s","e) Long-form 3m+"))))</f>
        <v>a) ≤10s</v>
      </c>
      <c r="AB5" s="36" t="str">
        <f aca="false">IF(K5&gt;=1000,"Breakout (1K+)",IF(K5&gt;=250,"Solid (250–999)",IF(K5&gt;=100,"Average (100–249)","Low (&lt;100)")))</f>
        <v>Breakout (1K+)</v>
      </c>
      <c r="AC5" s="66" t="str">
        <f aca="false">HYPERLINK("https://youtu.be/"&amp;B5,"▶ Watch")</f>
        <v>▶ Watch</v>
      </c>
    </row>
    <row r="6" customFormat="false" ht="15.75" hidden="false" customHeight="true" outlineLevel="0" collapsed="false">
      <c r="A6" s="67" t="n">
        <v>2</v>
      </c>
      <c r="B6" s="67" t="s">
        <v>371</v>
      </c>
      <c r="C6" s="67" t="s">
        <v>343</v>
      </c>
      <c r="D6" s="68" t="n">
        <v>45989</v>
      </c>
      <c r="E6" s="69" t="n">
        <f aca="false">YEAR(D6)</f>
        <v>2025</v>
      </c>
      <c r="F6" s="67" t="str">
        <f aca="false">TEXT(D6,"ddd")</f>
        <v>Fri</v>
      </c>
      <c r="G6" s="67" t="s">
        <v>273</v>
      </c>
      <c r="H6" s="67" t="s">
        <v>250</v>
      </c>
      <c r="I6" s="67" t="s">
        <v>277</v>
      </c>
      <c r="J6" s="67" t="n">
        <v>5</v>
      </c>
      <c r="K6" s="70" t="n">
        <v>2006</v>
      </c>
      <c r="L6" s="71" t="n">
        <v>1.2016</v>
      </c>
      <c r="M6" s="72" t="n">
        <f aca="false">IFERROR(L6*3600/K6,0)</f>
        <v>2.15641076769691</v>
      </c>
      <c r="N6" s="73" t="n">
        <f aca="false">IFERROR(M6/J6,0)</f>
        <v>0.431282153539382</v>
      </c>
      <c r="O6" s="67" t="n">
        <v>1</v>
      </c>
      <c r="P6" s="72" t="n">
        <f aca="false">IFERROR(O6/K6*1000,0)</f>
        <v>0.498504486540379</v>
      </c>
      <c r="Q6" s="70" t="n">
        <v>80</v>
      </c>
      <c r="R6" s="74" t="n">
        <v>0.0125</v>
      </c>
      <c r="S6" s="70" t="n">
        <f aca="false">IF(ISNUMBER(R6),ROUND(R6*Q6,0),0)</f>
        <v>1</v>
      </c>
      <c r="T6" s="70" t="n">
        <f aca="false">MAX(K6-S6,0)</f>
        <v>2005</v>
      </c>
      <c r="U6" s="73" t="n">
        <f aca="false">IFERROR(T6/K6,0)</f>
        <v>0.99950149551346</v>
      </c>
      <c r="V6" s="67" t="n">
        <v>0</v>
      </c>
      <c r="W6" s="67" t="s">
        <v>286</v>
      </c>
      <c r="X6" s="67" t="n">
        <f aca="false">LEN(C6)</f>
        <v>23</v>
      </c>
      <c r="Y6" s="67" t="str">
        <f aca="false">IF(V6=0,"0 (clean title)",IF(V6&lt;=2,"1–2",IF(V6&lt;=5,"3–5","6+")))</f>
        <v>0 (clean title)</v>
      </c>
      <c r="Z6" s="67" t="str">
        <f aca="false">IF(X6&lt;=30,"Short (≤30)",IF(X6&lt;=50,"Medium (31–50)","Long (51+)"))</f>
        <v>Short (≤30)</v>
      </c>
      <c r="AA6" s="67" t="str">
        <f aca="false">IF(J6&lt;=10,"a) ≤10s",IF(J6&lt;=30,"b) 11–30s",IF(J6&lt;=60,"c) 31–60s",IF(J6&lt;=180,"d) 61–180s","e) Long-form 3m+"))))</f>
        <v>a) ≤10s</v>
      </c>
      <c r="AB6" s="67" t="str">
        <f aca="false">IF(K6&gt;=1000,"Breakout (1K+)",IF(K6&gt;=250,"Solid (250–999)",IF(K6&gt;=100,"Average (100–249)","Low (&lt;100)")))</f>
        <v>Breakout (1K+)</v>
      </c>
      <c r="AC6" s="75" t="str">
        <f aca="false">HYPERLINK("https://youtu.be/"&amp;B6,"▶ Watch")</f>
        <v>▶ Watch</v>
      </c>
    </row>
    <row r="7" customFormat="false" ht="15.75" hidden="false" customHeight="true" outlineLevel="0" collapsed="false">
      <c r="A7" s="36" t="n">
        <v>3</v>
      </c>
      <c r="B7" s="36" t="s">
        <v>372</v>
      </c>
      <c r="C7" s="36" t="s">
        <v>344</v>
      </c>
      <c r="D7" s="64" t="n">
        <v>44901</v>
      </c>
      <c r="E7" s="35" t="n">
        <f aca="false">YEAR(D7)</f>
        <v>2022</v>
      </c>
      <c r="F7" s="36" t="str">
        <f aca="false">TEXT(D7,"ddd")</f>
        <v>Tue</v>
      </c>
      <c r="G7" s="36" t="s">
        <v>273</v>
      </c>
      <c r="H7" s="36" t="s">
        <v>256</v>
      </c>
      <c r="I7" s="36" t="s">
        <v>276</v>
      </c>
      <c r="J7" s="36" t="n">
        <v>57</v>
      </c>
      <c r="K7" s="37" t="n">
        <v>1603</v>
      </c>
      <c r="L7" s="52" t="n">
        <v>7.7609</v>
      </c>
      <c r="M7" s="46" t="n">
        <f aca="false">IFERROR(L7*3600/K7,0)</f>
        <v>17.4293449781659</v>
      </c>
      <c r="N7" s="49" t="n">
        <f aca="false">IFERROR(M7/J7,0)</f>
        <v>0.305777982073087</v>
      </c>
      <c r="O7" s="36" t="n">
        <v>0</v>
      </c>
      <c r="P7" s="46" t="n">
        <f aca="false">IFERROR(O7/K7*1000,0)</f>
        <v>0</v>
      </c>
      <c r="Q7" s="37" t="n">
        <v>2171</v>
      </c>
      <c r="R7" s="53" t="n">
        <v>0.0088</v>
      </c>
      <c r="S7" s="37" t="n">
        <f aca="false">IF(ISNUMBER(R7),ROUND(R7*Q7,0),0)</f>
        <v>19</v>
      </c>
      <c r="T7" s="37" t="n">
        <f aca="false">MAX(K7-S7,0)</f>
        <v>1584</v>
      </c>
      <c r="U7" s="49" t="n">
        <f aca="false">IFERROR(T7/K7,0)</f>
        <v>0.988147223955084</v>
      </c>
      <c r="V7" s="36" t="n">
        <v>3</v>
      </c>
      <c r="W7" s="36" t="s">
        <v>287</v>
      </c>
      <c r="X7" s="36" t="n">
        <f aca="false">LEN(C7)</f>
        <v>77</v>
      </c>
      <c r="Y7" s="36" t="str">
        <f aca="false">IF(V7=0,"0 (clean title)",IF(V7&lt;=2,"1–2",IF(V7&lt;=5,"3–5","6+")))</f>
        <v>3–5</v>
      </c>
      <c r="Z7" s="36" t="str">
        <f aca="false">IF(X7&lt;=30,"Short (≤30)",IF(X7&lt;=50,"Medium (31–50)","Long (51+)"))</f>
        <v>Long (51+)</v>
      </c>
      <c r="AA7" s="36" t="str">
        <f aca="false">IF(J7&lt;=10,"a) ≤10s",IF(J7&lt;=30,"b) 11–30s",IF(J7&lt;=60,"c) 31–60s",IF(J7&lt;=180,"d) 61–180s","e) Long-form 3m+"))))</f>
        <v>c) 31–60s</v>
      </c>
      <c r="AB7" s="36" t="str">
        <f aca="false">IF(K7&gt;=1000,"Breakout (1K+)",IF(K7&gt;=250,"Solid (250–999)",IF(K7&gt;=100,"Average (100–249)","Low (&lt;100)")))</f>
        <v>Breakout (1K+)</v>
      </c>
      <c r="AC7" s="66" t="str">
        <f aca="false">HYPERLINK("https://youtu.be/"&amp;B7,"▶ Watch")</f>
        <v>▶ Watch</v>
      </c>
    </row>
    <row r="8" customFormat="false" ht="15.75" hidden="false" customHeight="true" outlineLevel="0" collapsed="false">
      <c r="A8" s="67" t="n">
        <v>4</v>
      </c>
      <c r="B8" s="67" t="s">
        <v>373</v>
      </c>
      <c r="C8" s="67" t="s">
        <v>345</v>
      </c>
      <c r="D8" s="68" t="n">
        <v>45970</v>
      </c>
      <c r="E8" s="69" t="n">
        <f aca="false">YEAR(D8)</f>
        <v>2025</v>
      </c>
      <c r="F8" s="67" t="str">
        <f aca="false">TEXT(D8,"ddd")</f>
        <v>Sun</v>
      </c>
      <c r="G8" s="67" t="s">
        <v>273</v>
      </c>
      <c r="H8" s="67" t="s">
        <v>250</v>
      </c>
      <c r="I8" s="67" t="s">
        <v>277</v>
      </c>
      <c r="J8" s="67" t="n">
        <v>11</v>
      </c>
      <c r="K8" s="70" t="n">
        <v>1585</v>
      </c>
      <c r="L8" s="71" t="n">
        <v>1.3689</v>
      </c>
      <c r="M8" s="72" t="n">
        <f aca="false">IFERROR(L8*3600/K8,0)</f>
        <v>3.10917350157729</v>
      </c>
      <c r="N8" s="73" t="n">
        <f aca="false">IFERROR(M8/J8,0)</f>
        <v>0.282652136507026</v>
      </c>
      <c r="O8" s="67" t="n">
        <v>0</v>
      </c>
      <c r="P8" s="72" t="n">
        <f aca="false">IFERROR(O8/K8*1000,0)</f>
        <v>0</v>
      </c>
      <c r="Q8" s="70" t="n">
        <v>25</v>
      </c>
      <c r="R8" s="74" t="n">
        <v>0</v>
      </c>
      <c r="S8" s="70" t="n">
        <f aca="false">IF(ISNUMBER(R8),ROUND(R8*Q8,0),0)</f>
        <v>0</v>
      </c>
      <c r="T8" s="70" t="n">
        <f aca="false">MAX(K8-S8,0)</f>
        <v>1585</v>
      </c>
      <c r="U8" s="73" t="n">
        <f aca="false">IFERROR(T8/K8,0)</f>
        <v>1</v>
      </c>
      <c r="V8" s="67" t="n">
        <v>0</v>
      </c>
      <c r="W8" s="67" t="s">
        <v>287</v>
      </c>
      <c r="X8" s="67" t="n">
        <f aca="false">LEN(C8)</f>
        <v>19</v>
      </c>
      <c r="Y8" s="67" t="str">
        <f aca="false">IF(V8=0,"0 (clean title)",IF(V8&lt;=2,"1–2",IF(V8&lt;=5,"3–5","6+")))</f>
        <v>0 (clean title)</v>
      </c>
      <c r="Z8" s="67" t="str">
        <f aca="false">IF(X8&lt;=30,"Short (≤30)",IF(X8&lt;=50,"Medium (31–50)","Long (51+)"))</f>
        <v>Short (≤30)</v>
      </c>
      <c r="AA8" s="67" t="str">
        <f aca="false">IF(J8&lt;=10,"a) ≤10s",IF(J8&lt;=30,"b) 11–30s",IF(J8&lt;=60,"c) 31–60s",IF(J8&lt;=180,"d) 61–180s","e) Long-form 3m+"))))</f>
        <v>b) 11–30s</v>
      </c>
      <c r="AB8" s="67" t="str">
        <f aca="false">IF(K8&gt;=1000,"Breakout (1K+)",IF(K8&gt;=250,"Solid (250–999)",IF(K8&gt;=100,"Average (100–249)","Low (&lt;100)")))</f>
        <v>Breakout (1K+)</v>
      </c>
      <c r="AC8" s="75" t="str">
        <f aca="false">HYPERLINK("https://youtu.be/"&amp;B8,"▶ Watch")</f>
        <v>▶ Watch</v>
      </c>
    </row>
    <row r="9" customFormat="false" ht="15.75" hidden="false" customHeight="true" outlineLevel="0" collapsed="false">
      <c r="A9" s="36" t="n">
        <v>5</v>
      </c>
      <c r="B9" s="36" t="s">
        <v>374</v>
      </c>
      <c r="C9" s="36" t="s">
        <v>346</v>
      </c>
      <c r="D9" s="64" t="n">
        <v>46187</v>
      </c>
      <c r="E9" s="35" t="n">
        <f aca="false">YEAR(D9)</f>
        <v>2026</v>
      </c>
      <c r="F9" s="36" t="str">
        <f aca="false">TEXT(D9,"ddd")</f>
        <v>Sun</v>
      </c>
      <c r="G9" s="36" t="s">
        <v>273</v>
      </c>
      <c r="H9" s="36" t="s">
        <v>250</v>
      </c>
      <c r="I9" s="36" t="s">
        <v>277</v>
      </c>
      <c r="J9" s="36" t="n">
        <v>4</v>
      </c>
      <c r="K9" s="37" t="n">
        <v>1523</v>
      </c>
      <c r="L9" s="52" t="n">
        <v>1.1298</v>
      </c>
      <c r="M9" s="46" t="n">
        <f aca="false">IFERROR(L9*3600/K9,0)</f>
        <v>2.67057124097177</v>
      </c>
      <c r="N9" s="49" t="n">
        <f aca="false">IFERROR(M9/J9,0)</f>
        <v>0.667642810242942</v>
      </c>
      <c r="O9" s="36" t="n">
        <v>0</v>
      </c>
      <c r="P9" s="46" t="n">
        <f aca="false">IFERROR(O9/K9*1000,0)</f>
        <v>0</v>
      </c>
      <c r="Q9" s="37" t="n">
        <v>116</v>
      </c>
      <c r="R9" s="53" t="n">
        <v>0</v>
      </c>
      <c r="S9" s="37" t="n">
        <f aca="false">IF(ISNUMBER(R9),ROUND(R9*Q9,0),0)</f>
        <v>0</v>
      </c>
      <c r="T9" s="37" t="n">
        <f aca="false">MAX(K9-S9,0)</f>
        <v>1523</v>
      </c>
      <c r="U9" s="49" t="n">
        <f aca="false">IFERROR(T9/K9,0)</f>
        <v>1</v>
      </c>
      <c r="V9" s="36" t="n">
        <v>0</v>
      </c>
      <c r="W9" s="36" t="s">
        <v>287</v>
      </c>
      <c r="X9" s="36" t="n">
        <f aca="false">LEN(C9)</f>
        <v>12</v>
      </c>
      <c r="Y9" s="36" t="str">
        <f aca="false">IF(V9=0,"0 (clean title)",IF(V9&lt;=2,"1–2",IF(V9&lt;=5,"3–5","6+")))</f>
        <v>0 (clean title)</v>
      </c>
      <c r="Z9" s="36" t="str">
        <f aca="false">IF(X9&lt;=30,"Short (≤30)",IF(X9&lt;=50,"Medium (31–50)","Long (51+)"))</f>
        <v>Short (≤30)</v>
      </c>
      <c r="AA9" s="36" t="str">
        <f aca="false">IF(J9&lt;=10,"a) ≤10s",IF(J9&lt;=30,"b) 11–30s",IF(J9&lt;=60,"c) 31–60s",IF(J9&lt;=180,"d) 61–180s","e) Long-form 3m+"))))</f>
        <v>a) ≤10s</v>
      </c>
      <c r="AB9" s="36" t="str">
        <f aca="false">IF(K9&gt;=1000,"Breakout (1K+)",IF(K9&gt;=250,"Solid (250–999)",IF(K9&gt;=100,"Average (100–249)","Low (&lt;100)")))</f>
        <v>Breakout (1K+)</v>
      </c>
      <c r="AC9" s="66" t="str">
        <f aca="false">HYPERLINK("https://youtu.be/"&amp;B9,"▶ Watch")</f>
        <v>▶ Watch</v>
      </c>
    </row>
    <row r="10" customFormat="false" ht="15.75" hidden="false" customHeight="true" outlineLevel="0" collapsed="false">
      <c r="A10" s="67" t="n">
        <v>6</v>
      </c>
      <c r="B10" s="67" t="s">
        <v>375</v>
      </c>
      <c r="C10" s="67" t="s">
        <v>376</v>
      </c>
      <c r="D10" s="68" t="n">
        <v>46151</v>
      </c>
      <c r="E10" s="69" t="n">
        <f aca="false">YEAR(D10)</f>
        <v>2026</v>
      </c>
      <c r="F10" s="67" t="str">
        <f aca="false">TEXT(D10,"ddd")</f>
        <v>Sat</v>
      </c>
      <c r="G10" s="67" t="s">
        <v>273</v>
      </c>
      <c r="H10" s="67" t="s">
        <v>250</v>
      </c>
      <c r="I10" s="67" t="s">
        <v>277</v>
      </c>
      <c r="J10" s="67" t="n">
        <v>4</v>
      </c>
      <c r="K10" s="70" t="n">
        <v>1331</v>
      </c>
      <c r="L10" s="71" t="n">
        <v>1.5029</v>
      </c>
      <c r="M10" s="72" t="n">
        <f aca="false">IFERROR(L10*3600/K10,0)</f>
        <v>4.06494365138993</v>
      </c>
      <c r="N10" s="73" t="n">
        <f aca="false">IFERROR(M10/J10,0)</f>
        <v>1.01623591284748</v>
      </c>
      <c r="O10" s="67" t="n">
        <v>1</v>
      </c>
      <c r="P10" s="72" t="n">
        <f aca="false">IFERROR(O10/K10*1000,0)</f>
        <v>0.751314800901578</v>
      </c>
      <c r="Q10" s="70" t="n">
        <v>34946</v>
      </c>
      <c r="R10" s="74" t="n">
        <v>0.036</v>
      </c>
      <c r="S10" s="70" t="n">
        <f aca="false">IF(ISNUMBER(R10),ROUND(R10*Q10,0),0)</f>
        <v>1258</v>
      </c>
      <c r="T10" s="70" t="n">
        <f aca="false">MAX(K10-S10,0)</f>
        <v>73</v>
      </c>
      <c r="U10" s="73" t="n">
        <f aca="false">IFERROR(T10/K10,0)</f>
        <v>0.0548459804658152</v>
      </c>
      <c r="V10" s="67" t="n">
        <v>1</v>
      </c>
      <c r="W10" s="67" t="s">
        <v>287</v>
      </c>
      <c r="X10" s="67" t="n">
        <f aca="false">LEN(C10)</f>
        <v>27</v>
      </c>
      <c r="Y10" s="67" t="str">
        <f aca="false">IF(V10=0,"0 (clean title)",IF(V10&lt;=2,"1–2",IF(V10&lt;=5,"3–5","6+")))</f>
        <v>1–2</v>
      </c>
      <c r="Z10" s="67" t="str">
        <f aca="false">IF(X10&lt;=30,"Short (≤30)",IF(X10&lt;=50,"Medium (31–50)","Long (51+)"))</f>
        <v>Short (≤30)</v>
      </c>
      <c r="AA10" s="67" t="str">
        <f aca="false">IF(J10&lt;=10,"a) ≤10s",IF(J10&lt;=30,"b) 11–30s",IF(J10&lt;=60,"c) 31–60s",IF(J10&lt;=180,"d) 61–180s","e) Long-form 3m+"))))</f>
        <v>a) ≤10s</v>
      </c>
      <c r="AB10" s="67" t="str">
        <f aca="false">IF(K10&gt;=1000,"Breakout (1K+)",IF(K10&gt;=250,"Solid (250–999)",IF(K10&gt;=100,"Average (100–249)","Low (&lt;100)")))</f>
        <v>Breakout (1K+)</v>
      </c>
      <c r="AC10" s="75" t="str">
        <f aca="false">HYPERLINK("https://youtu.be/"&amp;B10,"▶ Watch")</f>
        <v>▶ Watch</v>
      </c>
    </row>
    <row r="11" customFormat="false" ht="15.75" hidden="false" customHeight="true" outlineLevel="0" collapsed="false">
      <c r="A11" s="36" t="n">
        <v>7</v>
      </c>
      <c r="B11" s="36" t="s">
        <v>377</v>
      </c>
      <c r="C11" s="36" t="s">
        <v>378</v>
      </c>
      <c r="D11" s="64" t="n">
        <v>44817</v>
      </c>
      <c r="E11" s="35" t="n">
        <f aca="false">YEAR(D11)</f>
        <v>2022</v>
      </c>
      <c r="F11" s="36" t="str">
        <f aca="false">TEXT(D11,"ddd")</f>
        <v>Tue</v>
      </c>
      <c r="G11" s="36" t="s">
        <v>151</v>
      </c>
      <c r="H11" s="36" t="s">
        <v>253</v>
      </c>
      <c r="I11" s="36" t="s">
        <v>276</v>
      </c>
      <c r="J11" s="36" t="n">
        <v>211</v>
      </c>
      <c r="K11" s="37" t="n">
        <v>937</v>
      </c>
      <c r="L11" s="52" t="n">
        <v>9.8311</v>
      </c>
      <c r="M11" s="46" t="n">
        <f aca="false">IFERROR(L11*3600/K11,0)</f>
        <v>37.7715688367129</v>
      </c>
      <c r="N11" s="49" t="n">
        <f aca="false">IFERROR(M11/J11,0)</f>
        <v>0.179012174581578</v>
      </c>
      <c r="O11" s="36" t="n">
        <v>2</v>
      </c>
      <c r="P11" s="46" t="n">
        <f aca="false">IFERROR(O11/K11*1000,0)</f>
        <v>2.13447171824973</v>
      </c>
      <c r="Q11" s="37" t="n">
        <v>6067</v>
      </c>
      <c r="R11" s="53" t="n">
        <v>0.0786</v>
      </c>
      <c r="S11" s="37" t="n">
        <f aca="false">IF(ISNUMBER(R11),ROUND(R11*Q11,0),0)</f>
        <v>477</v>
      </c>
      <c r="T11" s="37" t="n">
        <f aca="false">MAX(K11-S11,0)</f>
        <v>460</v>
      </c>
      <c r="U11" s="49" t="n">
        <f aca="false">IFERROR(T11/K11,0)</f>
        <v>0.490928495197439</v>
      </c>
      <c r="V11" s="36" t="n">
        <v>0</v>
      </c>
      <c r="W11" s="36" t="s">
        <v>287</v>
      </c>
      <c r="X11" s="36" t="n">
        <f aca="false">LEN(C11)</f>
        <v>36</v>
      </c>
      <c r="Y11" s="36" t="str">
        <f aca="false">IF(V11=0,"0 (clean title)",IF(V11&lt;=2,"1–2",IF(V11&lt;=5,"3–5","6+")))</f>
        <v>0 (clean title)</v>
      </c>
      <c r="Z11" s="36" t="str">
        <f aca="false">IF(X11&lt;=30,"Short (≤30)",IF(X11&lt;=50,"Medium (31–50)","Long (51+)"))</f>
        <v>Medium (31–50)</v>
      </c>
      <c r="AA11" s="36" t="str">
        <f aca="false">IF(J11&lt;=10,"a) ≤10s",IF(J11&lt;=30,"b) 11–30s",IF(J11&lt;=60,"c) 31–60s",IF(J11&lt;=180,"d) 61–180s","e) Long-form 3m+"))))</f>
        <v>e) Long-form 3m+</v>
      </c>
      <c r="AB11" s="36" t="str">
        <f aca="false">IF(K11&gt;=1000,"Breakout (1K+)",IF(K11&gt;=250,"Solid (250–999)",IF(K11&gt;=100,"Average (100–249)","Low (&lt;100)")))</f>
        <v>Solid (250–999)</v>
      </c>
      <c r="AC11" s="66" t="str">
        <f aca="false">HYPERLINK("https://youtu.be/"&amp;B11,"▶ Watch")</f>
        <v>▶ Watch</v>
      </c>
    </row>
    <row r="12" customFormat="false" ht="15.75" hidden="false" customHeight="true" outlineLevel="0" collapsed="false">
      <c r="A12" s="67" t="n">
        <v>8</v>
      </c>
      <c r="B12" s="67" t="s">
        <v>379</v>
      </c>
      <c r="C12" s="67" t="s">
        <v>380</v>
      </c>
      <c r="D12" s="68" t="n">
        <v>44897</v>
      </c>
      <c r="E12" s="69" t="n">
        <f aca="false">YEAR(D12)</f>
        <v>2022</v>
      </c>
      <c r="F12" s="67" t="str">
        <f aca="false">TEXT(D12,"ddd")</f>
        <v>Fri</v>
      </c>
      <c r="G12" s="67" t="s">
        <v>273</v>
      </c>
      <c r="H12" s="67" t="s">
        <v>256</v>
      </c>
      <c r="I12" s="67" t="s">
        <v>276</v>
      </c>
      <c r="J12" s="67" t="n">
        <v>35</v>
      </c>
      <c r="K12" s="70" t="n">
        <v>779</v>
      </c>
      <c r="L12" s="71" t="n">
        <v>2.6109</v>
      </c>
      <c r="M12" s="72" t="n">
        <f aca="false">IFERROR(L12*3600/K12,0)</f>
        <v>12.0657766367137</v>
      </c>
      <c r="N12" s="73" t="n">
        <f aca="false">IFERROR(M12/J12,0)</f>
        <v>0.344736475334678</v>
      </c>
      <c r="O12" s="67" t="n">
        <v>2</v>
      </c>
      <c r="P12" s="72" t="n">
        <f aca="false">IFERROR(O12/K12*1000,0)</f>
        <v>2.56739409499358</v>
      </c>
      <c r="Q12" s="70" t="n">
        <v>6579</v>
      </c>
      <c r="R12" s="74" t="n">
        <v>0.0084</v>
      </c>
      <c r="S12" s="70" t="n">
        <f aca="false">IF(ISNUMBER(R12),ROUND(R12*Q12,0),0)</f>
        <v>55</v>
      </c>
      <c r="T12" s="70" t="n">
        <f aca="false">MAX(K12-S12,0)</f>
        <v>724</v>
      </c>
      <c r="U12" s="73" t="n">
        <f aca="false">IFERROR(T12/K12,0)</f>
        <v>0.929396662387677</v>
      </c>
      <c r="V12" s="67" t="n">
        <v>0</v>
      </c>
      <c r="W12" s="67" t="s">
        <v>287</v>
      </c>
      <c r="X12" s="67" t="n">
        <f aca="false">LEN(C12)</f>
        <v>60</v>
      </c>
      <c r="Y12" s="67" t="str">
        <f aca="false">IF(V12=0,"0 (clean title)",IF(V12&lt;=2,"1–2",IF(V12&lt;=5,"3–5","6+")))</f>
        <v>0 (clean title)</v>
      </c>
      <c r="Z12" s="67" t="str">
        <f aca="false">IF(X12&lt;=30,"Short (≤30)",IF(X12&lt;=50,"Medium (31–50)","Long (51+)"))</f>
        <v>Long (51+)</v>
      </c>
      <c r="AA12" s="67" t="str">
        <f aca="false">IF(J12&lt;=10,"a) ≤10s",IF(J12&lt;=30,"b) 11–30s",IF(J12&lt;=60,"c) 31–60s",IF(J12&lt;=180,"d) 61–180s","e) Long-form 3m+"))))</f>
        <v>c) 31–60s</v>
      </c>
      <c r="AB12" s="67" t="str">
        <f aca="false">IF(K12&gt;=1000,"Breakout (1K+)",IF(K12&gt;=250,"Solid (250–999)",IF(K12&gt;=100,"Average (100–249)","Low (&lt;100)")))</f>
        <v>Solid (250–999)</v>
      </c>
      <c r="AC12" s="75" t="str">
        <f aca="false">HYPERLINK("https://youtu.be/"&amp;B12,"▶ Watch")</f>
        <v>▶ Watch</v>
      </c>
    </row>
    <row r="13" customFormat="false" ht="15.75" hidden="false" customHeight="true" outlineLevel="0" collapsed="false">
      <c r="A13" s="36" t="n">
        <v>9</v>
      </c>
      <c r="B13" s="36" t="s">
        <v>381</v>
      </c>
      <c r="C13" s="36" t="s">
        <v>382</v>
      </c>
      <c r="D13" s="64" t="n">
        <v>46138</v>
      </c>
      <c r="E13" s="35" t="n">
        <f aca="false">YEAR(D13)</f>
        <v>2026</v>
      </c>
      <c r="F13" s="36" t="str">
        <f aca="false">TEXT(D13,"ddd")</f>
        <v>Sun</v>
      </c>
      <c r="G13" s="36" t="s">
        <v>273</v>
      </c>
      <c r="H13" s="36" t="s">
        <v>253</v>
      </c>
      <c r="I13" s="36" t="s">
        <v>277</v>
      </c>
      <c r="J13" s="36" t="n">
        <v>83</v>
      </c>
      <c r="K13" s="37" t="n">
        <v>719</v>
      </c>
      <c r="L13" s="52" t="n">
        <v>1.3292</v>
      </c>
      <c r="M13" s="46" t="n">
        <f aca="false">IFERROR(L13*3600/K13,0)</f>
        <v>6.65524339360223</v>
      </c>
      <c r="N13" s="49" t="n">
        <f aca="false">IFERROR(M13/J13,0)</f>
        <v>0.0801836553446051</v>
      </c>
      <c r="O13" s="36" t="n">
        <v>0</v>
      </c>
      <c r="P13" s="46" t="n">
        <f aca="false">IFERROR(O13/K13*1000,0)</f>
        <v>0</v>
      </c>
      <c r="Q13" s="37" t="n">
        <v>78</v>
      </c>
      <c r="R13" s="53" t="n">
        <v>0.0385</v>
      </c>
      <c r="S13" s="37" t="n">
        <f aca="false">IF(ISNUMBER(R13),ROUND(R13*Q13,0),0)</f>
        <v>3</v>
      </c>
      <c r="T13" s="37" t="n">
        <f aca="false">MAX(K13-S13,0)</f>
        <v>716</v>
      </c>
      <c r="U13" s="49" t="n">
        <f aca="false">IFERROR(T13/K13,0)</f>
        <v>0.995827538247566</v>
      </c>
      <c r="V13" s="36" t="n">
        <v>2</v>
      </c>
      <c r="W13" s="36" t="s">
        <v>287</v>
      </c>
      <c r="X13" s="36" t="n">
        <f aca="false">LEN(C13)</f>
        <v>31</v>
      </c>
      <c r="Y13" s="36" t="str">
        <f aca="false">IF(V13=0,"0 (clean title)",IF(V13&lt;=2,"1–2",IF(V13&lt;=5,"3–5","6+")))</f>
        <v>1–2</v>
      </c>
      <c r="Z13" s="36" t="str">
        <f aca="false">IF(X13&lt;=30,"Short (≤30)",IF(X13&lt;=50,"Medium (31–50)","Long (51+)"))</f>
        <v>Medium (31–50)</v>
      </c>
      <c r="AA13" s="36" t="str">
        <f aca="false">IF(J13&lt;=10,"a) ≤10s",IF(J13&lt;=30,"b) 11–30s",IF(J13&lt;=60,"c) 31–60s",IF(J13&lt;=180,"d) 61–180s","e) Long-form 3m+"))))</f>
        <v>d) 61–180s</v>
      </c>
      <c r="AB13" s="36" t="str">
        <f aca="false">IF(K13&gt;=1000,"Breakout (1K+)",IF(K13&gt;=250,"Solid (250–999)",IF(K13&gt;=100,"Average (100–249)","Low (&lt;100)")))</f>
        <v>Solid (250–999)</v>
      </c>
      <c r="AC13" s="66" t="str">
        <f aca="false">HYPERLINK("https://youtu.be/"&amp;B13,"▶ Watch")</f>
        <v>▶ Watch</v>
      </c>
    </row>
    <row r="14" customFormat="false" ht="15.75" hidden="false" customHeight="true" outlineLevel="0" collapsed="false">
      <c r="A14" s="67" t="n">
        <v>10</v>
      </c>
      <c r="B14" s="67" t="s">
        <v>383</v>
      </c>
      <c r="C14" s="67" t="s">
        <v>384</v>
      </c>
      <c r="D14" s="68" t="n">
        <v>44873</v>
      </c>
      <c r="E14" s="69" t="n">
        <f aca="false">YEAR(D14)</f>
        <v>2022</v>
      </c>
      <c r="F14" s="67" t="str">
        <f aca="false">TEXT(D14,"ddd")</f>
        <v>Tue</v>
      </c>
      <c r="G14" s="67" t="s">
        <v>273</v>
      </c>
      <c r="H14" s="67" t="s">
        <v>253</v>
      </c>
      <c r="I14" s="67" t="s">
        <v>276</v>
      </c>
      <c r="J14" s="67" t="n">
        <v>50</v>
      </c>
      <c r="K14" s="70" t="n">
        <v>502</v>
      </c>
      <c r="L14" s="71" t="n">
        <v>4.0265</v>
      </c>
      <c r="M14" s="72" t="n">
        <f aca="false">IFERROR(L14*3600/K14,0)</f>
        <v>28.8752988047809</v>
      </c>
      <c r="N14" s="73" t="n">
        <f aca="false">IFERROR(M14/J14,0)</f>
        <v>0.577505976095618</v>
      </c>
      <c r="O14" s="67" t="n">
        <v>1</v>
      </c>
      <c r="P14" s="72" t="n">
        <f aca="false">IFERROR(O14/K14*1000,0)</f>
        <v>1.99203187250996</v>
      </c>
      <c r="Q14" s="70" t="n">
        <v>2482</v>
      </c>
      <c r="R14" s="74" t="n">
        <v>0.0488</v>
      </c>
      <c r="S14" s="70" t="n">
        <f aca="false">IF(ISNUMBER(R14),ROUND(R14*Q14,0),0)</f>
        <v>121</v>
      </c>
      <c r="T14" s="70" t="n">
        <f aca="false">MAX(K14-S14,0)</f>
        <v>381</v>
      </c>
      <c r="U14" s="73" t="n">
        <f aca="false">IFERROR(T14/K14,0)</f>
        <v>0.758964143426295</v>
      </c>
      <c r="V14" s="67" t="n">
        <v>6</v>
      </c>
      <c r="W14" s="67" t="s">
        <v>287</v>
      </c>
      <c r="X14" s="67" t="n">
        <f aca="false">LEN(C14)</f>
        <v>98</v>
      </c>
      <c r="Y14" s="67" t="str">
        <f aca="false">IF(V14=0,"0 (clean title)",IF(V14&lt;=2,"1–2",IF(V14&lt;=5,"3–5","6+")))</f>
        <v>6+</v>
      </c>
      <c r="Z14" s="67" t="str">
        <f aca="false">IF(X14&lt;=30,"Short (≤30)",IF(X14&lt;=50,"Medium (31–50)","Long (51+)"))</f>
        <v>Long (51+)</v>
      </c>
      <c r="AA14" s="67" t="str">
        <f aca="false">IF(J14&lt;=10,"a) ≤10s",IF(J14&lt;=30,"b) 11–30s",IF(J14&lt;=60,"c) 31–60s",IF(J14&lt;=180,"d) 61–180s","e) Long-form 3m+"))))</f>
        <v>c) 31–60s</v>
      </c>
      <c r="AB14" s="67" t="str">
        <f aca="false">IF(K14&gt;=1000,"Breakout (1K+)",IF(K14&gt;=250,"Solid (250–999)",IF(K14&gt;=100,"Average (100–249)","Low (&lt;100)")))</f>
        <v>Solid (250–999)</v>
      </c>
      <c r="AC14" s="75" t="str">
        <f aca="false">HYPERLINK("https://youtu.be/"&amp;B14,"▶ Watch")</f>
        <v>▶ Watch</v>
      </c>
    </row>
    <row r="15" customFormat="false" ht="15.75" hidden="false" customHeight="true" outlineLevel="0" collapsed="false">
      <c r="A15" s="36" t="n">
        <v>11</v>
      </c>
      <c r="B15" s="36" t="s">
        <v>385</v>
      </c>
      <c r="C15" s="36" t="s">
        <v>386</v>
      </c>
      <c r="D15" s="64" t="n">
        <v>46172</v>
      </c>
      <c r="E15" s="35" t="n">
        <f aca="false">YEAR(D15)</f>
        <v>2026</v>
      </c>
      <c r="F15" s="36" t="str">
        <f aca="false">TEXT(D15,"ddd")</f>
        <v>Sat</v>
      </c>
      <c r="G15" s="36" t="s">
        <v>273</v>
      </c>
      <c r="H15" s="36" t="s">
        <v>253</v>
      </c>
      <c r="I15" s="36" t="s">
        <v>277</v>
      </c>
      <c r="J15" s="36" t="n">
        <v>85</v>
      </c>
      <c r="K15" s="37" t="n">
        <v>441</v>
      </c>
      <c r="L15" s="52" t="n">
        <v>2.9524</v>
      </c>
      <c r="M15" s="46" t="n">
        <f aca="false">IFERROR(L15*3600/K15,0)</f>
        <v>24.1012244897959</v>
      </c>
      <c r="N15" s="49" t="n">
        <f aca="false">IFERROR(M15/J15,0)</f>
        <v>0.283543817527011</v>
      </c>
      <c r="O15" s="36" t="n">
        <v>0</v>
      </c>
      <c r="P15" s="46" t="n">
        <f aca="false">IFERROR(O15/K15*1000,0)</f>
        <v>0</v>
      </c>
      <c r="Q15" s="37" t="n">
        <v>10574</v>
      </c>
      <c r="R15" s="53" t="n">
        <v>0.0373</v>
      </c>
      <c r="S15" s="37" t="n">
        <f aca="false">IF(ISNUMBER(R15),ROUND(R15*Q15,0),0)</f>
        <v>394</v>
      </c>
      <c r="T15" s="37" t="n">
        <f aca="false">MAX(K15-S15,0)</f>
        <v>47</v>
      </c>
      <c r="U15" s="49" t="n">
        <f aca="false">IFERROR(T15/K15,0)</f>
        <v>0.106575963718821</v>
      </c>
      <c r="V15" s="36" t="n">
        <v>0</v>
      </c>
      <c r="W15" s="36" t="s">
        <v>287</v>
      </c>
      <c r="X15" s="36" t="n">
        <f aca="false">LEN(C15)</f>
        <v>38</v>
      </c>
      <c r="Y15" s="36" t="str">
        <f aca="false">IF(V15=0,"0 (clean title)",IF(V15&lt;=2,"1–2",IF(V15&lt;=5,"3–5","6+")))</f>
        <v>0 (clean title)</v>
      </c>
      <c r="Z15" s="36" t="str">
        <f aca="false">IF(X15&lt;=30,"Short (≤30)",IF(X15&lt;=50,"Medium (31–50)","Long (51+)"))</f>
        <v>Medium (31–50)</v>
      </c>
      <c r="AA15" s="36" t="str">
        <f aca="false">IF(J15&lt;=10,"a) ≤10s",IF(J15&lt;=30,"b) 11–30s",IF(J15&lt;=60,"c) 31–60s",IF(J15&lt;=180,"d) 61–180s","e) Long-form 3m+"))))</f>
        <v>d) 61–180s</v>
      </c>
      <c r="AB15" s="36" t="str">
        <f aca="false">IF(K15&gt;=1000,"Breakout (1K+)",IF(K15&gt;=250,"Solid (250–999)",IF(K15&gt;=100,"Average (100–249)","Low (&lt;100)")))</f>
        <v>Solid (250–999)</v>
      </c>
      <c r="AC15" s="66" t="str">
        <f aca="false">HYPERLINK("https://youtu.be/"&amp;B15,"▶ Watch")</f>
        <v>▶ Watch</v>
      </c>
    </row>
    <row r="16" customFormat="false" ht="15.75" hidden="false" customHeight="true" outlineLevel="0" collapsed="false">
      <c r="A16" s="67" t="n">
        <v>12</v>
      </c>
      <c r="B16" s="67" t="s">
        <v>387</v>
      </c>
      <c r="C16" s="67" t="s">
        <v>388</v>
      </c>
      <c r="D16" s="68" t="n">
        <v>46180</v>
      </c>
      <c r="E16" s="69" t="n">
        <f aca="false">YEAR(D16)</f>
        <v>2026</v>
      </c>
      <c r="F16" s="67" t="str">
        <f aca="false">TEXT(D16,"ddd")</f>
        <v>Sun</v>
      </c>
      <c r="G16" s="67" t="s">
        <v>273</v>
      </c>
      <c r="H16" s="67" t="s">
        <v>250</v>
      </c>
      <c r="I16" s="67" t="s">
        <v>277</v>
      </c>
      <c r="J16" s="67" t="n">
        <v>4</v>
      </c>
      <c r="K16" s="70" t="n">
        <v>343</v>
      </c>
      <c r="L16" s="71" t="n">
        <v>0.1939</v>
      </c>
      <c r="M16" s="72" t="n">
        <f aca="false">IFERROR(L16*3600/K16,0)</f>
        <v>2.03510204081633</v>
      </c>
      <c r="N16" s="73" t="n">
        <f aca="false">IFERROR(M16/J16,0)</f>
        <v>0.508775510204082</v>
      </c>
      <c r="O16" s="67" t="n">
        <v>0</v>
      </c>
      <c r="P16" s="72" t="n">
        <f aca="false">IFERROR(O16/K16*1000,0)</f>
        <v>0</v>
      </c>
      <c r="Q16" s="70" t="n">
        <v>12</v>
      </c>
      <c r="R16" s="74" t="n">
        <v>0</v>
      </c>
      <c r="S16" s="70" t="n">
        <f aca="false">IF(ISNUMBER(R16),ROUND(R16*Q16,0),0)</f>
        <v>0</v>
      </c>
      <c r="T16" s="70" t="n">
        <f aca="false">MAX(K16-S16,0)</f>
        <v>343</v>
      </c>
      <c r="U16" s="73" t="n">
        <f aca="false">IFERROR(T16/K16,0)</f>
        <v>1</v>
      </c>
      <c r="V16" s="67" t="n">
        <v>0</v>
      </c>
      <c r="W16" s="67" t="s">
        <v>287</v>
      </c>
      <c r="X16" s="67" t="n">
        <f aca="false">LEN(C16)</f>
        <v>53</v>
      </c>
      <c r="Y16" s="67" t="str">
        <f aca="false">IF(V16=0,"0 (clean title)",IF(V16&lt;=2,"1–2",IF(V16&lt;=5,"3–5","6+")))</f>
        <v>0 (clean title)</v>
      </c>
      <c r="Z16" s="67" t="str">
        <f aca="false">IF(X16&lt;=30,"Short (≤30)",IF(X16&lt;=50,"Medium (31–50)","Long (51+)"))</f>
        <v>Long (51+)</v>
      </c>
      <c r="AA16" s="67" t="str">
        <f aca="false">IF(J16&lt;=10,"a) ≤10s",IF(J16&lt;=30,"b) 11–30s",IF(J16&lt;=60,"c) 31–60s",IF(J16&lt;=180,"d) 61–180s","e) Long-form 3m+"))))</f>
        <v>a) ≤10s</v>
      </c>
      <c r="AB16" s="67" t="str">
        <f aca="false">IF(K16&gt;=1000,"Breakout (1K+)",IF(K16&gt;=250,"Solid (250–999)",IF(K16&gt;=100,"Average (100–249)","Low (&lt;100)")))</f>
        <v>Solid (250–999)</v>
      </c>
      <c r="AC16" s="75" t="str">
        <f aca="false">HYPERLINK("https://youtu.be/"&amp;B16,"▶ Watch")</f>
        <v>▶ Watch</v>
      </c>
    </row>
    <row r="17" customFormat="false" ht="15.75" hidden="false" customHeight="true" outlineLevel="0" collapsed="false">
      <c r="A17" s="36" t="n">
        <v>13</v>
      </c>
      <c r="B17" s="36" t="s">
        <v>389</v>
      </c>
      <c r="C17" s="36" t="s">
        <v>390</v>
      </c>
      <c r="D17" s="64" t="n">
        <v>45972</v>
      </c>
      <c r="E17" s="35" t="n">
        <f aca="false">YEAR(D17)</f>
        <v>2025</v>
      </c>
      <c r="F17" s="36" t="str">
        <f aca="false">TEXT(D17,"ddd")</f>
        <v>Tue</v>
      </c>
      <c r="G17" s="36" t="s">
        <v>273</v>
      </c>
      <c r="H17" s="36" t="s">
        <v>250</v>
      </c>
      <c r="I17" s="36" t="s">
        <v>277</v>
      </c>
      <c r="J17" s="36" t="n">
        <v>5</v>
      </c>
      <c r="K17" s="37" t="n">
        <v>284</v>
      </c>
      <c r="L17" s="52" t="n">
        <v>0.1059</v>
      </c>
      <c r="M17" s="46" t="n">
        <f aca="false">IFERROR(L17*3600/K17,0)</f>
        <v>1.34239436619718</v>
      </c>
      <c r="N17" s="49" t="n">
        <f aca="false">IFERROR(M17/J17,0)</f>
        <v>0.268478873239437</v>
      </c>
      <c r="O17" s="36" t="n">
        <v>0</v>
      </c>
      <c r="P17" s="46" t="n">
        <f aca="false">IFERROR(O17/K17*1000,0)</f>
        <v>0</v>
      </c>
      <c r="Q17" s="37" t="n">
        <v>18</v>
      </c>
      <c r="R17" s="53" t="n">
        <v>0</v>
      </c>
      <c r="S17" s="37" t="n">
        <f aca="false">IF(ISNUMBER(R17),ROUND(R17*Q17,0),0)</f>
        <v>0</v>
      </c>
      <c r="T17" s="37" t="n">
        <f aca="false">MAX(K17-S17,0)</f>
        <v>284</v>
      </c>
      <c r="U17" s="49" t="n">
        <f aca="false">IFERROR(T17/K17,0)</f>
        <v>1</v>
      </c>
      <c r="V17" s="36" t="n">
        <v>1</v>
      </c>
      <c r="W17" s="36" t="s">
        <v>287</v>
      </c>
      <c r="X17" s="36" t="n">
        <f aca="false">LEN(C17)</f>
        <v>33</v>
      </c>
      <c r="Y17" s="36" t="str">
        <f aca="false">IF(V17=0,"0 (clean title)",IF(V17&lt;=2,"1–2",IF(V17&lt;=5,"3–5","6+")))</f>
        <v>1–2</v>
      </c>
      <c r="Z17" s="36" t="str">
        <f aca="false">IF(X17&lt;=30,"Short (≤30)",IF(X17&lt;=50,"Medium (31–50)","Long (51+)"))</f>
        <v>Medium (31–50)</v>
      </c>
      <c r="AA17" s="36" t="str">
        <f aca="false">IF(J17&lt;=10,"a) ≤10s",IF(J17&lt;=30,"b) 11–30s",IF(J17&lt;=60,"c) 31–60s",IF(J17&lt;=180,"d) 61–180s","e) Long-form 3m+"))))</f>
        <v>a) ≤10s</v>
      </c>
      <c r="AB17" s="36" t="str">
        <f aca="false">IF(K17&gt;=1000,"Breakout (1K+)",IF(K17&gt;=250,"Solid (250–999)",IF(K17&gt;=100,"Average (100–249)","Low (&lt;100)")))</f>
        <v>Solid (250–999)</v>
      </c>
      <c r="AC17" s="66" t="str">
        <f aca="false">HYPERLINK("https://youtu.be/"&amp;B17,"▶ Watch")</f>
        <v>▶ Watch</v>
      </c>
    </row>
    <row r="18" customFormat="false" ht="15.75" hidden="false" customHeight="true" outlineLevel="0" collapsed="false">
      <c r="A18" s="67" t="n">
        <v>14</v>
      </c>
      <c r="B18" s="67" t="s">
        <v>391</v>
      </c>
      <c r="C18" s="67" t="s">
        <v>392</v>
      </c>
      <c r="D18" s="68" t="n">
        <v>44869</v>
      </c>
      <c r="E18" s="69" t="n">
        <f aca="false">YEAR(D18)</f>
        <v>2022</v>
      </c>
      <c r="F18" s="67" t="str">
        <f aca="false">TEXT(D18,"ddd")</f>
        <v>Fri</v>
      </c>
      <c r="G18" s="67" t="s">
        <v>273</v>
      </c>
      <c r="H18" s="67" t="s">
        <v>253</v>
      </c>
      <c r="I18" s="67" t="s">
        <v>276</v>
      </c>
      <c r="J18" s="67" t="n">
        <v>61</v>
      </c>
      <c r="K18" s="70" t="n">
        <v>280</v>
      </c>
      <c r="L18" s="71" t="n">
        <v>1.0548</v>
      </c>
      <c r="M18" s="72" t="n">
        <f aca="false">IFERROR(L18*3600/K18,0)</f>
        <v>13.5617142857143</v>
      </c>
      <c r="N18" s="73" t="n">
        <f aca="false">IFERROR(M18/J18,0)</f>
        <v>0.22232318501171</v>
      </c>
      <c r="O18" s="67" t="n">
        <v>0</v>
      </c>
      <c r="P18" s="72" t="n">
        <f aca="false">IFERROR(O18/K18*1000,0)</f>
        <v>0</v>
      </c>
      <c r="Q18" s="70" t="n">
        <v>2065</v>
      </c>
      <c r="R18" s="74" t="n">
        <v>0.0426</v>
      </c>
      <c r="S18" s="70" t="n">
        <f aca="false">IF(ISNUMBER(R18),ROUND(R18*Q18,0),0)</f>
        <v>88</v>
      </c>
      <c r="T18" s="70" t="n">
        <f aca="false">MAX(K18-S18,0)</f>
        <v>192</v>
      </c>
      <c r="U18" s="73" t="n">
        <f aca="false">IFERROR(T18/K18,0)</f>
        <v>0.685714285714286</v>
      </c>
      <c r="V18" s="67" t="n">
        <v>6</v>
      </c>
      <c r="W18" s="67" t="s">
        <v>287</v>
      </c>
      <c r="X18" s="67" t="n">
        <f aca="false">LEN(C18)</f>
        <v>95</v>
      </c>
      <c r="Y18" s="67" t="str">
        <f aca="false">IF(V18=0,"0 (clean title)",IF(V18&lt;=2,"1–2",IF(V18&lt;=5,"3–5","6+")))</f>
        <v>6+</v>
      </c>
      <c r="Z18" s="67" t="str">
        <f aca="false">IF(X18&lt;=30,"Short (≤30)",IF(X18&lt;=50,"Medium (31–50)","Long (51+)"))</f>
        <v>Long (51+)</v>
      </c>
      <c r="AA18" s="67" t="str">
        <f aca="false">IF(J18&lt;=10,"a) ≤10s",IF(J18&lt;=30,"b) 11–30s",IF(J18&lt;=60,"c) 31–60s",IF(J18&lt;=180,"d) 61–180s","e) Long-form 3m+"))))</f>
        <v>d) 61–180s</v>
      </c>
      <c r="AB18" s="67" t="str">
        <f aca="false">IF(K18&gt;=1000,"Breakout (1K+)",IF(K18&gt;=250,"Solid (250–999)",IF(K18&gt;=100,"Average (100–249)","Low (&lt;100)")))</f>
        <v>Solid (250–999)</v>
      </c>
      <c r="AC18" s="75" t="str">
        <f aca="false">HYPERLINK("https://youtu.be/"&amp;B18,"▶ Watch")</f>
        <v>▶ Watch</v>
      </c>
    </row>
    <row r="19" customFormat="false" ht="15.75" hidden="false" customHeight="true" outlineLevel="0" collapsed="false">
      <c r="A19" s="36" t="n">
        <v>15</v>
      </c>
      <c r="B19" s="36" t="s">
        <v>393</v>
      </c>
      <c r="C19" s="36" t="s">
        <v>394</v>
      </c>
      <c r="D19" s="64" t="n">
        <v>44989</v>
      </c>
      <c r="E19" s="35" t="n">
        <f aca="false">YEAR(D19)</f>
        <v>2023</v>
      </c>
      <c r="F19" s="36" t="str">
        <f aca="false">TEXT(D19,"ddd")</f>
        <v>Sat</v>
      </c>
      <c r="G19" s="36" t="s">
        <v>273</v>
      </c>
      <c r="H19" s="36" t="s">
        <v>259</v>
      </c>
      <c r="I19" s="36" t="s">
        <v>276</v>
      </c>
      <c r="J19" s="36" t="n">
        <v>49</v>
      </c>
      <c r="K19" s="37" t="n">
        <v>272</v>
      </c>
      <c r="L19" s="52" t="n">
        <v>1.53</v>
      </c>
      <c r="M19" s="46" t="n">
        <f aca="false">IFERROR(L19*3600/K19,0)</f>
        <v>20.25</v>
      </c>
      <c r="N19" s="49" t="n">
        <f aca="false">IFERROR(M19/J19,0)</f>
        <v>0.413265306122449</v>
      </c>
      <c r="O19" s="36" t="n">
        <v>0</v>
      </c>
      <c r="P19" s="46" t="n">
        <f aca="false">IFERROR(O19/K19*1000,0)</f>
        <v>0</v>
      </c>
      <c r="Q19" s="37" t="n">
        <v>1361</v>
      </c>
      <c r="R19" s="53" t="n">
        <v>0.0602</v>
      </c>
      <c r="S19" s="37" t="n">
        <f aca="false">IF(ISNUMBER(R19),ROUND(R19*Q19,0),0)</f>
        <v>82</v>
      </c>
      <c r="T19" s="37" t="n">
        <f aca="false">MAX(K19-S19,0)</f>
        <v>190</v>
      </c>
      <c r="U19" s="49" t="n">
        <f aca="false">IFERROR(T19/K19,0)</f>
        <v>0.698529411764706</v>
      </c>
      <c r="V19" s="36" t="n">
        <v>9</v>
      </c>
      <c r="W19" s="36" t="s">
        <v>287</v>
      </c>
      <c r="X19" s="36" t="n">
        <f aca="false">LEN(C19)</f>
        <v>83</v>
      </c>
      <c r="Y19" s="36" t="str">
        <f aca="false">IF(V19=0,"0 (clean title)",IF(V19&lt;=2,"1–2",IF(V19&lt;=5,"3–5","6+")))</f>
        <v>6+</v>
      </c>
      <c r="Z19" s="36" t="str">
        <f aca="false">IF(X19&lt;=30,"Short (≤30)",IF(X19&lt;=50,"Medium (31–50)","Long (51+)"))</f>
        <v>Long (51+)</v>
      </c>
      <c r="AA19" s="36" t="str">
        <f aca="false">IF(J19&lt;=10,"a) ≤10s",IF(J19&lt;=30,"b) 11–30s",IF(J19&lt;=60,"c) 31–60s",IF(J19&lt;=180,"d) 61–180s","e) Long-form 3m+"))))</f>
        <v>c) 31–60s</v>
      </c>
      <c r="AB19" s="36" t="str">
        <f aca="false">IF(K19&gt;=1000,"Breakout (1K+)",IF(K19&gt;=250,"Solid (250–999)",IF(K19&gt;=100,"Average (100–249)","Low (&lt;100)")))</f>
        <v>Solid (250–999)</v>
      </c>
      <c r="AC19" s="66" t="str">
        <f aca="false">HYPERLINK("https://youtu.be/"&amp;B19,"▶ Watch")</f>
        <v>▶ Watch</v>
      </c>
    </row>
    <row r="20" customFormat="false" ht="15.75" hidden="false" customHeight="true" outlineLevel="0" collapsed="false">
      <c r="A20" s="67" t="n">
        <v>16</v>
      </c>
      <c r="B20" s="67" t="s">
        <v>395</v>
      </c>
      <c r="C20" s="67" t="s">
        <v>396</v>
      </c>
      <c r="D20" s="68" t="n">
        <v>45982</v>
      </c>
      <c r="E20" s="69" t="n">
        <f aca="false">YEAR(D20)</f>
        <v>2025</v>
      </c>
      <c r="F20" s="67" t="str">
        <f aca="false">TEXT(D20,"ddd")</f>
        <v>Fri</v>
      </c>
      <c r="G20" s="67" t="s">
        <v>273</v>
      </c>
      <c r="H20" s="67" t="s">
        <v>250</v>
      </c>
      <c r="I20" s="67" t="s">
        <v>277</v>
      </c>
      <c r="J20" s="67" t="n">
        <v>5</v>
      </c>
      <c r="K20" s="70" t="n">
        <v>263</v>
      </c>
      <c r="L20" s="71" t="n">
        <v>0.1096</v>
      </c>
      <c r="M20" s="72" t="n">
        <f aca="false">IFERROR(L20*3600/K20,0)</f>
        <v>1.50022813688213</v>
      </c>
      <c r="N20" s="73" t="n">
        <f aca="false">IFERROR(M20/J20,0)</f>
        <v>0.300045627376426</v>
      </c>
      <c r="O20" s="67" t="n">
        <v>0</v>
      </c>
      <c r="P20" s="72" t="n">
        <f aca="false">IFERROR(O20/K20*1000,0)</f>
        <v>0</v>
      </c>
      <c r="Q20" s="70" t="n">
        <v>52</v>
      </c>
      <c r="R20" s="74" t="n">
        <v>0</v>
      </c>
      <c r="S20" s="70" t="n">
        <f aca="false">IF(ISNUMBER(R20),ROUND(R20*Q20,0),0)</f>
        <v>0</v>
      </c>
      <c r="T20" s="70" t="n">
        <f aca="false">MAX(K20-S20,0)</f>
        <v>263</v>
      </c>
      <c r="U20" s="73" t="n">
        <f aca="false">IFERROR(T20/K20,0)</f>
        <v>1</v>
      </c>
      <c r="V20" s="67" t="n">
        <v>0</v>
      </c>
      <c r="W20" s="67" t="s">
        <v>286</v>
      </c>
      <c r="X20" s="67" t="n">
        <f aca="false">LEN(C20)</f>
        <v>27</v>
      </c>
      <c r="Y20" s="67" t="str">
        <f aca="false">IF(V20=0,"0 (clean title)",IF(V20&lt;=2,"1–2",IF(V20&lt;=5,"3–5","6+")))</f>
        <v>0 (clean title)</v>
      </c>
      <c r="Z20" s="67" t="str">
        <f aca="false">IF(X20&lt;=30,"Short (≤30)",IF(X20&lt;=50,"Medium (31–50)","Long (51+)"))</f>
        <v>Short (≤30)</v>
      </c>
      <c r="AA20" s="67" t="str">
        <f aca="false">IF(J20&lt;=10,"a) ≤10s",IF(J20&lt;=30,"b) 11–30s",IF(J20&lt;=60,"c) 31–60s",IF(J20&lt;=180,"d) 61–180s","e) Long-form 3m+"))))</f>
        <v>a) ≤10s</v>
      </c>
      <c r="AB20" s="67" t="str">
        <f aca="false">IF(K20&gt;=1000,"Breakout (1K+)",IF(K20&gt;=250,"Solid (250–999)",IF(K20&gt;=100,"Average (100–249)","Low (&lt;100)")))</f>
        <v>Solid (250–999)</v>
      </c>
      <c r="AC20" s="75" t="str">
        <f aca="false">HYPERLINK("https://youtu.be/"&amp;B20,"▶ Watch")</f>
        <v>▶ Watch</v>
      </c>
    </row>
    <row r="21" customFormat="false" ht="15.75" hidden="false" customHeight="true" outlineLevel="0" collapsed="false">
      <c r="A21" s="36" t="n">
        <v>17</v>
      </c>
      <c r="B21" s="36" t="s">
        <v>397</v>
      </c>
      <c r="C21" s="36" t="s">
        <v>398</v>
      </c>
      <c r="D21" s="64" t="n">
        <v>45222</v>
      </c>
      <c r="E21" s="35" t="n">
        <f aca="false">YEAR(D21)</f>
        <v>2023</v>
      </c>
      <c r="F21" s="36" t="str">
        <f aca="false">TEXT(D21,"ddd")</f>
        <v>Mon</v>
      </c>
      <c r="G21" s="36" t="s">
        <v>151</v>
      </c>
      <c r="H21" s="36" t="s">
        <v>253</v>
      </c>
      <c r="I21" s="36" t="s">
        <v>276</v>
      </c>
      <c r="J21" s="36" t="n">
        <v>418</v>
      </c>
      <c r="K21" s="37" t="n">
        <v>261</v>
      </c>
      <c r="L21" s="52" t="n">
        <v>4.2403</v>
      </c>
      <c r="M21" s="46" t="n">
        <f aca="false">IFERROR(L21*3600/K21,0)</f>
        <v>58.4868965517241</v>
      </c>
      <c r="N21" s="49" t="n">
        <f aca="false">IFERROR(M21/J21,0)</f>
        <v>0.139920805147665</v>
      </c>
      <c r="O21" s="36" t="n">
        <v>0</v>
      </c>
      <c r="P21" s="46" t="n">
        <f aca="false">IFERROR(O21/K21*1000,0)</f>
        <v>0</v>
      </c>
      <c r="Q21" s="37" t="n">
        <v>4768</v>
      </c>
      <c r="R21" s="53" t="n">
        <v>0.0489</v>
      </c>
      <c r="S21" s="37" t="n">
        <f aca="false">IF(ISNUMBER(R21),ROUND(R21*Q21,0),0)</f>
        <v>233</v>
      </c>
      <c r="T21" s="37" t="n">
        <f aca="false">MAX(K21-S21,0)</f>
        <v>28</v>
      </c>
      <c r="U21" s="49" t="n">
        <f aca="false">IFERROR(T21/K21,0)</f>
        <v>0.10727969348659</v>
      </c>
      <c r="V21" s="36" t="n">
        <v>8</v>
      </c>
      <c r="W21" s="36" t="s">
        <v>287</v>
      </c>
      <c r="X21" s="36" t="n">
        <f aca="false">LEN(C21)</f>
        <v>94</v>
      </c>
      <c r="Y21" s="36" t="str">
        <f aca="false">IF(V21=0,"0 (clean title)",IF(V21&lt;=2,"1–2",IF(V21&lt;=5,"3–5","6+")))</f>
        <v>6+</v>
      </c>
      <c r="Z21" s="36" t="str">
        <f aca="false">IF(X21&lt;=30,"Short (≤30)",IF(X21&lt;=50,"Medium (31–50)","Long (51+)"))</f>
        <v>Long (51+)</v>
      </c>
      <c r="AA21" s="36" t="str">
        <f aca="false">IF(J21&lt;=10,"a) ≤10s",IF(J21&lt;=30,"b) 11–30s",IF(J21&lt;=60,"c) 31–60s",IF(J21&lt;=180,"d) 61–180s","e) Long-form 3m+"))))</f>
        <v>e) Long-form 3m+</v>
      </c>
      <c r="AB21" s="36" t="str">
        <f aca="false">IF(K21&gt;=1000,"Breakout (1K+)",IF(K21&gt;=250,"Solid (250–999)",IF(K21&gt;=100,"Average (100–249)","Low (&lt;100)")))</f>
        <v>Solid (250–999)</v>
      </c>
      <c r="AC21" s="66" t="str">
        <f aca="false">HYPERLINK("https://youtu.be/"&amp;B21,"▶ Watch")</f>
        <v>▶ Watch</v>
      </c>
    </row>
    <row r="22" customFormat="false" ht="15.75" hidden="false" customHeight="true" outlineLevel="0" collapsed="false">
      <c r="A22" s="67" t="n">
        <v>18</v>
      </c>
      <c r="B22" s="67" t="s">
        <v>399</v>
      </c>
      <c r="C22" s="67" t="s">
        <v>400</v>
      </c>
      <c r="D22" s="68" t="n">
        <v>45977</v>
      </c>
      <c r="E22" s="69" t="n">
        <f aca="false">YEAR(D22)</f>
        <v>2025</v>
      </c>
      <c r="F22" s="67" t="str">
        <f aca="false">TEXT(D22,"ddd")</f>
        <v>Sun</v>
      </c>
      <c r="G22" s="67" t="s">
        <v>273</v>
      </c>
      <c r="H22" s="67" t="s">
        <v>250</v>
      </c>
      <c r="I22" s="67" t="s">
        <v>277</v>
      </c>
      <c r="J22" s="67" t="n">
        <v>14</v>
      </c>
      <c r="K22" s="70" t="n">
        <v>249</v>
      </c>
      <c r="L22" s="71" t="n">
        <v>0.1385</v>
      </c>
      <c r="M22" s="72" t="n">
        <f aca="false">IFERROR(L22*3600/K22,0)</f>
        <v>2.00240963855422</v>
      </c>
      <c r="N22" s="73" t="n">
        <f aca="false">IFERROR(M22/J22,0)</f>
        <v>0.14302925989673</v>
      </c>
      <c r="O22" s="67" t="n">
        <v>0</v>
      </c>
      <c r="P22" s="72" t="n">
        <f aca="false">IFERROR(O22/K22*1000,0)</f>
        <v>0</v>
      </c>
      <c r="Q22" s="70" t="n">
        <v>32</v>
      </c>
      <c r="R22" s="74" t="n">
        <v>0.0313</v>
      </c>
      <c r="S22" s="70" t="n">
        <f aca="false">IF(ISNUMBER(R22),ROUND(R22*Q22,0),0)</f>
        <v>1</v>
      </c>
      <c r="T22" s="70" t="n">
        <f aca="false">MAX(K22-S22,0)</f>
        <v>248</v>
      </c>
      <c r="U22" s="73" t="n">
        <f aca="false">IFERROR(T22/K22,0)</f>
        <v>0.995983935742972</v>
      </c>
      <c r="V22" s="67" t="n">
        <v>0</v>
      </c>
      <c r="W22" s="67" t="s">
        <v>286</v>
      </c>
      <c r="X22" s="67" t="n">
        <f aca="false">LEN(C22)</f>
        <v>37</v>
      </c>
      <c r="Y22" s="67" t="str">
        <f aca="false">IF(V22=0,"0 (clean title)",IF(V22&lt;=2,"1–2",IF(V22&lt;=5,"3–5","6+")))</f>
        <v>0 (clean title)</v>
      </c>
      <c r="Z22" s="67" t="str">
        <f aca="false">IF(X22&lt;=30,"Short (≤30)",IF(X22&lt;=50,"Medium (31–50)","Long (51+)"))</f>
        <v>Medium (31–50)</v>
      </c>
      <c r="AA22" s="67" t="str">
        <f aca="false">IF(J22&lt;=10,"a) ≤10s",IF(J22&lt;=30,"b) 11–30s",IF(J22&lt;=60,"c) 31–60s",IF(J22&lt;=180,"d) 61–180s","e) Long-form 3m+"))))</f>
        <v>b) 11–30s</v>
      </c>
      <c r="AB22" s="67" t="str">
        <f aca="false">IF(K22&gt;=1000,"Breakout (1K+)",IF(K22&gt;=250,"Solid (250–999)",IF(K22&gt;=100,"Average (100–249)","Low (&lt;100)")))</f>
        <v>Average (100–249)</v>
      </c>
      <c r="AC22" s="75" t="str">
        <f aca="false">HYPERLINK("https://youtu.be/"&amp;B22,"▶ Watch")</f>
        <v>▶ Watch</v>
      </c>
    </row>
    <row r="23" customFormat="false" ht="15.75" hidden="false" customHeight="true" outlineLevel="0" collapsed="false">
      <c r="A23" s="36" t="n">
        <v>19</v>
      </c>
      <c r="B23" s="36" t="s">
        <v>401</v>
      </c>
      <c r="C23" s="36" t="s">
        <v>402</v>
      </c>
      <c r="D23" s="64" t="n">
        <v>44925</v>
      </c>
      <c r="E23" s="35" t="n">
        <f aca="false">YEAR(D23)</f>
        <v>2022</v>
      </c>
      <c r="F23" s="36" t="str">
        <f aca="false">TEXT(D23,"ddd")</f>
        <v>Fri</v>
      </c>
      <c r="G23" s="36" t="s">
        <v>273</v>
      </c>
      <c r="H23" s="36" t="s">
        <v>259</v>
      </c>
      <c r="I23" s="36" t="s">
        <v>276</v>
      </c>
      <c r="J23" s="36" t="n">
        <v>7</v>
      </c>
      <c r="K23" s="37" t="n">
        <v>227</v>
      </c>
      <c r="L23" s="52" t="n">
        <v>0.4975</v>
      </c>
      <c r="M23" s="46" t="n">
        <f aca="false">IFERROR(L23*3600/K23,0)</f>
        <v>7.88986784140969</v>
      </c>
      <c r="N23" s="49" t="n">
        <f aca="false">IFERROR(M23/J23,0)</f>
        <v>1.12712397734424</v>
      </c>
      <c r="O23" s="36" t="n">
        <v>0</v>
      </c>
      <c r="P23" s="46" t="n">
        <f aca="false">IFERROR(O23/K23*1000,0)</f>
        <v>0</v>
      </c>
      <c r="Q23" s="37" t="n">
        <v>1935</v>
      </c>
      <c r="R23" s="53" t="n">
        <v>0.0388</v>
      </c>
      <c r="S23" s="37" t="n">
        <f aca="false">IF(ISNUMBER(R23),ROUND(R23*Q23,0),0)</f>
        <v>75</v>
      </c>
      <c r="T23" s="37" t="n">
        <f aca="false">MAX(K23-S23,0)</f>
        <v>152</v>
      </c>
      <c r="U23" s="49" t="n">
        <f aca="false">IFERROR(T23/K23,0)</f>
        <v>0.669603524229075</v>
      </c>
      <c r="V23" s="36" t="n">
        <v>7</v>
      </c>
      <c r="W23" s="36" t="s">
        <v>287</v>
      </c>
      <c r="X23" s="36" t="n">
        <f aca="false">LEN(C23)</f>
        <v>71</v>
      </c>
      <c r="Y23" s="36" t="str">
        <f aca="false">IF(V23=0,"0 (clean title)",IF(V23&lt;=2,"1–2",IF(V23&lt;=5,"3–5","6+")))</f>
        <v>6+</v>
      </c>
      <c r="Z23" s="36" t="str">
        <f aca="false">IF(X23&lt;=30,"Short (≤30)",IF(X23&lt;=50,"Medium (31–50)","Long (51+)"))</f>
        <v>Long (51+)</v>
      </c>
      <c r="AA23" s="36" t="str">
        <f aca="false">IF(J23&lt;=10,"a) ≤10s",IF(J23&lt;=30,"b) 11–30s",IF(J23&lt;=60,"c) 31–60s",IF(J23&lt;=180,"d) 61–180s","e) Long-form 3m+"))))</f>
        <v>a) ≤10s</v>
      </c>
      <c r="AB23" s="36" t="str">
        <f aca="false">IF(K23&gt;=1000,"Breakout (1K+)",IF(K23&gt;=250,"Solid (250–999)",IF(K23&gt;=100,"Average (100–249)","Low (&lt;100)")))</f>
        <v>Average (100–249)</v>
      </c>
      <c r="AC23" s="66" t="str">
        <f aca="false">HYPERLINK("https://youtu.be/"&amp;B23,"▶ Watch")</f>
        <v>▶ Watch</v>
      </c>
    </row>
    <row r="24" customFormat="false" ht="15.75" hidden="false" customHeight="true" outlineLevel="0" collapsed="false">
      <c r="A24" s="67" t="n">
        <v>20</v>
      </c>
      <c r="B24" s="67" t="s">
        <v>403</v>
      </c>
      <c r="C24" s="67" t="s">
        <v>404</v>
      </c>
      <c r="D24" s="68" t="n">
        <v>45979</v>
      </c>
      <c r="E24" s="69" t="n">
        <f aca="false">YEAR(D24)</f>
        <v>2025</v>
      </c>
      <c r="F24" s="67" t="str">
        <f aca="false">TEXT(D24,"ddd")</f>
        <v>Tue</v>
      </c>
      <c r="G24" s="67" t="s">
        <v>273</v>
      </c>
      <c r="H24" s="67" t="s">
        <v>250</v>
      </c>
      <c r="I24" s="67" t="s">
        <v>277</v>
      </c>
      <c r="J24" s="67" t="n">
        <v>6</v>
      </c>
      <c r="K24" s="70" t="n">
        <v>224</v>
      </c>
      <c r="L24" s="71" t="n">
        <v>0.1047</v>
      </c>
      <c r="M24" s="72" t="n">
        <f aca="false">IFERROR(L24*3600/K24,0)</f>
        <v>1.68267857142857</v>
      </c>
      <c r="N24" s="73" t="n">
        <f aca="false">IFERROR(M24/J24,0)</f>
        <v>0.280446428571429</v>
      </c>
      <c r="O24" s="67" t="n">
        <v>0</v>
      </c>
      <c r="P24" s="72" t="n">
        <f aca="false">IFERROR(O24/K24*1000,0)</f>
        <v>0</v>
      </c>
      <c r="Q24" s="70" t="n">
        <v>46</v>
      </c>
      <c r="R24" s="74" t="n">
        <v>0</v>
      </c>
      <c r="S24" s="70" t="n">
        <f aca="false">IF(ISNUMBER(R24),ROUND(R24*Q24,0),0)</f>
        <v>0</v>
      </c>
      <c r="T24" s="70" t="n">
        <f aca="false">MAX(K24-S24,0)</f>
        <v>224</v>
      </c>
      <c r="U24" s="73" t="n">
        <f aca="false">IFERROR(T24/K24,0)</f>
        <v>1</v>
      </c>
      <c r="V24" s="67" t="n">
        <v>0</v>
      </c>
      <c r="W24" s="67" t="s">
        <v>287</v>
      </c>
      <c r="X24" s="67" t="n">
        <f aca="false">LEN(C24)</f>
        <v>46</v>
      </c>
      <c r="Y24" s="67" t="str">
        <f aca="false">IF(V24=0,"0 (clean title)",IF(V24&lt;=2,"1–2",IF(V24&lt;=5,"3–5","6+")))</f>
        <v>0 (clean title)</v>
      </c>
      <c r="Z24" s="67" t="str">
        <f aca="false">IF(X24&lt;=30,"Short (≤30)",IF(X24&lt;=50,"Medium (31–50)","Long (51+)"))</f>
        <v>Medium (31–50)</v>
      </c>
      <c r="AA24" s="67" t="str">
        <f aca="false">IF(J24&lt;=10,"a) ≤10s",IF(J24&lt;=30,"b) 11–30s",IF(J24&lt;=60,"c) 31–60s",IF(J24&lt;=180,"d) 61–180s","e) Long-form 3m+"))))</f>
        <v>a) ≤10s</v>
      </c>
      <c r="AB24" s="67" t="str">
        <f aca="false">IF(K24&gt;=1000,"Breakout (1K+)",IF(K24&gt;=250,"Solid (250–999)",IF(K24&gt;=100,"Average (100–249)","Low (&lt;100)")))</f>
        <v>Average (100–249)</v>
      </c>
      <c r="AC24" s="75" t="str">
        <f aca="false">HYPERLINK("https://youtu.be/"&amp;B24,"▶ Watch")</f>
        <v>▶ Watch</v>
      </c>
    </row>
    <row r="25" customFormat="false" ht="15.75" hidden="false" customHeight="true" outlineLevel="0" collapsed="false">
      <c r="A25" s="36" t="n">
        <v>21</v>
      </c>
      <c r="B25" s="36" t="s">
        <v>405</v>
      </c>
      <c r="C25" s="36" t="s">
        <v>406</v>
      </c>
      <c r="D25" s="64" t="n">
        <v>44945</v>
      </c>
      <c r="E25" s="35" t="n">
        <f aca="false">YEAR(D25)</f>
        <v>2023</v>
      </c>
      <c r="F25" s="36" t="str">
        <f aca="false">TEXT(D25,"ddd")</f>
        <v>Thu</v>
      </c>
      <c r="G25" s="36" t="s">
        <v>273</v>
      </c>
      <c r="H25" s="36" t="s">
        <v>259</v>
      </c>
      <c r="I25" s="36" t="s">
        <v>276</v>
      </c>
      <c r="J25" s="36" t="n">
        <v>60</v>
      </c>
      <c r="K25" s="37" t="n">
        <v>190</v>
      </c>
      <c r="L25" s="52" t="n">
        <v>0.6336</v>
      </c>
      <c r="M25" s="46" t="n">
        <f aca="false">IFERROR(L25*3600/K25,0)</f>
        <v>12.0050526315789</v>
      </c>
      <c r="N25" s="49" t="n">
        <f aca="false">IFERROR(M25/J25,0)</f>
        <v>0.200084210526316</v>
      </c>
      <c r="O25" s="36" t="n">
        <v>1</v>
      </c>
      <c r="P25" s="46" t="n">
        <f aca="false">IFERROR(O25/K25*1000,0)</f>
        <v>5.26315789473684</v>
      </c>
      <c r="Q25" s="37" t="n">
        <v>272</v>
      </c>
      <c r="R25" s="53" t="n">
        <v>0.0257</v>
      </c>
      <c r="S25" s="37" t="n">
        <f aca="false">IF(ISNUMBER(R25),ROUND(R25*Q25,0),0)</f>
        <v>7</v>
      </c>
      <c r="T25" s="37" t="n">
        <f aca="false">MAX(K25-S25,0)</f>
        <v>183</v>
      </c>
      <c r="U25" s="49" t="n">
        <f aca="false">IFERROR(T25/K25,0)</f>
        <v>0.963157894736842</v>
      </c>
      <c r="V25" s="36" t="n">
        <v>7</v>
      </c>
      <c r="W25" s="36" t="s">
        <v>287</v>
      </c>
      <c r="X25" s="36" t="n">
        <f aca="false">LEN(C25)</f>
        <v>74</v>
      </c>
      <c r="Y25" s="36" t="str">
        <f aca="false">IF(V25=0,"0 (clean title)",IF(V25&lt;=2,"1–2",IF(V25&lt;=5,"3–5","6+")))</f>
        <v>6+</v>
      </c>
      <c r="Z25" s="36" t="str">
        <f aca="false">IF(X25&lt;=30,"Short (≤30)",IF(X25&lt;=50,"Medium (31–50)","Long (51+)"))</f>
        <v>Long (51+)</v>
      </c>
      <c r="AA25" s="36" t="str">
        <f aca="false">IF(J25&lt;=10,"a) ≤10s",IF(J25&lt;=30,"b) 11–30s",IF(J25&lt;=60,"c) 31–60s",IF(J25&lt;=180,"d) 61–180s","e) Long-form 3m+"))))</f>
        <v>c) 31–60s</v>
      </c>
      <c r="AB25" s="36" t="str">
        <f aca="false">IF(K25&gt;=1000,"Breakout (1K+)",IF(K25&gt;=250,"Solid (250–999)",IF(K25&gt;=100,"Average (100–249)","Low (&lt;100)")))</f>
        <v>Average (100–249)</v>
      </c>
      <c r="AC25" s="66" t="str">
        <f aca="false">HYPERLINK("https://youtu.be/"&amp;B25,"▶ Watch")</f>
        <v>▶ Watch</v>
      </c>
    </row>
    <row r="26" customFormat="false" ht="15.75" hidden="false" customHeight="true" outlineLevel="0" collapsed="false">
      <c r="A26" s="67" t="n">
        <v>22</v>
      </c>
      <c r="B26" s="67" t="s">
        <v>407</v>
      </c>
      <c r="C26" s="67" t="s">
        <v>408</v>
      </c>
      <c r="D26" s="68" t="n">
        <v>45064</v>
      </c>
      <c r="E26" s="69" t="n">
        <f aca="false">YEAR(D26)</f>
        <v>2023</v>
      </c>
      <c r="F26" s="67" t="str">
        <f aca="false">TEXT(D26,"ddd")</f>
        <v>Thu</v>
      </c>
      <c r="G26" s="67" t="s">
        <v>273</v>
      </c>
      <c r="H26" s="67" t="s">
        <v>256</v>
      </c>
      <c r="I26" s="67" t="s">
        <v>276</v>
      </c>
      <c r="J26" s="67" t="n">
        <v>8</v>
      </c>
      <c r="K26" s="70" t="n">
        <v>183</v>
      </c>
      <c r="L26" s="71" t="n">
        <v>0.5893</v>
      </c>
      <c r="M26" s="72" t="n">
        <f aca="false">IFERROR(L26*3600/K26,0)</f>
        <v>11.5927868852459</v>
      </c>
      <c r="N26" s="73" t="n">
        <f aca="false">IFERROR(M26/J26,0)</f>
        <v>1.44909836065574</v>
      </c>
      <c r="O26" s="67" t="n">
        <v>0</v>
      </c>
      <c r="P26" s="72" t="n">
        <f aca="false">IFERROR(O26/K26*1000,0)</f>
        <v>0</v>
      </c>
      <c r="Q26" s="70" t="n">
        <v>989</v>
      </c>
      <c r="R26" s="74" t="n">
        <v>0.0091</v>
      </c>
      <c r="S26" s="70" t="n">
        <f aca="false">IF(ISNUMBER(R26),ROUND(R26*Q26,0),0)</f>
        <v>9</v>
      </c>
      <c r="T26" s="70" t="n">
        <f aca="false">MAX(K26-S26,0)</f>
        <v>174</v>
      </c>
      <c r="U26" s="73" t="n">
        <f aca="false">IFERROR(T26/K26,0)</f>
        <v>0.950819672131148</v>
      </c>
      <c r="V26" s="67" t="n">
        <v>7</v>
      </c>
      <c r="W26" s="67" t="s">
        <v>287</v>
      </c>
      <c r="X26" s="67" t="n">
        <f aca="false">LEN(C26)</f>
        <v>88</v>
      </c>
      <c r="Y26" s="67" t="str">
        <f aca="false">IF(V26=0,"0 (clean title)",IF(V26&lt;=2,"1–2",IF(V26&lt;=5,"3–5","6+")))</f>
        <v>6+</v>
      </c>
      <c r="Z26" s="67" t="str">
        <f aca="false">IF(X26&lt;=30,"Short (≤30)",IF(X26&lt;=50,"Medium (31–50)","Long (51+)"))</f>
        <v>Long (51+)</v>
      </c>
      <c r="AA26" s="67" t="str">
        <f aca="false">IF(J26&lt;=10,"a) ≤10s",IF(J26&lt;=30,"b) 11–30s",IF(J26&lt;=60,"c) 31–60s",IF(J26&lt;=180,"d) 61–180s","e) Long-form 3m+"))))</f>
        <v>a) ≤10s</v>
      </c>
      <c r="AB26" s="67" t="str">
        <f aca="false">IF(K26&gt;=1000,"Breakout (1K+)",IF(K26&gt;=250,"Solid (250–999)",IF(K26&gt;=100,"Average (100–249)","Low (&lt;100)")))</f>
        <v>Average (100–249)</v>
      </c>
      <c r="AC26" s="75" t="str">
        <f aca="false">HYPERLINK("https://youtu.be/"&amp;B26,"▶ Watch")</f>
        <v>▶ Watch</v>
      </c>
    </row>
    <row r="27" customFormat="false" ht="15.75" hidden="false" customHeight="true" outlineLevel="0" collapsed="false">
      <c r="A27" s="36" t="n">
        <v>23</v>
      </c>
      <c r="B27" s="36" t="s">
        <v>409</v>
      </c>
      <c r="C27" s="36" t="s">
        <v>410</v>
      </c>
      <c r="D27" s="64" t="n">
        <v>45290</v>
      </c>
      <c r="E27" s="35" t="n">
        <f aca="false">YEAR(D27)</f>
        <v>2023</v>
      </c>
      <c r="F27" s="36" t="str">
        <f aca="false">TEXT(D27,"ddd")</f>
        <v>Sat</v>
      </c>
      <c r="G27" s="36" t="s">
        <v>273</v>
      </c>
      <c r="H27" s="36" t="s">
        <v>253</v>
      </c>
      <c r="I27" s="36" t="s">
        <v>276</v>
      </c>
      <c r="J27" s="36" t="n">
        <v>79</v>
      </c>
      <c r="K27" s="37" t="n">
        <v>178</v>
      </c>
      <c r="L27" s="52" t="n">
        <v>0.8989</v>
      </c>
      <c r="M27" s="46" t="n">
        <f aca="false">IFERROR(L27*3600/K27,0)</f>
        <v>18.18</v>
      </c>
      <c r="N27" s="49" t="n">
        <f aca="false">IFERROR(M27/J27,0)</f>
        <v>0.230126582278481</v>
      </c>
      <c r="O27" s="36" t="n">
        <v>1</v>
      </c>
      <c r="P27" s="46" t="n">
        <f aca="false">IFERROR(O27/K27*1000,0)</f>
        <v>5.61797752808989</v>
      </c>
      <c r="Q27" s="37" t="n">
        <v>4253</v>
      </c>
      <c r="R27" s="53" t="n">
        <v>0.0369</v>
      </c>
      <c r="S27" s="37" t="n">
        <f aca="false">IF(ISNUMBER(R27),ROUND(R27*Q27,0),0)</f>
        <v>157</v>
      </c>
      <c r="T27" s="37" t="n">
        <f aca="false">MAX(K27-S27,0)</f>
        <v>21</v>
      </c>
      <c r="U27" s="49" t="n">
        <f aca="false">IFERROR(T27/K27,0)</f>
        <v>0.117977528089888</v>
      </c>
      <c r="V27" s="36" t="n">
        <v>6</v>
      </c>
      <c r="W27" s="36" t="s">
        <v>287</v>
      </c>
      <c r="X27" s="36" t="n">
        <f aca="false">LEN(C27)</f>
        <v>97</v>
      </c>
      <c r="Y27" s="36" t="str">
        <f aca="false">IF(V27=0,"0 (clean title)",IF(V27&lt;=2,"1–2",IF(V27&lt;=5,"3–5","6+")))</f>
        <v>6+</v>
      </c>
      <c r="Z27" s="36" t="str">
        <f aca="false">IF(X27&lt;=30,"Short (≤30)",IF(X27&lt;=50,"Medium (31–50)","Long (51+)"))</f>
        <v>Long (51+)</v>
      </c>
      <c r="AA27" s="36" t="str">
        <f aca="false">IF(J27&lt;=10,"a) ≤10s",IF(J27&lt;=30,"b) 11–30s",IF(J27&lt;=60,"c) 31–60s",IF(J27&lt;=180,"d) 61–180s","e) Long-form 3m+"))))</f>
        <v>d) 61–180s</v>
      </c>
      <c r="AB27" s="36" t="str">
        <f aca="false">IF(K27&gt;=1000,"Breakout (1K+)",IF(K27&gt;=250,"Solid (250–999)",IF(K27&gt;=100,"Average (100–249)","Low (&lt;100)")))</f>
        <v>Average (100–249)</v>
      </c>
      <c r="AC27" s="66" t="str">
        <f aca="false">HYPERLINK("https://youtu.be/"&amp;B27,"▶ Watch")</f>
        <v>▶ Watch</v>
      </c>
    </row>
    <row r="28" customFormat="false" ht="15.75" hidden="false" customHeight="true" outlineLevel="0" collapsed="false">
      <c r="A28" s="67" t="n">
        <v>24</v>
      </c>
      <c r="B28" s="67" t="s">
        <v>411</v>
      </c>
      <c r="C28" s="67" t="s">
        <v>412</v>
      </c>
      <c r="D28" s="68" t="n">
        <v>44907</v>
      </c>
      <c r="E28" s="69" t="n">
        <f aca="false">YEAR(D28)</f>
        <v>2022</v>
      </c>
      <c r="F28" s="67" t="str">
        <f aca="false">TEXT(D28,"ddd")</f>
        <v>Mon</v>
      </c>
      <c r="G28" s="67" t="s">
        <v>273</v>
      </c>
      <c r="H28" s="67" t="s">
        <v>259</v>
      </c>
      <c r="I28" s="67" t="s">
        <v>276</v>
      </c>
      <c r="J28" s="67" t="n">
        <v>33</v>
      </c>
      <c r="K28" s="70" t="n">
        <v>165</v>
      </c>
      <c r="L28" s="71" t="n">
        <v>2.2136</v>
      </c>
      <c r="M28" s="72" t="n">
        <f aca="false">IFERROR(L28*3600/K28,0)</f>
        <v>48.2967272727273</v>
      </c>
      <c r="N28" s="73" t="n">
        <f aca="false">IFERROR(M28/J28,0)</f>
        <v>1.46353719008264</v>
      </c>
      <c r="O28" s="67" t="n">
        <v>0</v>
      </c>
      <c r="P28" s="72" t="n">
        <f aca="false">IFERROR(O28/K28*1000,0)</f>
        <v>0</v>
      </c>
      <c r="Q28" s="70" t="n">
        <v>752</v>
      </c>
      <c r="R28" s="74" t="n">
        <v>0.0359</v>
      </c>
      <c r="S28" s="70" t="n">
        <f aca="false">IF(ISNUMBER(R28),ROUND(R28*Q28,0),0)</f>
        <v>27</v>
      </c>
      <c r="T28" s="70" t="n">
        <f aca="false">MAX(K28-S28,0)</f>
        <v>138</v>
      </c>
      <c r="U28" s="73" t="n">
        <f aca="false">IFERROR(T28/K28,0)</f>
        <v>0.836363636363636</v>
      </c>
      <c r="V28" s="67" t="n">
        <v>3</v>
      </c>
      <c r="W28" s="67" t="s">
        <v>287</v>
      </c>
      <c r="X28" s="67" t="n">
        <f aca="false">LEN(C28)</f>
        <v>34</v>
      </c>
      <c r="Y28" s="67" t="str">
        <f aca="false">IF(V28=0,"0 (clean title)",IF(V28&lt;=2,"1–2",IF(V28&lt;=5,"3–5","6+")))</f>
        <v>3–5</v>
      </c>
      <c r="Z28" s="67" t="str">
        <f aca="false">IF(X28&lt;=30,"Short (≤30)",IF(X28&lt;=50,"Medium (31–50)","Long (51+)"))</f>
        <v>Medium (31–50)</v>
      </c>
      <c r="AA28" s="67" t="str">
        <f aca="false">IF(J28&lt;=10,"a) ≤10s",IF(J28&lt;=30,"b) 11–30s",IF(J28&lt;=60,"c) 31–60s",IF(J28&lt;=180,"d) 61–180s","e) Long-form 3m+"))))</f>
        <v>c) 31–60s</v>
      </c>
      <c r="AB28" s="67" t="str">
        <f aca="false">IF(K28&gt;=1000,"Breakout (1K+)",IF(K28&gt;=250,"Solid (250–999)",IF(K28&gt;=100,"Average (100–249)","Low (&lt;100)")))</f>
        <v>Average (100–249)</v>
      </c>
      <c r="AC28" s="75" t="str">
        <f aca="false">HYPERLINK("https://youtu.be/"&amp;B28,"▶ Watch")</f>
        <v>▶ Watch</v>
      </c>
    </row>
    <row r="29" customFormat="false" ht="15.75" hidden="false" customHeight="true" outlineLevel="0" collapsed="false">
      <c r="A29" s="36" t="n">
        <v>25</v>
      </c>
      <c r="B29" s="36" t="s">
        <v>413</v>
      </c>
      <c r="C29" s="36" t="s">
        <v>414</v>
      </c>
      <c r="D29" s="64" t="n">
        <v>45296</v>
      </c>
      <c r="E29" s="35" t="n">
        <f aca="false">YEAR(D29)</f>
        <v>2024</v>
      </c>
      <c r="F29" s="36" t="str">
        <f aca="false">TEXT(D29,"ddd")</f>
        <v>Fri</v>
      </c>
      <c r="G29" s="36" t="s">
        <v>273</v>
      </c>
      <c r="H29" s="36" t="s">
        <v>253</v>
      </c>
      <c r="I29" s="36" t="s">
        <v>276</v>
      </c>
      <c r="J29" s="36" t="n">
        <v>11</v>
      </c>
      <c r="K29" s="37" t="n">
        <v>155</v>
      </c>
      <c r="L29" s="52" t="n">
        <v>0.4022</v>
      </c>
      <c r="M29" s="46" t="n">
        <f aca="false">IFERROR(L29*3600/K29,0)</f>
        <v>9.34141935483871</v>
      </c>
      <c r="N29" s="49" t="n">
        <f aca="false">IFERROR(M29/J29,0)</f>
        <v>0.849219941348974</v>
      </c>
      <c r="O29" s="36" t="n">
        <v>0</v>
      </c>
      <c r="P29" s="46" t="n">
        <f aca="false">IFERROR(O29/K29*1000,0)</f>
        <v>0</v>
      </c>
      <c r="Q29" s="37" t="n">
        <v>2946</v>
      </c>
      <c r="R29" s="53" t="n">
        <v>0.0479</v>
      </c>
      <c r="S29" s="37" t="n">
        <f aca="false">IF(ISNUMBER(R29),ROUND(R29*Q29,0),0)</f>
        <v>141</v>
      </c>
      <c r="T29" s="37" t="n">
        <f aca="false">MAX(K29-S29,0)</f>
        <v>14</v>
      </c>
      <c r="U29" s="49" t="n">
        <f aca="false">IFERROR(T29/K29,0)</f>
        <v>0.0903225806451613</v>
      </c>
      <c r="V29" s="36" t="n">
        <v>6</v>
      </c>
      <c r="W29" s="36" t="s">
        <v>287</v>
      </c>
      <c r="X29" s="36" t="n">
        <f aca="false">LEN(C29)</f>
        <v>100</v>
      </c>
      <c r="Y29" s="36" t="str">
        <f aca="false">IF(V29=0,"0 (clean title)",IF(V29&lt;=2,"1–2",IF(V29&lt;=5,"3–5","6+")))</f>
        <v>6+</v>
      </c>
      <c r="Z29" s="36" t="str">
        <f aca="false">IF(X29&lt;=30,"Short (≤30)",IF(X29&lt;=50,"Medium (31–50)","Long (51+)"))</f>
        <v>Long (51+)</v>
      </c>
      <c r="AA29" s="36" t="str">
        <f aca="false">IF(J29&lt;=10,"a) ≤10s",IF(J29&lt;=30,"b) 11–30s",IF(J29&lt;=60,"c) 31–60s",IF(J29&lt;=180,"d) 61–180s","e) Long-form 3m+"))))</f>
        <v>b) 11–30s</v>
      </c>
      <c r="AB29" s="36" t="str">
        <f aca="false">IF(K29&gt;=1000,"Breakout (1K+)",IF(K29&gt;=250,"Solid (250–999)",IF(K29&gt;=100,"Average (100–249)","Low (&lt;100)")))</f>
        <v>Average (100–249)</v>
      </c>
      <c r="AC29" s="66" t="str">
        <f aca="false">HYPERLINK("https://youtu.be/"&amp;B29,"▶ Watch")</f>
        <v>▶ Watch</v>
      </c>
    </row>
    <row r="30" customFormat="false" ht="15.75" hidden="false" customHeight="true" outlineLevel="0" collapsed="false">
      <c r="A30" s="67" t="n">
        <v>26</v>
      </c>
      <c r="B30" s="67" t="s">
        <v>415</v>
      </c>
      <c r="C30" s="67" t="s">
        <v>416</v>
      </c>
      <c r="D30" s="68" t="n">
        <v>44890</v>
      </c>
      <c r="E30" s="69" t="n">
        <f aca="false">YEAR(D30)</f>
        <v>2022</v>
      </c>
      <c r="F30" s="67" t="str">
        <f aca="false">TEXT(D30,"ddd")</f>
        <v>Fri</v>
      </c>
      <c r="G30" s="67" t="s">
        <v>273</v>
      </c>
      <c r="H30" s="67" t="s">
        <v>262</v>
      </c>
      <c r="I30" s="67" t="s">
        <v>276</v>
      </c>
      <c r="J30" s="67" t="n">
        <v>11</v>
      </c>
      <c r="K30" s="70" t="n">
        <v>152</v>
      </c>
      <c r="L30" s="71" t="n">
        <v>0.3393</v>
      </c>
      <c r="M30" s="72" t="n">
        <f aca="false">IFERROR(L30*3600/K30,0)</f>
        <v>8.03605263157895</v>
      </c>
      <c r="N30" s="73" t="n">
        <f aca="false">IFERROR(M30/J30,0)</f>
        <v>0.73055023923445</v>
      </c>
      <c r="O30" s="67" t="n">
        <v>0</v>
      </c>
      <c r="P30" s="72" t="n">
        <f aca="false">IFERROR(O30/K30*1000,0)</f>
        <v>0</v>
      </c>
      <c r="Q30" s="70" t="n">
        <v>2823</v>
      </c>
      <c r="R30" s="74" t="n">
        <v>0.022</v>
      </c>
      <c r="S30" s="70" t="n">
        <f aca="false">IF(ISNUMBER(R30),ROUND(R30*Q30,0),0)</f>
        <v>62</v>
      </c>
      <c r="T30" s="70" t="n">
        <f aca="false">MAX(K30-S30,0)</f>
        <v>90</v>
      </c>
      <c r="U30" s="73" t="n">
        <f aca="false">IFERROR(T30/K30,0)</f>
        <v>0.592105263157895</v>
      </c>
      <c r="V30" s="67" t="n">
        <v>3</v>
      </c>
      <c r="W30" s="67" t="s">
        <v>287</v>
      </c>
      <c r="X30" s="67" t="n">
        <f aca="false">LEN(C30)</f>
        <v>45</v>
      </c>
      <c r="Y30" s="67" t="str">
        <f aca="false">IF(V30=0,"0 (clean title)",IF(V30&lt;=2,"1–2",IF(V30&lt;=5,"3–5","6+")))</f>
        <v>3–5</v>
      </c>
      <c r="Z30" s="67" t="str">
        <f aca="false">IF(X30&lt;=30,"Short (≤30)",IF(X30&lt;=50,"Medium (31–50)","Long (51+)"))</f>
        <v>Medium (31–50)</v>
      </c>
      <c r="AA30" s="67" t="str">
        <f aca="false">IF(J30&lt;=10,"a) ≤10s",IF(J30&lt;=30,"b) 11–30s",IF(J30&lt;=60,"c) 31–60s",IF(J30&lt;=180,"d) 61–180s","e) Long-form 3m+"))))</f>
        <v>b) 11–30s</v>
      </c>
      <c r="AB30" s="67" t="str">
        <f aca="false">IF(K30&gt;=1000,"Breakout (1K+)",IF(K30&gt;=250,"Solid (250–999)",IF(K30&gt;=100,"Average (100–249)","Low (&lt;100)")))</f>
        <v>Average (100–249)</v>
      </c>
      <c r="AC30" s="75" t="str">
        <f aca="false">HYPERLINK("https://youtu.be/"&amp;B30,"▶ Watch")</f>
        <v>▶ Watch</v>
      </c>
    </row>
    <row r="31" customFormat="false" ht="15.75" hidden="false" customHeight="true" outlineLevel="0" collapsed="false">
      <c r="A31" s="36" t="n">
        <v>27</v>
      </c>
      <c r="B31" s="36" t="s">
        <v>417</v>
      </c>
      <c r="C31" s="36" t="s">
        <v>418</v>
      </c>
      <c r="D31" s="64" t="n">
        <v>46194</v>
      </c>
      <c r="E31" s="35" t="n">
        <f aca="false">YEAR(D31)</f>
        <v>2026</v>
      </c>
      <c r="F31" s="36" t="str">
        <f aca="false">TEXT(D31,"ddd")</f>
        <v>Sun</v>
      </c>
      <c r="G31" s="36" t="s">
        <v>273</v>
      </c>
      <c r="H31" s="36" t="s">
        <v>250</v>
      </c>
      <c r="I31" s="36" t="s">
        <v>277</v>
      </c>
      <c r="J31" s="36" t="n">
        <v>5</v>
      </c>
      <c r="K31" s="37" t="n">
        <v>148</v>
      </c>
      <c r="L31" s="52" t="n">
        <v>0.0816</v>
      </c>
      <c r="M31" s="46" t="n">
        <f aca="false">IFERROR(L31*3600/K31,0)</f>
        <v>1.98486486486487</v>
      </c>
      <c r="N31" s="49" t="n">
        <f aca="false">IFERROR(M31/J31,0)</f>
        <v>0.396972972972973</v>
      </c>
      <c r="O31" s="36" t="n">
        <v>0</v>
      </c>
      <c r="P31" s="46" t="n">
        <f aca="false">IFERROR(O31/K31*1000,0)</f>
        <v>0</v>
      </c>
      <c r="Q31" s="37" t="n">
        <v>21</v>
      </c>
      <c r="R31" s="53" t="n">
        <v>0</v>
      </c>
      <c r="S31" s="37" t="n">
        <f aca="false">IF(ISNUMBER(R31),ROUND(R31*Q31,0),0)</f>
        <v>0</v>
      </c>
      <c r="T31" s="37" t="n">
        <f aca="false">MAX(K31-S31,0)</f>
        <v>148</v>
      </c>
      <c r="U31" s="49" t="n">
        <f aca="false">IFERROR(T31/K31,0)</f>
        <v>1</v>
      </c>
      <c r="V31" s="36" t="n">
        <v>0</v>
      </c>
      <c r="W31" s="36" t="s">
        <v>286</v>
      </c>
      <c r="X31" s="36" t="n">
        <f aca="false">LEN(C31)</f>
        <v>23</v>
      </c>
      <c r="Y31" s="36" t="str">
        <f aca="false">IF(V31=0,"0 (clean title)",IF(V31&lt;=2,"1–2",IF(V31&lt;=5,"3–5","6+")))</f>
        <v>0 (clean title)</v>
      </c>
      <c r="Z31" s="36" t="str">
        <f aca="false">IF(X31&lt;=30,"Short (≤30)",IF(X31&lt;=50,"Medium (31–50)","Long (51+)"))</f>
        <v>Short (≤30)</v>
      </c>
      <c r="AA31" s="36" t="str">
        <f aca="false">IF(J31&lt;=10,"a) ≤10s",IF(J31&lt;=30,"b) 11–30s",IF(J31&lt;=60,"c) 31–60s",IF(J31&lt;=180,"d) 61–180s","e) Long-form 3m+"))))</f>
        <v>a) ≤10s</v>
      </c>
      <c r="AB31" s="36" t="str">
        <f aca="false">IF(K31&gt;=1000,"Breakout (1K+)",IF(K31&gt;=250,"Solid (250–999)",IF(K31&gt;=100,"Average (100–249)","Low (&lt;100)")))</f>
        <v>Average (100–249)</v>
      </c>
      <c r="AC31" s="66" t="str">
        <f aca="false">HYPERLINK("https://youtu.be/"&amp;B31,"▶ Watch")</f>
        <v>▶ Watch</v>
      </c>
    </row>
    <row r="32" customFormat="false" ht="15.75" hidden="false" customHeight="true" outlineLevel="0" collapsed="false">
      <c r="A32" s="67" t="n">
        <v>28</v>
      </c>
      <c r="B32" s="67" t="s">
        <v>419</v>
      </c>
      <c r="C32" s="67" t="s">
        <v>420</v>
      </c>
      <c r="D32" s="68" t="n">
        <v>45024</v>
      </c>
      <c r="E32" s="69" t="n">
        <f aca="false">YEAR(D32)</f>
        <v>2023</v>
      </c>
      <c r="F32" s="67" t="str">
        <f aca="false">TEXT(D32,"ddd")</f>
        <v>Sat</v>
      </c>
      <c r="G32" s="67" t="s">
        <v>273</v>
      </c>
      <c r="H32" s="67" t="s">
        <v>259</v>
      </c>
      <c r="I32" s="67" t="s">
        <v>276</v>
      </c>
      <c r="J32" s="67" t="n">
        <v>61</v>
      </c>
      <c r="K32" s="70" t="n">
        <v>147</v>
      </c>
      <c r="L32" s="71" t="n">
        <v>0.597</v>
      </c>
      <c r="M32" s="72" t="n">
        <f aca="false">IFERROR(L32*3600/K32,0)</f>
        <v>14.6204081632653</v>
      </c>
      <c r="N32" s="73" t="n">
        <f aca="false">IFERROR(M32/J32,0)</f>
        <v>0.239678822348612</v>
      </c>
      <c r="O32" s="67" t="n">
        <v>1</v>
      </c>
      <c r="P32" s="72" t="n">
        <f aca="false">IFERROR(O32/K32*1000,0)</f>
        <v>6.80272108843537</v>
      </c>
      <c r="Q32" s="70" t="n">
        <v>506</v>
      </c>
      <c r="R32" s="74" t="n">
        <v>0.0356</v>
      </c>
      <c r="S32" s="70" t="n">
        <f aca="false">IF(ISNUMBER(R32),ROUND(R32*Q32,0),0)</f>
        <v>18</v>
      </c>
      <c r="T32" s="70" t="n">
        <f aca="false">MAX(K32-S32,0)</f>
        <v>129</v>
      </c>
      <c r="U32" s="73" t="n">
        <f aca="false">IFERROR(T32/K32,0)</f>
        <v>0.877551020408163</v>
      </c>
      <c r="V32" s="67" t="n">
        <v>11</v>
      </c>
      <c r="W32" s="67" t="s">
        <v>287</v>
      </c>
      <c r="X32" s="67" t="n">
        <f aca="false">LEN(C32)</f>
        <v>93</v>
      </c>
      <c r="Y32" s="67" t="str">
        <f aca="false">IF(V32=0,"0 (clean title)",IF(V32&lt;=2,"1–2",IF(V32&lt;=5,"3–5","6+")))</f>
        <v>6+</v>
      </c>
      <c r="Z32" s="67" t="str">
        <f aca="false">IF(X32&lt;=30,"Short (≤30)",IF(X32&lt;=50,"Medium (31–50)","Long (51+)"))</f>
        <v>Long (51+)</v>
      </c>
      <c r="AA32" s="67" t="str">
        <f aca="false">IF(J32&lt;=10,"a) ≤10s",IF(J32&lt;=30,"b) 11–30s",IF(J32&lt;=60,"c) 31–60s",IF(J32&lt;=180,"d) 61–180s","e) Long-form 3m+"))))</f>
        <v>d) 61–180s</v>
      </c>
      <c r="AB32" s="67" t="str">
        <f aca="false">IF(K32&gt;=1000,"Breakout (1K+)",IF(K32&gt;=250,"Solid (250–999)",IF(K32&gt;=100,"Average (100–249)","Low (&lt;100)")))</f>
        <v>Average (100–249)</v>
      </c>
      <c r="AC32" s="75" t="str">
        <f aca="false">HYPERLINK("https://youtu.be/"&amp;B32,"▶ Watch")</f>
        <v>▶ Watch</v>
      </c>
    </row>
    <row r="33" customFormat="false" ht="15.75" hidden="false" customHeight="true" outlineLevel="0" collapsed="false">
      <c r="A33" s="36" t="n">
        <v>29</v>
      </c>
      <c r="B33" s="36" t="s">
        <v>421</v>
      </c>
      <c r="C33" s="36" t="s">
        <v>422</v>
      </c>
      <c r="D33" s="64" t="n">
        <v>45570</v>
      </c>
      <c r="E33" s="35" t="n">
        <f aca="false">YEAR(D33)</f>
        <v>2024</v>
      </c>
      <c r="F33" s="36" t="str">
        <f aca="false">TEXT(D33,"ddd")</f>
        <v>Sat</v>
      </c>
      <c r="G33" s="36" t="s">
        <v>151</v>
      </c>
      <c r="H33" s="36" t="s">
        <v>259</v>
      </c>
      <c r="I33" s="36" t="s">
        <v>276</v>
      </c>
      <c r="J33" s="36" t="n">
        <v>1663</v>
      </c>
      <c r="K33" s="37" t="n">
        <v>145</v>
      </c>
      <c r="L33" s="52" t="n">
        <v>2.8092</v>
      </c>
      <c r="M33" s="46" t="n">
        <f aca="false">IFERROR(L33*3600/K33,0)</f>
        <v>69.7456551724138</v>
      </c>
      <c r="N33" s="49" t="n">
        <f aca="false">IFERROR(M33/J33,0)</f>
        <v>0.041939660356232</v>
      </c>
      <c r="O33" s="36" t="n">
        <v>-1</v>
      </c>
      <c r="P33" s="46" t="n">
        <f aca="false">IFERROR(O33/K33*1000,0)</f>
        <v>-6.89655172413793</v>
      </c>
      <c r="Q33" s="37" t="n">
        <v>1523</v>
      </c>
      <c r="R33" s="53" t="n">
        <v>0.0735</v>
      </c>
      <c r="S33" s="37" t="n">
        <f aca="false">IF(ISNUMBER(R33),ROUND(R33*Q33,0),0)</f>
        <v>112</v>
      </c>
      <c r="T33" s="37" t="n">
        <f aca="false">MAX(K33-S33,0)</f>
        <v>33</v>
      </c>
      <c r="U33" s="49" t="n">
        <f aca="false">IFERROR(T33/K33,0)</f>
        <v>0.227586206896552</v>
      </c>
      <c r="V33" s="36" t="n">
        <v>0</v>
      </c>
      <c r="W33" s="36" t="s">
        <v>287</v>
      </c>
      <c r="X33" s="36" t="n">
        <f aca="false">LEN(C33)</f>
        <v>42</v>
      </c>
      <c r="Y33" s="36" t="str">
        <f aca="false">IF(V33=0,"0 (clean title)",IF(V33&lt;=2,"1–2",IF(V33&lt;=5,"3–5","6+")))</f>
        <v>0 (clean title)</v>
      </c>
      <c r="Z33" s="36" t="str">
        <f aca="false">IF(X33&lt;=30,"Short (≤30)",IF(X33&lt;=50,"Medium (31–50)","Long (51+)"))</f>
        <v>Medium (31–50)</v>
      </c>
      <c r="AA33" s="36" t="str">
        <f aca="false">IF(J33&lt;=10,"a) ≤10s",IF(J33&lt;=30,"b) 11–30s",IF(J33&lt;=60,"c) 31–60s",IF(J33&lt;=180,"d) 61–180s","e) Long-form 3m+"))))</f>
        <v>e) Long-form 3m+</v>
      </c>
      <c r="AB33" s="36" t="str">
        <f aca="false">IF(K33&gt;=1000,"Breakout (1K+)",IF(K33&gt;=250,"Solid (250–999)",IF(K33&gt;=100,"Average (100–249)","Low (&lt;100)")))</f>
        <v>Average (100–249)</v>
      </c>
      <c r="AC33" s="66" t="str">
        <f aca="false">HYPERLINK("https://youtu.be/"&amp;B33,"▶ Watch")</f>
        <v>▶ Watch</v>
      </c>
    </row>
    <row r="34" customFormat="false" ht="15.75" hidden="false" customHeight="true" outlineLevel="0" collapsed="false">
      <c r="A34" s="67" t="n">
        <v>30</v>
      </c>
      <c r="B34" s="67" t="s">
        <v>423</v>
      </c>
      <c r="C34" s="67" t="s">
        <v>424</v>
      </c>
      <c r="D34" s="68" t="n">
        <v>44915</v>
      </c>
      <c r="E34" s="69" t="n">
        <f aca="false">YEAR(D34)</f>
        <v>2022</v>
      </c>
      <c r="F34" s="67" t="str">
        <f aca="false">TEXT(D34,"ddd")</f>
        <v>Tue</v>
      </c>
      <c r="G34" s="67" t="s">
        <v>273</v>
      </c>
      <c r="H34" s="67" t="s">
        <v>259</v>
      </c>
      <c r="I34" s="67" t="s">
        <v>276</v>
      </c>
      <c r="J34" s="67" t="n">
        <v>32</v>
      </c>
      <c r="K34" s="70" t="n">
        <v>136</v>
      </c>
      <c r="L34" s="71" t="n">
        <v>0.3933</v>
      </c>
      <c r="M34" s="72" t="n">
        <f aca="false">IFERROR(L34*3600/K34,0)</f>
        <v>10.4108823529412</v>
      </c>
      <c r="N34" s="73" t="n">
        <f aca="false">IFERROR(M34/J34,0)</f>
        <v>0.325340073529412</v>
      </c>
      <c r="O34" s="67" t="n">
        <v>0</v>
      </c>
      <c r="P34" s="72" t="n">
        <f aca="false">IFERROR(O34/K34*1000,0)</f>
        <v>0</v>
      </c>
      <c r="Q34" s="70" t="n">
        <v>1970</v>
      </c>
      <c r="R34" s="74" t="n">
        <v>0.0431</v>
      </c>
      <c r="S34" s="70" t="n">
        <f aca="false">IF(ISNUMBER(R34),ROUND(R34*Q34,0),0)</f>
        <v>85</v>
      </c>
      <c r="T34" s="70" t="n">
        <f aca="false">MAX(K34-S34,0)</f>
        <v>51</v>
      </c>
      <c r="U34" s="73" t="n">
        <f aca="false">IFERROR(T34/K34,0)</f>
        <v>0.375</v>
      </c>
      <c r="V34" s="67" t="n">
        <v>5</v>
      </c>
      <c r="W34" s="67" t="s">
        <v>287</v>
      </c>
      <c r="X34" s="67" t="n">
        <f aca="false">LEN(C34)</f>
        <v>51</v>
      </c>
      <c r="Y34" s="67" t="str">
        <f aca="false">IF(V34=0,"0 (clean title)",IF(V34&lt;=2,"1–2",IF(V34&lt;=5,"3–5","6+")))</f>
        <v>3–5</v>
      </c>
      <c r="Z34" s="67" t="str">
        <f aca="false">IF(X34&lt;=30,"Short (≤30)",IF(X34&lt;=50,"Medium (31–50)","Long (51+)"))</f>
        <v>Long (51+)</v>
      </c>
      <c r="AA34" s="67" t="str">
        <f aca="false">IF(J34&lt;=10,"a) ≤10s",IF(J34&lt;=30,"b) 11–30s",IF(J34&lt;=60,"c) 31–60s",IF(J34&lt;=180,"d) 61–180s","e) Long-form 3m+"))))</f>
        <v>c) 31–60s</v>
      </c>
      <c r="AB34" s="67" t="str">
        <f aca="false">IF(K34&gt;=1000,"Breakout (1K+)",IF(K34&gt;=250,"Solid (250–999)",IF(K34&gt;=100,"Average (100–249)","Low (&lt;100)")))</f>
        <v>Average (100–249)</v>
      </c>
      <c r="AC34" s="75" t="str">
        <f aca="false">HYPERLINK("https://youtu.be/"&amp;B34,"▶ Watch")</f>
        <v>▶ Watch</v>
      </c>
    </row>
    <row r="35" customFormat="false" ht="15.75" hidden="false" customHeight="true" outlineLevel="0" collapsed="false">
      <c r="A35" s="36" t="n">
        <v>31</v>
      </c>
      <c r="B35" s="36" t="s">
        <v>425</v>
      </c>
      <c r="C35" s="36" t="s">
        <v>408</v>
      </c>
      <c r="D35" s="64" t="n">
        <v>45062</v>
      </c>
      <c r="E35" s="35" t="n">
        <f aca="false">YEAR(D35)</f>
        <v>2023</v>
      </c>
      <c r="F35" s="36" t="str">
        <f aca="false">TEXT(D35,"ddd")</f>
        <v>Tue</v>
      </c>
      <c r="G35" s="36" t="s">
        <v>273</v>
      </c>
      <c r="H35" s="36" t="s">
        <v>256</v>
      </c>
      <c r="I35" s="36" t="s">
        <v>276</v>
      </c>
      <c r="J35" s="36" t="n">
        <v>10</v>
      </c>
      <c r="K35" s="37" t="n">
        <v>131</v>
      </c>
      <c r="L35" s="52" t="n">
        <v>0.2948</v>
      </c>
      <c r="M35" s="46" t="n">
        <f aca="false">IFERROR(L35*3600/K35,0)</f>
        <v>8.10137404580153</v>
      </c>
      <c r="N35" s="49" t="n">
        <f aca="false">IFERROR(M35/J35,0)</f>
        <v>0.810137404580153</v>
      </c>
      <c r="O35" s="36" t="n">
        <v>0</v>
      </c>
      <c r="P35" s="46" t="n">
        <f aca="false">IFERROR(O35/K35*1000,0)</f>
        <v>0</v>
      </c>
      <c r="Q35" s="37" t="n">
        <v>662</v>
      </c>
      <c r="R35" s="53" t="n">
        <v>0.0106</v>
      </c>
      <c r="S35" s="37" t="n">
        <f aca="false">IF(ISNUMBER(R35),ROUND(R35*Q35,0),0)</f>
        <v>7</v>
      </c>
      <c r="T35" s="37" t="n">
        <f aca="false">MAX(K35-S35,0)</f>
        <v>124</v>
      </c>
      <c r="U35" s="49" t="n">
        <f aca="false">IFERROR(T35/K35,0)</f>
        <v>0.946564885496183</v>
      </c>
      <c r="V35" s="36" t="n">
        <v>7</v>
      </c>
      <c r="W35" s="36" t="s">
        <v>287</v>
      </c>
      <c r="X35" s="36" t="n">
        <f aca="false">LEN(C35)</f>
        <v>88</v>
      </c>
      <c r="Y35" s="36" t="str">
        <f aca="false">IF(V35=0,"0 (clean title)",IF(V35&lt;=2,"1–2",IF(V35&lt;=5,"3–5","6+")))</f>
        <v>6+</v>
      </c>
      <c r="Z35" s="36" t="str">
        <f aca="false">IF(X35&lt;=30,"Short (≤30)",IF(X35&lt;=50,"Medium (31–50)","Long (51+)"))</f>
        <v>Long (51+)</v>
      </c>
      <c r="AA35" s="36" t="str">
        <f aca="false">IF(J35&lt;=10,"a) ≤10s",IF(J35&lt;=30,"b) 11–30s",IF(J35&lt;=60,"c) 31–60s",IF(J35&lt;=180,"d) 61–180s","e) Long-form 3m+"))))</f>
        <v>a) ≤10s</v>
      </c>
      <c r="AB35" s="36" t="str">
        <f aca="false">IF(K35&gt;=1000,"Breakout (1K+)",IF(K35&gt;=250,"Solid (250–999)",IF(K35&gt;=100,"Average (100–249)","Low (&lt;100)")))</f>
        <v>Average (100–249)</v>
      </c>
      <c r="AC35" s="66" t="str">
        <f aca="false">HYPERLINK("https://youtu.be/"&amp;B35,"▶ Watch")</f>
        <v>▶ Watch</v>
      </c>
    </row>
    <row r="36" customFormat="false" ht="15.75" hidden="false" customHeight="true" outlineLevel="0" collapsed="false">
      <c r="A36" s="67" t="n">
        <v>32</v>
      </c>
      <c r="B36" s="67" t="s">
        <v>426</v>
      </c>
      <c r="C36" s="67" t="s">
        <v>427</v>
      </c>
      <c r="D36" s="68" t="n">
        <v>44955</v>
      </c>
      <c r="E36" s="69" t="n">
        <f aca="false">YEAR(D36)</f>
        <v>2023</v>
      </c>
      <c r="F36" s="67" t="str">
        <f aca="false">TEXT(D36,"ddd")</f>
        <v>Sun</v>
      </c>
      <c r="G36" s="67" t="s">
        <v>273</v>
      </c>
      <c r="H36" s="67" t="s">
        <v>259</v>
      </c>
      <c r="I36" s="67" t="s">
        <v>276</v>
      </c>
      <c r="J36" s="67" t="n">
        <v>32</v>
      </c>
      <c r="K36" s="70" t="n">
        <v>130</v>
      </c>
      <c r="L36" s="71" t="n">
        <v>0.7543</v>
      </c>
      <c r="M36" s="72" t="n">
        <f aca="false">IFERROR(L36*3600/K36,0)</f>
        <v>20.8883076923077</v>
      </c>
      <c r="N36" s="73" t="n">
        <f aca="false">IFERROR(M36/J36,0)</f>
        <v>0.652759615384615</v>
      </c>
      <c r="O36" s="67" t="n">
        <v>0</v>
      </c>
      <c r="P36" s="72" t="n">
        <f aca="false">IFERROR(O36/K36*1000,0)</f>
        <v>0</v>
      </c>
      <c r="Q36" s="70" t="n">
        <v>211</v>
      </c>
      <c r="R36" s="74" t="n">
        <v>0.0095</v>
      </c>
      <c r="S36" s="70" t="n">
        <f aca="false">IF(ISNUMBER(R36),ROUND(R36*Q36,0),0)</f>
        <v>2</v>
      </c>
      <c r="T36" s="70" t="n">
        <f aca="false">MAX(K36-S36,0)</f>
        <v>128</v>
      </c>
      <c r="U36" s="73" t="n">
        <f aca="false">IFERROR(T36/K36,0)</f>
        <v>0.984615384615385</v>
      </c>
      <c r="V36" s="67" t="n">
        <v>10</v>
      </c>
      <c r="W36" s="67" t="s">
        <v>287</v>
      </c>
      <c r="X36" s="67" t="n">
        <f aca="false">LEN(C36)</f>
        <v>93</v>
      </c>
      <c r="Y36" s="67" t="str">
        <f aca="false">IF(V36=0,"0 (clean title)",IF(V36&lt;=2,"1–2",IF(V36&lt;=5,"3–5","6+")))</f>
        <v>6+</v>
      </c>
      <c r="Z36" s="67" t="str">
        <f aca="false">IF(X36&lt;=30,"Short (≤30)",IF(X36&lt;=50,"Medium (31–50)","Long (51+)"))</f>
        <v>Long (51+)</v>
      </c>
      <c r="AA36" s="67" t="str">
        <f aca="false">IF(J36&lt;=10,"a) ≤10s",IF(J36&lt;=30,"b) 11–30s",IF(J36&lt;=60,"c) 31–60s",IF(J36&lt;=180,"d) 61–180s","e) Long-form 3m+"))))</f>
        <v>c) 31–60s</v>
      </c>
      <c r="AB36" s="67" t="str">
        <f aca="false">IF(K36&gt;=1000,"Breakout (1K+)",IF(K36&gt;=250,"Solid (250–999)",IF(K36&gt;=100,"Average (100–249)","Low (&lt;100)")))</f>
        <v>Average (100–249)</v>
      </c>
      <c r="AC36" s="75" t="str">
        <f aca="false">HYPERLINK("https://youtu.be/"&amp;B36,"▶ Watch")</f>
        <v>▶ Watch</v>
      </c>
    </row>
    <row r="37" customFormat="false" ht="15.75" hidden="false" customHeight="true" outlineLevel="0" collapsed="false">
      <c r="A37" s="36" t="n">
        <v>33</v>
      </c>
      <c r="B37" s="36" t="s">
        <v>428</v>
      </c>
      <c r="C37" s="36" t="s">
        <v>429</v>
      </c>
      <c r="D37" s="64" t="n">
        <v>44911</v>
      </c>
      <c r="E37" s="35" t="n">
        <f aca="false">YEAR(D37)</f>
        <v>2022</v>
      </c>
      <c r="F37" s="36" t="str">
        <f aca="false">TEXT(D37,"ddd")</f>
        <v>Fri</v>
      </c>
      <c r="G37" s="36" t="s">
        <v>273</v>
      </c>
      <c r="H37" s="36" t="s">
        <v>262</v>
      </c>
      <c r="I37" s="36" t="s">
        <v>276</v>
      </c>
      <c r="J37" s="36" t="n">
        <v>11</v>
      </c>
      <c r="K37" s="37" t="n">
        <v>129</v>
      </c>
      <c r="L37" s="52" t="n">
        <v>0.2729</v>
      </c>
      <c r="M37" s="46" t="n">
        <f aca="false">IFERROR(L37*3600/K37,0)</f>
        <v>7.61581395348837</v>
      </c>
      <c r="N37" s="49" t="n">
        <f aca="false">IFERROR(M37/J37,0)</f>
        <v>0.692346723044398</v>
      </c>
      <c r="O37" s="36" t="n">
        <v>1</v>
      </c>
      <c r="P37" s="46" t="n">
        <f aca="false">IFERROR(O37/K37*1000,0)</f>
        <v>7.75193798449612</v>
      </c>
      <c r="Q37" s="37" t="n">
        <v>2828</v>
      </c>
      <c r="R37" s="53" t="n">
        <v>0.0145</v>
      </c>
      <c r="S37" s="37" t="n">
        <f aca="false">IF(ISNUMBER(R37),ROUND(R37*Q37,0),0)</f>
        <v>41</v>
      </c>
      <c r="T37" s="37" t="n">
        <f aca="false">MAX(K37-S37,0)</f>
        <v>88</v>
      </c>
      <c r="U37" s="49" t="n">
        <f aca="false">IFERROR(T37/K37,0)</f>
        <v>0.682170542635659</v>
      </c>
      <c r="V37" s="36" t="n">
        <v>7</v>
      </c>
      <c r="W37" s="36" t="s">
        <v>287</v>
      </c>
      <c r="X37" s="36" t="n">
        <f aca="false">LEN(C37)</f>
        <v>78</v>
      </c>
      <c r="Y37" s="36" t="str">
        <f aca="false">IF(V37=0,"0 (clean title)",IF(V37&lt;=2,"1–2",IF(V37&lt;=5,"3–5","6+")))</f>
        <v>6+</v>
      </c>
      <c r="Z37" s="36" t="str">
        <f aca="false">IF(X37&lt;=30,"Short (≤30)",IF(X37&lt;=50,"Medium (31–50)","Long (51+)"))</f>
        <v>Long (51+)</v>
      </c>
      <c r="AA37" s="36" t="str">
        <f aca="false">IF(J37&lt;=10,"a) ≤10s",IF(J37&lt;=30,"b) 11–30s",IF(J37&lt;=60,"c) 31–60s",IF(J37&lt;=180,"d) 61–180s","e) Long-form 3m+"))))</f>
        <v>b) 11–30s</v>
      </c>
      <c r="AB37" s="36" t="str">
        <f aca="false">IF(K37&gt;=1000,"Breakout (1K+)",IF(K37&gt;=250,"Solid (250–999)",IF(K37&gt;=100,"Average (100–249)","Low (&lt;100)")))</f>
        <v>Average (100–249)</v>
      </c>
      <c r="AC37" s="66" t="str">
        <f aca="false">HYPERLINK("https://youtu.be/"&amp;B37,"▶ Watch")</f>
        <v>▶ Watch</v>
      </c>
    </row>
    <row r="38" customFormat="false" ht="15.75" hidden="false" customHeight="true" outlineLevel="0" collapsed="false">
      <c r="A38" s="67" t="n">
        <v>34</v>
      </c>
      <c r="B38" s="67" t="s">
        <v>430</v>
      </c>
      <c r="C38" s="67" t="s">
        <v>431</v>
      </c>
      <c r="D38" s="68" t="n">
        <v>44997</v>
      </c>
      <c r="E38" s="69" t="n">
        <f aca="false">YEAR(D38)</f>
        <v>2023</v>
      </c>
      <c r="F38" s="67" t="str">
        <f aca="false">TEXT(D38,"ddd")</f>
        <v>Sun</v>
      </c>
      <c r="G38" s="67" t="s">
        <v>273</v>
      </c>
      <c r="H38" s="67" t="s">
        <v>262</v>
      </c>
      <c r="I38" s="67" t="s">
        <v>276</v>
      </c>
      <c r="J38" s="67" t="n">
        <v>24</v>
      </c>
      <c r="K38" s="70" t="n">
        <v>129</v>
      </c>
      <c r="L38" s="71" t="n">
        <v>0.354</v>
      </c>
      <c r="M38" s="72" t="n">
        <f aca="false">IFERROR(L38*3600/K38,0)</f>
        <v>9.87906976744186</v>
      </c>
      <c r="N38" s="73" t="n">
        <f aca="false">IFERROR(M38/J38,0)</f>
        <v>0.411627906976744</v>
      </c>
      <c r="O38" s="67" t="n">
        <v>0</v>
      </c>
      <c r="P38" s="72" t="n">
        <f aca="false">IFERROR(O38/K38*1000,0)</f>
        <v>0</v>
      </c>
      <c r="Q38" s="70" t="n">
        <v>1474</v>
      </c>
      <c r="R38" s="74" t="n">
        <v>0.0217</v>
      </c>
      <c r="S38" s="70" t="n">
        <f aca="false">IF(ISNUMBER(R38),ROUND(R38*Q38,0),0)</f>
        <v>32</v>
      </c>
      <c r="T38" s="70" t="n">
        <f aca="false">MAX(K38-S38,0)</f>
        <v>97</v>
      </c>
      <c r="U38" s="73" t="n">
        <f aca="false">IFERROR(T38/K38,0)</f>
        <v>0.751937984496124</v>
      </c>
      <c r="V38" s="67" t="n">
        <v>9</v>
      </c>
      <c r="W38" s="67" t="s">
        <v>287</v>
      </c>
      <c r="X38" s="67" t="n">
        <f aca="false">LEN(C38)</f>
        <v>88</v>
      </c>
      <c r="Y38" s="67" t="str">
        <f aca="false">IF(V38=0,"0 (clean title)",IF(V38&lt;=2,"1–2",IF(V38&lt;=5,"3–5","6+")))</f>
        <v>6+</v>
      </c>
      <c r="Z38" s="67" t="str">
        <f aca="false">IF(X38&lt;=30,"Short (≤30)",IF(X38&lt;=50,"Medium (31–50)","Long (51+)"))</f>
        <v>Long (51+)</v>
      </c>
      <c r="AA38" s="67" t="str">
        <f aca="false">IF(J38&lt;=10,"a) ≤10s",IF(J38&lt;=30,"b) 11–30s",IF(J38&lt;=60,"c) 31–60s",IF(J38&lt;=180,"d) 61–180s","e) Long-form 3m+"))))</f>
        <v>b) 11–30s</v>
      </c>
      <c r="AB38" s="67" t="str">
        <f aca="false">IF(K38&gt;=1000,"Breakout (1K+)",IF(K38&gt;=250,"Solid (250–999)",IF(K38&gt;=100,"Average (100–249)","Low (&lt;100)")))</f>
        <v>Average (100–249)</v>
      </c>
      <c r="AC38" s="75" t="str">
        <f aca="false">HYPERLINK("https://youtu.be/"&amp;B38,"▶ Watch")</f>
        <v>▶ Watch</v>
      </c>
    </row>
    <row r="39" customFormat="false" ht="15.75" hidden="false" customHeight="true" outlineLevel="0" collapsed="false">
      <c r="A39" s="36" t="n">
        <v>35</v>
      </c>
      <c r="B39" s="36" t="s">
        <v>432</v>
      </c>
      <c r="C39" s="36" t="s">
        <v>433</v>
      </c>
      <c r="D39" s="64" t="n">
        <v>45021</v>
      </c>
      <c r="E39" s="35" t="n">
        <f aca="false">YEAR(D39)</f>
        <v>2023</v>
      </c>
      <c r="F39" s="36" t="str">
        <f aca="false">TEXT(D39,"ddd")</f>
        <v>Wed</v>
      </c>
      <c r="G39" s="36" t="s">
        <v>273</v>
      </c>
      <c r="H39" s="36" t="s">
        <v>259</v>
      </c>
      <c r="I39" s="36" t="s">
        <v>276</v>
      </c>
      <c r="J39" s="36" t="n">
        <v>11</v>
      </c>
      <c r="K39" s="37" t="n">
        <v>126</v>
      </c>
      <c r="L39" s="52" t="n">
        <v>0.4224</v>
      </c>
      <c r="M39" s="46" t="n">
        <f aca="false">IFERROR(L39*3600/K39,0)</f>
        <v>12.0685714285714</v>
      </c>
      <c r="N39" s="49" t="n">
        <f aca="false">IFERROR(M39/J39,0)</f>
        <v>1.09714285714286</v>
      </c>
      <c r="O39" s="36" t="n">
        <v>1</v>
      </c>
      <c r="P39" s="46" t="n">
        <f aca="false">IFERROR(O39/K39*1000,0)</f>
        <v>7.93650793650794</v>
      </c>
      <c r="Q39" s="37" t="n">
        <v>595</v>
      </c>
      <c r="R39" s="53" t="n">
        <v>0.0168</v>
      </c>
      <c r="S39" s="37" t="n">
        <f aca="false">IF(ISNUMBER(R39),ROUND(R39*Q39,0),0)</f>
        <v>10</v>
      </c>
      <c r="T39" s="37" t="n">
        <f aca="false">MAX(K39-S39,0)</f>
        <v>116</v>
      </c>
      <c r="U39" s="49" t="n">
        <f aca="false">IFERROR(T39/K39,0)</f>
        <v>0.920634920634921</v>
      </c>
      <c r="V39" s="36" t="n">
        <v>11</v>
      </c>
      <c r="W39" s="36" t="s">
        <v>287</v>
      </c>
      <c r="X39" s="36" t="n">
        <f aca="false">LEN(C39)</f>
        <v>91</v>
      </c>
      <c r="Y39" s="36" t="str">
        <f aca="false">IF(V39=0,"0 (clean title)",IF(V39&lt;=2,"1–2",IF(V39&lt;=5,"3–5","6+")))</f>
        <v>6+</v>
      </c>
      <c r="Z39" s="36" t="str">
        <f aca="false">IF(X39&lt;=30,"Short (≤30)",IF(X39&lt;=50,"Medium (31–50)","Long (51+)"))</f>
        <v>Long (51+)</v>
      </c>
      <c r="AA39" s="36" t="str">
        <f aca="false">IF(J39&lt;=10,"a) ≤10s",IF(J39&lt;=30,"b) 11–30s",IF(J39&lt;=60,"c) 31–60s",IF(J39&lt;=180,"d) 61–180s","e) Long-form 3m+"))))</f>
        <v>b) 11–30s</v>
      </c>
      <c r="AB39" s="36" t="str">
        <f aca="false">IF(K39&gt;=1000,"Breakout (1K+)",IF(K39&gt;=250,"Solid (250–999)",IF(K39&gt;=100,"Average (100–249)","Low (&lt;100)")))</f>
        <v>Average (100–249)</v>
      </c>
      <c r="AC39" s="66" t="str">
        <f aca="false">HYPERLINK("https://youtu.be/"&amp;B39,"▶ Watch")</f>
        <v>▶ Watch</v>
      </c>
    </row>
    <row r="40" customFormat="false" ht="15.75" hidden="false" customHeight="true" outlineLevel="0" collapsed="false">
      <c r="A40" s="67" t="n">
        <v>36</v>
      </c>
      <c r="B40" s="67" t="s">
        <v>434</v>
      </c>
      <c r="C40" s="67" t="s">
        <v>420</v>
      </c>
      <c r="D40" s="68" t="n">
        <v>45019</v>
      </c>
      <c r="E40" s="69" t="n">
        <f aca="false">YEAR(D40)</f>
        <v>2023</v>
      </c>
      <c r="F40" s="67" t="str">
        <f aca="false">TEXT(D40,"ddd")</f>
        <v>Mon</v>
      </c>
      <c r="G40" s="67" t="s">
        <v>273</v>
      </c>
      <c r="H40" s="67" t="s">
        <v>259</v>
      </c>
      <c r="I40" s="67" t="s">
        <v>276</v>
      </c>
      <c r="J40" s="67" t="n">
        <v>32</v>
      </c>
      <c r="K40" s="70" t="n">
        <v>123</v>
      </c>
      <c r="L40" s="71" t="n">
        <v>0.5556</v>
      </c>
      <c r="M40" s="72" t="n">
        <f aca="false">IFERROR(L40*3600/K40,0)</f>
        <v>16.2614634146341</v>
      </c>
      <c r="N40" s="73" t="n">
        <f aca="false">IFERROR(M40/J40,0)</f>
        <v>0.508170731707317</v>
      </c>
      <c r="O40" s="67" t="n">
        <v>0</v>
      </c>
      <c r="P40" s="72" t="n">
        <f aca="false">IFERROR(O40/K40*1000,0)</f>
        <v>0</v>
      </c>
      <c r="Q40" s="70" t="n">
        <v>1190</v>
      </c>
      <c r="R40" s="74" t="n">
        <v>0.0353</v>
      </c>
      <c r="S40" s="70" t="n">
        <f aca="false">IF(ISNUMBER(R40),ROUND(R40*Q40,0),0)</f>
        <v>42</v>
      </c>
      <c r="T40" s="70" t="n">
        <f aca="false">MAX(K40-S40,0)</f>
        <v>81</v>
      </c>
      <c r="U40" s="73" t="n">
        <f aca="false">IFERROR(T40/K40,0)</f>
        <v>0.658536585365854</v>
      </c>
      <c r="V40" s="67" t="n">
        <v>11</v>
      </c>
      <c r="W40" s="67" t="s">
        <v>287</v>
      </c>
      <c r="X40" s="67" t="n">
        <f aca="false">LEN(C40)</f>
        <v>93</v>
      </c>
      <c r="Y40" s="67" t="str">
        <f aca="false">IF(V40=0,"0 (clean title)",IF(V40&lt;=2,"1–2",IF(V40&lt;=5,"3–5","6+")))</f>
        <v>6+</v>
      </c>
      <c r="Z40" s="67" t="str">
        <f aca="false">IF(X40&lt;=30,"Short (≤30)",IF(X40&lt;=50,"Medium (31–50)","Long (51+)"))</f>
        <v>Long (51+)</v>
      </c>
      <c r="AA40" s="67" t="str">
        <f aca="false">IF(J40&lt;=10,"a) ≤10s",IF(J40&lt;=30,"b) 11–30s",IF(J40&lt;=60,"c) 31–60s",IF(J40&lt;=180,"d) 61–180s","e) Long-form 3m+"))))</f>
        <v>c) 31–60s</v>
      </c>
      <c r="AB40" s="67" t="str">
        <f aca="false">IF(K40&gt;=1000,"Breakout (1K+)",IF(K40&gt;=250,"Solid (250–999)",IF(K40&gt;=100,"Average (100–249)","Low (&lt;100)")))</f>
        <v>Average (100–249)</v>
      </c>
      <c r="AC40" s="75" t="str">
        <f aca="false">HYPERLINK("https://youtu.be/"&amp;B40,"▶ Watch")</f>
        <v>▶ Watch</v>
      </c>
    </row>
    <row r="41" customFormat="false" ht="15.75" hidden="false" customHeight="true" outlineLevel="0" collapsed="false">
      <c r="A41" s="36" t="n">
        <v>37</v>
      </c>
      <c r="B41" s="36" t="s">
        <v>435</v>
      </c>
      <c r="C41" s="36" t="s">
        <v>436</v>
      </c>
      <c r="D41" s="64" t="n">
        <v>45984</v>
      </c>
      <c r="E41" s="35" t="n">
        <f aca="false">YEAR(D41)</f>
        <v>2025</v>
      </c>
      <c r="F41" s="36" t="str">
        <f aca="false">TEXT(D41,"ddd")</f>
        <v>Sun</v>
      </c>
      <c r="G41" s="36" t="s">
        <v>273</v>
      </c>
      <c r="H41" s="36" t="s">
        <v>250</v>
      </c>
      <c r="I41" s="36" t="s">
        <v>277</v>
      </c>
      <c r="J41" s="36" t="n">
        <v>8</v>
      </c>
      <c r="K41" s="37" t="n">
        <v>122</v>
      </c>
      <c r="L41" s="52" t="n">
        <v>0.0664</v>
      </c>
      <c r="M41" s="46" t="n">
        <f aca="false">IFERROR(L41*3600/K41,0)</f>
        <v>1.95934426229508</v>
      </c>
      <c r="N41" s="49" t="n">
        <f aca="false">IFERROR(M41/J41,0)</f>
        <v>0.244918032786885</v>
      </c>
      <c r="O41" s="36" t="n">
        <v>0</v>
      </c>
      <c r="P41" s="46" t="n">
        <f aca="false">IFERROR(O41/K41*1000,0)</f>
        <v>0</v>
      </c>
      <c r="Q41" s="37" t="n">
        <v>67</v>
      </c>
      <c r="R41" s="53" t="n">
        <v>0</v>
      </c>
      <c r="S41" s="37" t="n">
        <f aca="false">IF(ISNUMBER(R41),ROUND(R41*Q41,0),0)</f>
        <v>0</v>
      </c>
      <c r="T41" s="37" t="n">
        <f aca="false">MAX(K41-S41,0)</f>
        <v>122</v>
      </c>
      <c r="U41" s="49" t="n">
        <f aca="false">IFERROR(T41/K41,0)</f>
        <v>1</v>
      </c>
      <c r="V41" s="36" t="n">
        <v>0</v>
      </c>
      <c r="W41" s="36" t="s">
        <v>286</v>
      </c>
      <c r="X41" s="36" t="n">
        <f aca="false">LEN(C41)</f>
        <v>34</v>
      </c>
      <c r="Y41" s="36" t="str">
        <f aca="false">IF(V41=0,"0 (clean title)",IF(V41&lt;=2,"1–2",IF(V41&lt;=5,"3–5","6+")))</f>
        <v>0 (clean title)</v>
      </c>
      <c r="Z41" s="36" t="str">
        <f aca="false">IF(X41&lt;=30,"Short (≤30)",IF(X41&lt;=50,"Medium (31–50)","Long (51+)"))</f>
        <v>Medium (31–50)</v>
      </c>
      <c r="AA41" s="36" t="str">
        <f aca="false">IF(J41&lt;=10,"a) ≤10s",IF(J41&lt;=30,"b) 11–30s",IF(J41&lt;=60,"c) 31–60s",IF(J41&lt;=180,"d) 61–180s","e) Long-form 3m+"))))</f>
        <v>a) ≤10s</v>
      </c>
      <c r="AB41" s="36" t="str">
        <f aca="false">IF(K41&gt;=1000,"Breakout (1K+)",IF(K41&gt;=250,"Solid (250–999)",IF(K41&gt;=100,"Average (100–249)","Low (&lt;100)")))</f>
        <v>Average (100–249)</v>
      </c>
      <c r="AC41" s="66" t="str">
        <f aca="false">HYPERLINK("https://youtu.be/"&amp;B41,"▶ Watch")</f>
        <v>▶ Watch</v>
      </c>
    </row>
    <row r="42" customFormat="false" ht="15.75" hidden="false" customHeight="true" outlineLevel="0" collapsed="false">
      <c r="A42" s="67" t="n">
        <v>38</v>
      </c>
      <c r="B42" s="67" t="s">
        <v>437</v>
      </c>
      <c r="C42" s="67" t="s">
        <v>438</v>
      </c>
      <c r="D42" s="68" t="n">
        <v>46136</v>
      </c>
      <c r="E42" s="69" t="n">
        <f aca="false">YEAR(D42)</f>
        <v>2026</v>
      </c>
      <c r="F42" s="67" t="str">
        <f aca="false">TEXT(D42,"ddd")</f>
        <v>Fri</v>
      </c>
      <c r="G42" s="67" t="s">
        <v>151</v>
      </c>
      <c r="H42" s="67" t="s">
        <v>253</v>
      </c>
      <c r="I42" s="67" t="s">
        <v>277</v>
      </c>
      <c r="J42" s="67" t="n">
        <v>291</v>
      </c>
      <c r="K42" s="70" t="n">
        <v>118</v>
      </c>
      <c r="L42" s="71" t="n">
        <v>1.4817</v>
      </c>
      <c r="M42" s="72" t="n">
        <f aca="false">IFERROR(L42*3600/K42,0)</f>
        <v>45.204406779661</v>
      </c>
      <c r="N42" s="73" t="n">
        <f aca="false">IFERROR(M42/J42,0)</f>
        <v>0.155341604053818</v>
      </c>
      <c r="O42" s="67" t="n">
        <v>1</v>
      </c>
      <c r="P42" s="72" t="n">
        <f aca="false">IFERROR(O42/K42*1000,0)</f>
        <v>8.47457627118644</v>
      </c>
      <c r="Q42" s="70" t="n">
        <v>2271</v>
      </c>
      <c r="R42" s="74" t="n">
        <v>0.0423</v>
      </c>
      <c r="S42" s="70" t="n">
        <f aca="false">IF(ISNUMBER(R42),ROUND(R42*Q42,0),0)</f>
        <v>96</v>
      </c>
      <c r="T42" s="70" t="n">
        <f aca="false">MAX(K42-S42,0)</f>
        <v>22</v>
      </c>
      <c r="U42" s="73" t="n">
        <f aca="false">IFERROR(T42/K42,0)</f>
        <v>0.186440677966102</v>
      </c>
      <c r="V42" s="67" t="n">
        <v>0</v>
      </c>
      <c r="W42" s="67" t="s">
        <v>287</v>
      </c>
      <c r="X42" s="67" t="n">
        <f aca="false">LEN(C42)</f>
        <v>82</v>
      </c>
      <c r="Y42" s="67" t="str">
        <f aca="false">IF(V42=0,"0 (clean title)",IF(V42&lt;=2,"1–2",IF(V42&lt;=5,"3–5","6+")))</f>
        <v>0 (clean title)</v>
      </c>
      <c r="Z42" s="67" t="str">
        <f aca="false">IF(X42&lt;=30,"Short (≤30)",IF(X42&lt;=50,"Medium (31–50)","Long (51+)"))</f>
        <v>Long (51+)</v>
      </c>
      <c r="AA42" s="67" t="str">
        <f aca="false">IF(J42&lt;=10,"a) ≤10s",IF(J42&lt;=30,"b) 11–30s",IF(J42&lt;=60,"c) 31–60s",IF(J42&lt;=180,"d) 61–180s","e) Long-form 3m+"))))</f>
        <v>e) Long-form 3m+</v>
      </c>
      <c r="AB42" s="67" t="str">
        <f aca="false">IF(K42&gt;=1000,"Breakout (1K+)",IF(K42&gt;=250,"Solid (250–999)",IF(K42&gt;=100,"Average (100–249)","Low (&lt;100)")))</f>
        <v>Average (100–249)</v>
      </c>
      <c r="AC42" s="75" t="str">
        <f aca="false">HYPERLINK("https://youtu.be/"&amp;B42,"▶ Watch")</f>
        <v>▶ Watch</v>
      </c>
    </row>
    <row r="43" customFormat="false" ht="15.75" hidden="false" customHeight="true" outlineLevel="0" collapsed="false">
      <c r="A43" s="36" t="n">
        <v>39</v>
      </c>
      <c r="B43" s="36" t="s">
        <v>439</v>
      </c>
      <c r="C43" s="36" t="s">
        <v>440</v>
      </c>
      <c r="D43" s="64" t="n">
        <v>45963</v>
      </c>
      <c r="E43" s="35" t="n">
        <f aca="false">YEAR(D43)</f>
        <v>2025</v>
      </c>
      <c r="F43" s="36" t="str">
        <f aca="false">TEXT(D43,"ddd")</f>
        <v>Sun</v>
      </c>
      <c r="G43" s="36" t="s">
        <v>273</v>
      </c>
      <c r="H43" s="36" t="s">
        <v>250</v>
      </c>
      <c r="I43" s="36" t="s">
        <v>277</v>
      </c>
      <c r="J43" s="36" t="n">
        <v>4</v>
      </c>
      <c r="K43" s="37" t="n">
        <v>112</v>
      </c>
      <c r="L43" s="52" t="n">
        <v>0.0488</v>
      </c>
      <c r="M43" s="46" t="n">
        <f aca="false">IFERROR(L43*3600/K43,0)</f>
        <v>1.56857142857143</v>
      </c>
      <c r="N43" s="49" t="n">
        <f aca="false">IFERROR(M43/J43,0)</f>
        <v>0.392142857142857</v>
      </c>
      <c r="O43" s="36" t="n">
        <v>0</v>
      </c>
      <c r="P43" s="46" t="n">
        <f aca="false">IFERROR(O43/K43*1000,0)</f>
        <v>0</v>
      </c>
      <c r="Q43" s="37" t="n">
        <v>63</v>
      </c>
      <c r="R43" s="53" t="n">
        <v>0.0159</v>
      </c>
      <c r="S43" s="37" t="n">
        <f aca="false">IF(ISNUMBER(R43),ROUND(R43*Q43,0),0)</f>
        <v>1</v>
      </c>
      <c r="T43" s="37" t="n">
        <f aca="false">MAX(K43-S43,0)</f>
        <v>111</v>
      </c>
      <c r="U43" s="49" t="n">
        <f aca="false">IFERROR(T43/K43,0)</f>
        <v>0.991071428571429</v>
      </c>
      <c r="V43" s="36" t="n">
        <v>7</v>
      </c>
      <c r="W43" s="36" t="s">
        <v>287</v>
      </c>
      <c r="X43" s="36" t="n">
        <f aca="false">LEN(C43)</f>
        <v>91</v>
      </c>
      <c r="Y43" s="36" t="str">
        <f aca="false">IF(V43=0,"0 (clean title)",IF(V43&lt;=2,"1–2",IF(V43&lt;=5,"3–5","6+")))</f>
        <v>6+</v>
      </c>
      <c r="Z43" s="36" t="str">
        <f aca="false">IF(X43&lt;=30,"Short (≤30)",IF(X43&lt;=50,"Medium (31–50)","Long (51+)"))</f>
        <v>Long (51+)</v>
      </c>
      <c r="AA43" s="36" t="str">
        <f aca="false">IF(J43&lt;=10,"a) ≤10s",IF(J43&lt;=30,"b) 11–30s",IF(J43&lt;=60,"c) 31–60s",IF(J43&lt;=180,"d) 61–180s","e) Long-form 3m+"))))</f>
        <v>a) ≤10s</v>
      </c>
      <c r="AB43" s="36" t="str">
        <f aca="false">IF(K43&gt;=1000,"Breakout (1K+)",IF(K43&gt;=250,"Solid (250–999)",IF(K43&gt;=100,"Average (100–249)","Low (&lt;100)")))</f>
        <v>Average (100–249)</v>
      </c>
      <c r="AC43" s="66" t="str">
        <f aca="false">HYPERLINK("https://youtu.be/"&amp;B43,"▶ Watch")</f>
        <v>▶ Watch</v>
      </c>
    </row>
    <row r="44" customFormat="false" ht="15.75" hidden="false" customHeight="true" outlineLevel="0" collapsed="false">
      <c r="A44" s="67" t="n">
        <v>40</v>
      </c>
      <c r="B44" s="67" t="s">
        <v>441</v>
      </c>
      <c r="C44" s="67" t="s">
        <v>442</v>
      </c>
      <c r="D44" s="68" t="n">
        <v>44956</v>
      </c>
      <c r="E44" s="69" t="n">
        <f aca="false">YEAR(D44)</f>
        <v>2023</v>
      </c>
      <c r="F44" s="67" t="str">
        <f aca="false">TEXT(D44,"ddd")</f>
        <v>Mon</v>
      </c>
      <c r="G44" s="67" t="s">
        <v>273</v>
      </c>
      <c r="H44" s="67" t="s">
        <v>259</v>
      </c>
      <c r="I44" s="67" t="s">
        <v>276</v>
      </c>
      <c r="J44" s="67" t="n">
        <v>60</v>
      </c>
      <c r="K44" s="70" t="n">
        <v>111</v>
      </c>
      <c r="L44" s="71" t="n">
        <v>0.3359</v>
      </c>
      <c r="M44" s="72" t="n">
        <f aca="false">IFERROR(L44*3600/K44,0)</f>
        <v>10.8940540540541</v>
      </c>
      <c r="N44" s="73" t="n">
        <f aca="false">IFERROR(M44/J44,0)</f>
        <v>0.181567567567568</v>
      </c>
      <c r="O44" s="67" t="n">
        <v>0</v>
      </c>
      <c r="P44" s="72" t="n">
        <f aca="false">IFERROR(O44/K44*1000,0)</f>
        <v>0</v>
      </c>
      <c r="Q44" s="70" t="n">
        <v>227</v>
      </c>
      <c r="R44" s="74" t="n">
        <v>0.0044</v>
      </c>
      <c r="S44" s="70" t="n">
        <f aca="false">IF(ISNUMBER(R44),ROUND(R44*Q44,0),0)</f>
        <v>1</v>
      </c>
      <c r="T44" s="70" t="n">
        <f aca="false">MAX(K44-S44,0)</f>
        <v>110</v>
      </c>
      <c r="U44" s="73" t="n">
        <f aca="false">IFERROR(T44/K44,0)</f>
        <v>0.990990990990991</v>
      </c>
      <c r="V44" s="67" t="n">
        <v>10</v>
      </c>
      <c r="W44" s="67" t="s">
        <v>287</v>
      </c>
      <c r="X44" s="67" t="n">
        <f aca="false">LEN(C44)</f>
        <v>94</v>
      </c>
      <c r="Y44" s="67" t="str">
        <f aca="false">IF(V44=0,"0 (clean title)",IF(V44&lt;=2,"1–2",IF(V44&lt;=5,"3–5","6+")))</f>
        <v>6+</v>
      </c>
      <c r="Z44" s="67" t="str">
        <f aca="false">IF(X44&lt;=30,"Short (≤30)",IF(X44&lt;=50,"Medium (31–50)","Long (51+)"))</f>
        <v>Long (51+)</v>
      </c>
      <c r="AA44" s="67" t="str">
        <f aca="false">IF(J44&lt;=10,"a) ≤10s",IF(J44&lt;=30,"b) 11–30s",IF(J44&lt;=60,"c) 31–60s",IF(J44&lt;=180,"d) 61–180s","e) Long-form 3m+"))))</f>
        <v>c) 31–60s</v>
      </c>
      <c r="AB44" s="67" t="str">
        <f aca="false">IF(K44&gt;=1000,"Breakout (1K+)",IF(K44&gt;=250,"Solid (250–999)",IF(K44&gt;=100,"Average (100–249)","Low (&lt;100)")))</f>
        <v>Average (100–249)</v>
      </c>
      <c r="AC44" s="75" t="str">
        <f aca="false">HYPERLINK("https://youtu.be/"&amp;B44,"▶ Watch")</f>
        <v>▶ Watch</v>
      </c>
    </row>
    <row r="45" customFormat="false" ht="15.75" hidden="false" customHeight="true" outlineLevel="0" collapsed="false">
      <c r="A45" s="36" t="n">
        <v>41</v>
      </c>
      <c r="B45" s="36" t="s">
        <v>443</v>
      </c>
      <c r="C45" s="36" t="s">
        <v>444</v>
      </c>
      <c r="D45" s="64" t="n">
        <v>44947</v>
      </c>
      <c r="E45" s="35" t="n">
        <f aca="false">YEAR(D45)</f>
        <v>2023</v>
      </c>
      <c r="F45" s="36" t="str">
        <f aca="false">TEXT(D45,"ddd")</f>
        <v>Sat</v>
      </c>
      <c r="G45" s="36" t="s">
        <v>273</v>
      </c>
      <c r="H45" s="36" t="s">
        <v>259</v>
      </c>
      <c r="I45" s="36" t="s">
        <v>276</v>
      </c>
      <c r="J45" s="36" t="n">
        <v>61</v>
      </c>
      <c r="K45" s="37" t="n">
        <v>104</v>
      </c>
      <c r="L45" s="52" t="n">
        <v>0.4712</v>
      </c>
      <c r="M45" s="46" t="n">
        <f aca="false">IFERROR(L45*3600/K45,0)</f>
        <v>16.3107692307692</v>
      </c>
      <c r="N45" s="49" t="n">
        <f aca="false">IFERROR(M45/J45,0)</f>
        <v>0.267389659520807</v>
      </c>
      <c r="O45" s="36" t="n">
        <v>1</v>
      </c>
      <c r="P45" s="46" t="n">
        <f aca="false">IFERROR(O45/K45*1000,0)</f>
        <v>9.61538461538462</v>
      </c>
      <c r="Q45" s="37" t="n">
        <v>222</v>
      </c>
      <c r="R45" s="53" t="n">
        <v>0.0045</v>
      </c>
      <c r="S45" s="37" t="n">
        <f aca="false">IF(ISNUMBER(R45),ROUND(R45*Q45,0),0)</f>
        <v>1</v>
      </c>
      <c r="T45" s="37" t="n">
        <f aca="false">MAX(K45-S45,0)</f>
        <v>103</v>
      </c>
      <c r="U45" s="49" t="n">
        <f aca="false">IFERROR(T45/K45,0)</f>
        <v>0.990384615384615</v>
      </c>
      <c r="V45" s="36" t="n">
        <v>9</v>
      </c>
      <c r="W45" s="36" t="s">
        <v>287</v>
      </c>
      <c r="X45" s="36" t="n">
        <f aca="false">LEN(C45)</f>
        <v>87</v>
      </c>
      <c r="Y45" s="36" t="str">
        <f aca="false">IF(V45=0,"0 (clean title)",IF(V45&lt;=2,"1–2",IF(V45&lt;=5,"3–5","6+")))</f>
        <v>6+</v>
      </c>
      <c r="Z45" s="36" t="str">
        <f aca="false">IF(X45&lt;=30,"Short (≤30)",IF(X45&lt;=50,"Medium (31–50)","Long (51+)"))</f>
        <v>Long (51+)</v>
      </c>
      <c r="AA45" s="36" t="str">
        <f aca="false">IF(J45&lt;=10,"a) ≤10s",IF(J45&lt;=30,"b) 11–30s",IF(J45&lt;=60,"c) 31–60s",IF(J45&lt;=180,"d) 61–180s","e) Long-form 3m+"))))</f>
        <v>d) 61–180s</v>
      </c>
      <c r="AB45" s="36" t="str">
        <f aca="false">IF(K45&gt;=1000,"Breakout (1K+)",IF(K45&gt;=250,"Solid (250–999)",IF(K45&gt;=100,"Average (100–249)","Low (&lt;100)")))</f>
        <v>Average (100–249)</v>
      </c>
      <c r="AC45" s="66" t="str">
        <f aca="false">HYPERLINK("https://youtu.be/"&amp;B45,"▶ Watch")</f>
        <v>▶ Watch</v>
      </c>
    </row>
    <row r="46" customFormat="false" ht="15.75" hidden="false" customHeight="true" outlineLevel="0" collapsed="false">
      <c r="A46" s="67" t="n">
        <v>42</v>
      </c>
      <c r="B46" s="67" t="s">
        <v>445</v>
      </c>
      <c r="C46" s="67" t="s">
        <v>446</v>
      </c>
      <c r="D46" s="68" t="n">
        <v>46201</v>
      </c>
      <c r="E46" s="69" t="n">
        <f aca="false">YEAR(D46)</f>
        <v>2026</v>
      </c>
      <c r="F46" s="67" t="str">
        <f aca="false">TEXT(D46,"ddd")</f>
        <v>Sun</v>
      </c>
      <c r="G46" s="67" t="s">
        <v>273</v>
      </c>
      <c r="H46" s="67" t="s">
        <v>250</v>
      </c>
      <c r="I46" s="67" t="s">
        <v>277</v>
      </c>
      <c r="J46" s="67" t="n">
        <v>4</v>
      </c>
      <c r="K46" s="70" t="n">
        <v>80</v>
      </c>
      <c r="L46" s="71" t="n">
        <v>0.0384</v>
      </c>
      <c r="M46" s="72" t="n">
        <f aca="false">IFERROR(L46*3600/K46,0)</f>
        <v>1.728</v>
      </c>
      <c r="N46" s="73" t="n">
        <f aca="false">IFERROR(M46/J46,0)</f>
        <v>0.432</v>
      </c>
      <c r="O46" s="67" t="n">
        <v>0</v>
      </c>
      <c r="P46" s="72" t="n">
        <f aca="false">IFERROR(O46/K46*1000,0)</f>
        <v>0</v>
      </c>
      <c r="Q46" s="70" t="n">
        <v>13</v>
      </c>
      <c r="R46" s="74" t="n">
        <v>0</v>
      </c>
      <c r="S46" s="70" t="n">
        <f aca="false">IF(ISNUMBER(R46),ROUND(R46*Q46,0),0)</f>
        <v>0</v>
      </c>
      <c r="T46" s="70" t="n">
        <f aca="false">MAX(K46-S46,0)</f>
        <v>80</v>
      </c>
      <c r="U46" s="73" t="n">
        <f aca="false">IFERROR(T46/K46,0)</f>
        <v>1</v>
      </c>
      <c r="V46" s="67" t="n">
        <v>0</v>
      </c>
      <c r="W46" s="67" t="s">
        <v>286</v>
      </c>
      <c r="X46" s="67" t="n">
        <f aca="false">LEN(C46)</f>
        <v>29</v>
      </c>
      <c r="Y46" s="67" t="str">
        <f aca="false">IF(V46=0,"0 (clean title)",IF(V46&lt;=2,"1–2",IF(V46&lt;=5,"3–5","6+")))</f>
        <v>0 (clean title)</v>
      </c>
      <c r="Z46" s="67" t="str">
        <f aca="false">IF(X46&lt;=30,"Short (≤30)",IF(X46&lt;=50,"Medium (31–50)","Long (51+)"))</f>
        <v>Short (≤30)</v>
      </c>
      <c r="AA46" s="67" t="str">
        <f aca="false">IF(J46&lt;=10,"a) ≤10s",IF(J46&lt;=30,"b) 11–30s",IF(J46&lt;=60,"c) 31–60s",IF(J46&lt;=180,"d) 61–180s","e) Long-form 3m+"))))</f>
        <v>a) ≤10s</v>
      </c>
      <c r="AB46" s="67" t="str">
        <f aca="false">IF(K46&gt;=1000,"Breakout (1K+)",IF(K46&gt;=250,"Solid (250–999)",IF(K46&gt;=100,"Average (100–249)","Low (&lt;100)")))</f>
        <v>Low (&lt;100)</v>
      </c>
      <c r="AC46" s="75" t="str">
        <f aca="false">HYPERLINK("https://youtu.be/"&amp;B46,"▶ Watch")</f>
        <v>▶ Watch</v>
      </c>
    </row>
    <row r="47" customFormat="false" ht="15.75" hidden="false" customHeight="true" outlineLevel="0" collapsed="false">
      <c r="A47" s="36" t="n">
        <v>43</v>
      </c>
      <c r="B47" s="36" t="s">
        <v>447</v>
      </c>
      <c r="C47" s="36" t="s">
        <v>448</v>
      </c>
      <c r="D47" s="64" t="n">
        <v>45304</v>
      </c>
      <c r="E47" s="35" t="n">
        <f aca="false">YEAR(D47)</f>
        <v>2024</v>
      </c>
      <c r="F47" s="36" t="str">
        <f aca="false">TEXT(D47,"ddd")</f>
        <v>Sat</v>
      </c>
      <c r="G47" s="36" t="s">
        <v>273</v>
      </c>
      <c r="H47" s="36" t="s">
        <v>250</v>
      </c>
      <c r="I47" s="36" t="s">
        <v>276</v>
      </c>
      <c r="J47" s="36" t="n">
        <v>4</v>
      </c>
      <c r="K47" s="37" t="n">
        <v>72</v>
      </c>
      <c r="L47" s="52" t="n">
        <v>0.1061</v>
      </c>
      <c r="M47" s="46" t="n">
        <f aca="false">IFERROR(L47*3600/K47,0)</f>
        <v>5.305</v>
      </c>
      <c r="N47" s="49" t="n">
        <f aca="false">IFERROR(M47/J47,0)</f>
        <v>1.32625</v>
      </c>
      <c r="O47" s="36" t="n">
        <v>0</v>
      </c>
      <c r="P47" s="46" t="n">
        <f aca="false">IFERROR(O47/K47*1000,0)</f>
        <v>0</v>
      </c>
      <c r="Q47" s="37" t="n">
        <v>105</v>
      </c>
      <c r="R47" s="53" t="n">
        <v>0.0095</v>
      </c>
      <c r="S47" s="37" t="n">
        <f aca="false">IF(ISNUMBER(R47),ROUND(R47*Q47,0),0)</f>
        <v>1</v>
      </c>
      <c r="T47" s="37" t="n">
        <f aca="false">MAX(K47-S47,0)</f>
        <v>71</v>
      </c>
      <c r="U47" s="49" t="n">
        <f aca="false">IFERROR(T47/K47,0)</f>
        <v>0.986111111111111</v>
      </c>
      <c r="V47" s="36" t="n">
        <v>8</v>
      </c>
      <c r="W47" s="36" t="s">
        <v>287</v>
      </c>
      <c r="X47" s="36" t="n">
        <f aca="false">LEN(C47)</f>
        <v>91</v>
      </c>
      <c r="Y47" s="36" t="str">
        <f aca="false">IF(V47=0,"0 (clean title)",IF(V47&lt;=2,"1–2",IF(V47&lt;=5,"3–5","6+")))</f>
        <v>6+</v>
      </c>
      <c r="Z47" s="36" t="str">
        <f aca="false">IF(X47&lt;=30,"Short (≤30)",IF(X47&lt;=50,"Medium (31–50)","Long (51+)"))</f>
        <v>Long (51+)</v>
      </c>
      <c r="AA47" s="36" t="str">
        <f aca="false">IF(J47&lt;=10,"a) ≤10s",IF(J47&lt;=30,"b) 11–30s",IF(J47&lt;=60,"c) 31–60s",IF(J47&lt;=180,"d) 61–180s","e) Long-form 3m+"))))</f>
        <v>a) ≤10s</v>
      </c>
      <c r="AB47" s="36" t="str">
        <f aca="false">IF(K47&gt;=1000,"Breakout (1K+)",IF(K47&gt;=250,"Solid (250–999)",IF(K47&gt;=100,"Average (100–249)","Low (&lt;100)")))</f>
        <v>Low (&lt;100)</v>
      </c>
      <c r="AC47" s="66" t="str">
        <f aca="false">HYPERLINK("https://youtu.be/"&amp;B47,"▶ Watch")</f>
        <v>▶ Watch</v>
      </c>
    </row>
    <row r="48" customFormat="false" ht="15.75" hidden="false" customHeight="true" outlineLevel="0" collapsed="false">
      <c r="A48" s="67" t="n">
        <v>44</v>
      </c>
      <c r="B48" s="67" t="s">
        <v>449</v>
      </c>
      <c r="C48" s="67" t="s">
        <v>450</v>
      </c>
      <c r="D48" s="68" t="n">
        <v>45243</v>
      </c>
      <c r="E48" s="69" t="n">
        <f aca="false">YEAR(D48)</f>
        <v>2023</v>
      </c>
      <c r="F48" s="67" t="str">
        <f aca="false">TEXT(D48,"ddd")</f>
        <v>Mon</v>
      </c>
      <c r="G48" s="67" t="s">
        <v>273</v>
      </c>
      <c r="H48" s="67" t="s">
        <v>253</v>
      </c>
      <c r="I48" s="67" t="s">
        <v>276</v>
      </c>
      <c r="J48" s="67" t="n">
        <v>13</v>
      </c>
      <c r="K48" s="70" t="n">
        <v>64</v>
      </c>
      <c r="L48" s="71" t="n">
        <v>0.1773</v>
      </c>
      <c r="M48" s="72" t="n">
        <f aca="false">IFERROR(L48*3600/K48,0)</f>
        <v>9.973125</v>
      </c>
      <c r="N48" s="73" t="n">
        <f aca="false">IFERROR(M48/J48,0)</f>
        <v>0.767163461538462</v>
      </c>
      <c r="O48" s="67" t="n">
        <v>1</v>
      </c>
      <c r="P48" s="72" t="n">
        <f aca="false">IFERROR(O48/K48*1000,0)</f>
        <v>15.625</v>
      </c>
      <c r="Q48" s="70" t="n">
        <v>1440</v>
      </c>
      <c r="R48" s="74" t="n">
        <v>0.041</v>
      </c>
      <c r="S48" s="70" t="n">
        <f aca="false">IF(ISNUMBER(R48),ROUND(R48*Q48,0),0)</f>
        <v>59</v>
      </c>
      <c r="T48" s="70" t="n">
        <f aca="false">MAX(K48-S48,0)</f>
        <v>5</v>
      </c>
      <c r="U48" s="73" t="n">
        <f aca="false">IFERROR(T48/K48,0)</f>
        <v>0.078125</v>
      </c>
      <c r="V48" s="67" t="n">
        <v>8</v>
      </c>
      <c r="W48" s="67" t="s">
        <v>287</v>
      </c>
      <c r="X48" s="67" t="n">
        <f aca="false">LEN(C48)</f>
        <v>93</v>
      </c>
      <c r="Y48" s="67" t="str">
        <f aca="false">IF(V48=0,"0 (clean title)",IF(V48&lt;=2,"1–2",IF(V48&lt;=5,"3–5","6+")))</f>
        <v>6+</v>
      </c>
      <c r="Z48" s="67" t="str">
        <f aca="false">IF(X48&lt;=30,"Short (≤30)",IF(X48&lt;=50,"Medium (31–50)","Long (51+)"))</f>
        <v>Long (51+)</v>
      </c>
      <c r="AA48" s="67" t="str">
        <f aca="false">IF(J48&lt;=10,"a) ≤10s",IF(J48&lt;=30,"b) 11–30s",IF(J48&lt;=60,"c) 31–60s",IF(J48&lt;=180,"d) 61–180s","e) Long-form 3m+"))))</f>
        <v>b) 11–30s</v>
      </c>
      <c r="AB48" s="67" t="str">
        <f aca="false">IF(K48&gt;=1000,"Breakout (1K+)",IF(K48&gt;=250,"Solid (250–999)",IF(K48&gt;=100,"Average (100–249)","Low (&lt;100)")))</f>
        <v>Low (&lt;100)</v>
      </c>
      <c r="AC48" s="75" t="str">
        <f aca="false">HYPERLINK("https://youtu.be/"&amp;B48,"▶ Watch")</f>
        <v>▶ Watch</v>
      </c>
    </row>
    <row r="49" customFormat="false" ht="15.75" hidden="false" customHeight="true" outlineLevel="0" collapsed="false">
      <c r="A49" s="36" t="n">
        <v>45</v>
      </c>
      <c r="B49" s="36" t="s">
        <v>451</v>
      </c>
      <c r="C49" s="36" t="s">
        <v>452</v>
      </c>
      <c r="D49" s="64" t="n">
        <v>45221</v>
      </c>
      <c r="E49" s="35" t="n">
        <f aca="false">YEAR(D49)</f>
        <v>2023</v>
      </c>
      <c r="F49" s="36" t="str">
        <f aca="false">TEXT(D49,"ddd")</f>
        <v>Sun</v>
      </c>
      <c r="G49" s="36" t="s">
        <v>151</v>
      </c>
      <c r="H49" s="36" t="s">
        <v>259</v>
      </c>
      <c r="I49" s="36" t="s">
        <v>276</v>
      </c>
      <c r="J49" s="36" t="n">
        <v>1388</v>
      </c>
      <c r="K49" s="37" t="n">
        <v>57</v>
      </c>
      <c r="L49" s="52" t="n">
        <v>0.9008</v>
      </c>
      <c r="M49" s="46" t="n">
        <f aca="false">IFERROR(L49*3600/K49,0)</f>
        <v>56.8926315789474</v>
      </c>
      <c r="N49" s="49" t="n">
        <f aca="false">IFERROR(M49/J49,0)</f>
        <v>0.0409889276505385</v>
      </c>
      <c r="O49" s="36" t="n">
        <v>0</v>
      </c>
      <c r="P49" s="46" t="n">
        <f aca="false">IFERROR(O49/K49*1000,0)</f>
        <v>0</v>
      </c>
      <c r="Q49" s="37" t="n">
        <v>352</v>
      </c>
      <c r="R49" s="53" t="n">
        <v>0.1563</v>
      </c>
      <c r="S49" s="37" t="n">
        <f aca="false">IF(ISNUMBER(R49),ROUND(R49*Q49,0),0)</f>
        <v>55</v>
      </c>
      <c r="T49" s="37" t="n">
        <f aca="false">MAX(K49-S49,0)</f>
        <v>2</v>
      </c>
      <c r="U49" s="49" t="n">
        <f aca="false">IFERROR(T49/K49,0)</f>
        <v>0.0350877192982456</v>
      </c>
      <c r="V49" s="36" t="n">
        <v>10</v>
      </c>
      <c r="W49" s="36" t="s">
        <v>287</v>
      </c>
      <c r="X49" s="36" t="n">
        <f aca="false">LEN(C49)</f>
        <v>99</v>
      </c>
      <c r="Y49" s="36" t="str">
        <f aca="false">IF(V49=0,"0 (clean title)",IF(V49&lt;=2,"1–2",IF(V49&lt;=5,"3–5","6+")))</f>
        <v>6+</v>
      </c>
      <c r="Z49" s="36" t="str">
        <f aca="false">IF(X49&lt;=30,"Short (≤30)",IF(X49&lt;=50,"Medium (31–50)","Long (51+)"))</f>
        <v>Long (51+)</v>
      </c>
      <c r="AA49" s="36" t="str">
        <f aca="false">IF(J49&lt;=10,"a) ≤10s",IF(J49&lt;=30,"b) 11–30s",IF(J49&lt;=60,"c) 31–60s",IF(J49&lt;=180,"d) 61–180s","e) Long-form 3m+"))))</f>
        <v>e) Long-form 3m+</v>
      </c>
      <c r="AB49" s="36" t="str">
        <f aca="false">IF(K49&gt;=1000,"Breakout (1K+)",IF(K49&gt;=250,"Solid (250–999)",IF(K49&gt;=100,"Average (100–249)","Low (&lt;100)")))</f>
        <v>Low (&lt;100)</v>
      </c>
      <c r="AC49" s="66" t="str">
        <f aca="false">HYPERLINK("https://youtu.be/"&amp;B49,"▶ Watch")</f>
        <v>▶ Watch</v>
      </c>
    </row>
    <row r="50" customFormat="false" ht="15.75" hidden="false" customHeight="true" outlineLevel="0" collapsed="false">
      <c r="A50" s="67" t="n">
        <v>46</v>
      </c>
      <c r="B50" s="67" t="s">
        <v>453</v>
      </c>
      <c r="C50" s="67" t="s">
        <v>454</v>
      </c>
      <c r="D50" s="68" t="n">
        <v>45991</v>
      </c>
      <c r="E50" s="69" t="n">
        <f aca="false">YEAR(D50)</f>
        <v>2025</v>
      </c>
      <c r="F50" s="67" t="str">
        <f aca="false">TEXT(D50,"ddd")</f>
        <v>Sun</v>
      </c>
      <c r="G50" s="67" t="s">
        <v>273</v>
      </c>
      <c r="H50" s="67" t="s">
        <v>250</v>
      </c>
      <c r="I50" s="67" t="s">
        <v>277</v>
      </c>
      <c r="J50" s="67" t="n">
        <v>5</v>
      </c>
      <c r="K50" s="70" t="n">
        <v>56</v>
      </c>
      <c r="L50" s="71" t="n">
        <v>0.0233</v>
      </c>
      <c r="M50" s="72" t="n">
        <f aca="false">IFERROR(L50*3600/K50,0)</f>
        <v>1.49785714285714</v>
      </c>
      <c r="N50" s="73" t="n">
        <f aca="false">IFERROR(M50/J50,0)</f>
        <v>0.299571428571429</v>
      </c>
      <c r="O50" s="67" t="n">
        <v>0</v>
      </c>
      <c r="P50" s="72" t="n">
        <f aca="false">IFERROR(O50/K50*1000,0)</f>
        <v>0</v>
      </c>
      <c r="Q50" s="70" t="n">
        <v>71</v>
      </c>
      <c r="R50" s="74" t="n">
        <v>0</v>
      </c>
      <c r="S50" s="70" t="n">
        <f aca="false">IF(ISNUMBER(R50),ROUND(R50*Q50,0),0)</f>
        <v>0</v>
      </c>
      <c r="T50" s="70" t="n">
        <f aca="false">MAX(K50-S50,0)</f>
        <v>56</v>
      </c>
      <c r="U50" s="73" t="n">
        <f aca="false">IFERROR(T50/K50,0)</f>
        <v>1</v>
      </c>
      <c r="V50" s="67" t="n">
        <v>0</v>
      </c>
      <c r="W50" s="67" t="s">
        <v>286</v>
      </c>
      <c r="X50" s="67" t="n">
        <f aca="false">LEN(C50)</f>
        <v>32</v>
      </c>
      <c r="Y50" s="67" t="str">
        <f aca="false">IF(V50=0,"0 (clean title)",IF(V50&lt;=2,"1–2",IF(V50&lt;=5,"3–5","6+")))</f>
        <v>0 (clean title)</v>
      </c>
      <c r="Z50" s="67" t="str">
        <f aca="false">IF(X50&lt;=30,"Short (≤30)",IF(X50&lt;=50,"Medium (31–50)","Long (51+)"))</f>
        <v>Medium (31–50)</v>
      </c>
      <c r="AA50" s="67" t="str">
        <f aca="false">IF(J50&lt;=10,"a) ≤10s",IF(J50&lt;=30,"b) 11–30s",IF(J50&lt;=60,"c) 31–60s",IF(J50&lt;=180,"d) 61–180s","e) Long-form 3m+"))))</f>
        <v>a) ≤10s</v>
      </c>
      <c r="AB50" s="67" t="str">
        <f aca="false">IF(K50&gt;=1000,"Breakout (1K+)",IF(K50&gt;=250,"Solid (250–999)",IF(K50&gt;=100,"Average (100–249)","Low (&lt;100)")))</f>
        <v>Low (&lt;100)</v>
      </c>
      <c r="AC50" s="75" t="str">
        <f aca="false">HYPERLINK("https://youtu.be/"&amp;B50,"▶ Watch")</f>
        <v>▶ Watch</v>
      </c>
    </row>
    <row r="51" customFormat="false" ht="15.75" hidden="false" customHeight="true" outlineLevel="0" collapsed="false">
      <c r="A51" s="36" t="n">
        <v>47</v>
      </c>
      <c r="B51" s="36" t="s">
        <v>455</v>
      </c>
      <c r="C51" s="36" t="s">
        <v>456</v>
      </c>
      <c r="D51" s="64" t="n">
        <v>45975</v>
      </c>
      <c r="E51" s="35" t="n">
        <f aca="false">YEAR(D51)</f>
        <v>2025</v>
      </c>
      <c r="F51" s="36" t="str">
        <f aca="false">TEXT(D51,"ddd")</f>
        <v>Fri</v>
      </c>
      <c r="G51" s="36" t="s">
        <v>273</v>
      </c>
      <c r="H51" s="36" t="s">
        <v>250</v>
      </c>
      <c r="I51" s="36" t="s">
        <v>277</v>
      </c>
      <c r="J51" s="36" t="n">
        <v>5</v>
      </c>
      <c r="K51" s="37" t="n">
        <v>48</v>
      </c>
      <c r="L51" s="52" t="n">
        <v>0.016</v>
      </c>
      <c r="M51" s="46" t="n">
        <f aca="false">IFERROR(L51*3600/K51,0)</f>
        <v>1.2</v>
      </c>
      <c r="N51" s="49" t="n">
        <f aca="false">IFERROR(M51/J51,0)</f>
        <v>0.24</v>
      </c>
      <c r="O51" s="36" t="n">
        <v>0</v>
      </c>
      <c r="P51" s="46" t="n">
        <f aca="false">IFERROR(O51/K51*1000,0)</f>
        <v>0</v>
      </c>
      <c r="Q51" s="37" t="n">
        <v>17</v>
      </c>
      <c r="R51" s="53" t="n">
        <v>0</v>
      </c>
      <c r="S51" s="37" t="n">
        <f aca="false">IF(ISNUMBER(R51),ROUND(R51*Q51,0),0)</f>
        <v>0</v>
      </c>
      <c r="T51" s="37" t="n">
        <f aca="false">MAX(K51-S51,0)</f>
        <v>48</v>
      </c>
      <c r="U51" s="49" t="n">
        <f aca="false">IFERROR(T51/K51,0)</f>
        <v>1</v>
      </c>
      <c r="V51" s="36" t="n">
        <v>0</v>
      </c>
      <c r="W51" s="36" t="s">
        <v>286</v>
      </c>
      <c r="X51" s="36" t="n">
        <f aca="false">LEN(C51)</f>
        <v>27</v>
      </c>
      <c r="Y51" s="36" t="str">
        <f aca="false">IF(V51=0,"0 (clean title)",IF(V51&lt;=2,"1–2",IF(V51&lt;=5,"3–5","6+")))</f>
        <v>0 (clean title)</v>
      </c>
      <c r="Z51" s="36" t="str">
        <f aca="false">IF(X51&lt;=30,"Short (≤30)",IF(X51&lt;=50,"Medium (31–50)","Long (51+)"))</f>
        <v>Short (≤30)</v>
      </c>
      <c r="AA51" s="36" t="str">
        <f aca="false">IF(J51&lt;=10,"a) ≤10s",IF(J51&lt;=30,"b) 11–30s",IF(J51&lt;=60,"c) 31–60s",IF(J51&lt;=180,"d) 61–180s","e) Long-form 3m+"))))</f>
        <v>a) ≤10s</v>
      </c>
      <c r="AB51" s="36" t="str">
        <f aca="false">IF(K51&gt;=1000,"Breakout (1K+)",IF(K51&gt;=250,"Solid (250–999)",IF(K51&gt;=100,"Average (100–249)","Low (&lt;100)")))</f>
        <v>Low (&lt;100)</v>
      </c>
      <c r="AC51" s="66" t="str">
        <f aca="false">HYPERLINK("https://youtu.be/"&amp;B51,"▶ Watch")</f>
        <v>▶ Watch</v>
      </c>
    </row>
    <row r="52" customFormat="false" ht="15.75" hidden="false" customHeight="true" outlineLevel="0" collapsed="false">
      <c r="A52" s="67" t="n">
        <v>48</v>
      </c>
      <c r="B52" s="67" t="s">
        <v>457</v>
      </c>
      <c r="C52" s="67" t="s">
        <v>458</v>
      </c>
      <c r="D52" s="68" t="n">
        <v>45237</v>
      </c>
      <c r="E52" s="69" t="n">
        <f aca="false">YEAR(D52)</f>
        <v>2023</v>
      </c>
      <c r="F52" s="67" t="str">
        <f aca="false">TEXT(D52,"ddd")</f>
        <v>Tue</v>
      </c>
      <c r="G52" s="67" t="s">
        <v>273</v>
      </c>
      <c r="H52" s="67" t="s">
        <v>253</v>
      </c>
      <c r="I52" s="67" t="s">
        <v>276</v>
      </c>
      <c r="J52" s="67" t="n">
        <v>10</v>
      </c>
      <c r="K52" s="70" t="n">
        <v>44</v>
      </c>
      <c r="L52" s="71" t="n">
        <v>0.0966</v>
      </c>
      <c r="M52" s="72" t="n">
        <f aca="false">IFERROR(L52*3600/K52,0)</f>
        <v>7.90363636363636</v>
      </c>
      <c r="N52" s="73" t="n">
        <f aca="false">IFERROR(M52/J52,0)</f>
        <v>0.790363636363636</v>
      </c>
      <c r="O52" s="67" t="n">
        <v>0</v>
      </c>
      <c r="P52" s="72" t="n">
        <f aca="false">IFERROR(O52/K52*1000,0)</f>
        <v>0</v>
      </c>
      <c r="Q52" s="70" t="n">
        <v>1640</v>
      </c>
      <c r="R52" s="74" t="n">
        <v>0.0244</v>
      </c>
      <c r="S52" s="70" t="n">
        <f aca="false">IF(ISNUMBER(R52),ROUND(R52*Q52,0),0)</f>
        <v>40</v>
      </c>
      <c r="T52" s="70" t="n">
        <f aca="false">MAX(K52-S52,0)</f>
        <v>4</v>
      </c>
      <c r="U52" s="73" t="n">
        <f aca="false">IFERROR(T52/K52,0)</f>
        <v>0.0909090909090909</v>
      </c>
      <c r="V52" s="67" t="n">
        <v>7</v>
      </c>
      <c r="W52" s="67" t="s">
        <v>287</v>
      </c>
      <c r="X52" s="67" t="n">
        <f aca="false">LEN(C52)</f>
        <v>94</v>
      </c>
      <c r="Y52" s="67" t="str">
        <f aca="false">IF(V52=0,"0 (clean title)",IF(V52&lt;=2,"1–2",IF(V52&lt;=5,"3–5","6+")))</f>
        <v>6+</v>
      </c>
      <c r="Z52" s="67" t="str">
        <f aca="false">IF(X52&lt;=30,"Short (≤30)",IF(X52&lt;=50,"Medium (31–50)","Long (51+)"))</f>
        <v>Long (51+)</v>
      </c>
      <c r="AA52" s="67" t="str">
        <f aca="false">IF(J52&lt;=10,"a) ≤10s",IF(J52&lt;=30,"b) 11–30s",IF(J52&lt;=60,"c) 31–60s",IF(J52&lt;=180,"d) 61–180s","e) Long-form 3m+"))))</f>
        <v>a) ≤10s</v>
      </c>
      <c r="AB52" s="67" t="str">
        <f aca="false">IF(K52&gt;=1000,"Breakout (1K+)",IF(K52&gt;=250,"Solid (250–999)",IF(K52&gt;=100,"Average (100–249)","Low (&lt;100)")))</f>
        <v>Low (&lt;100)</v>
      </c>
      <c r="AC52" s="75" t="str">
        <f aca="false">HYPERLINK("https://youtu.be/"&amp;B52,"▶ Watch")</f>
        <v>▶ Watch</v>
      </c>
    </row>
    <row r="53" customFormat="false" ht="15.75" hidden="false" customHeight="true" outlineLevel="0" collapsed="false">
      <c r="A53" s="36" t="n">
        <v>49</v>
      </c>
      <c r="B53" s="36" t="s">
        <v>459</v>
      </c>
      <c r="C53" s="36" t="s">
        <v>460</v>
      </c>
      <c r="D53" s="64" t="n">
        <v>46173</v>
      </c>
      <c r="E53" s="35" t="n">
        <f aca="false">YEAR(D53)</f>
        <v>2026</v>
      </c>
      <c r="F53" s="36" t="str">
        <f aca="false">TEXT(D53,"ddd")</f>
        <v>Sun</v>
      </c>
      <c r="G53" s="36" t="s">
        <v>273</v>
      </c>
      <c r="H53" s="36" t="s">
        <v>253</v>
      </c>
      <c r="I53" s="36" t="s">
        <v>277</v>
      </c>
      <c r="J53" s="36" t="n">
        <v>54</v>
      </c>
      <c r="K53" s="37" t="n">
        <v>43</v>
      </c>
      <c r="L53" s="52" t="n">
        <v>0.0211</v>
      </c>
      <c r="M53" s="46" t="n">
        <f aca="false">IFERROR(L53*3600/K53,0)</f>
        <v>1.76651162790698</v>
      </c>
      <c r="N53" s="49" t="n">
        <f aca="false">IFERROR(M53/J53,0)</f>
        <v>0.0327131782945736</v>
      </c>
      <c r="O53" s="36" t="n">
        <v>0</v>
      </c>
      <c r="P53" s="46" t="n">
        <f aca="false">IFERROR(O53/K53*1000,0)</f>
        <v>0</v>
      </c>
      <c r="Q53" s="37" t="n">
        <v>19</v>
      </c>
      <c r="R53" s="53" t="n">
        <v>0</v>
      </c>
      <c r="S53" s="37" t="n">
        <f aca="false">IF(ISNUMBER(R53),ROUND(R53*Q53,0),0)</f>
        <v>0</v>
      </c>
      <c r="T53" s="37" t="n">
        <f aca="false">MAX(K53-S53,0)</f>
        <v>43</v>
      </c>
      <c r="U53" s="49" t="n">
        <f aca="false">IFERROR(T53/K53,0)</f>
        <v>1</v>
      </c>
      <c r="V53" s="36" t="n">
        <v>0</v>
      </c>
      <c r="W53" s="36" t="s">
        <v>287</v>
      </c>
      <c r="X53" s="36" t="n">
        <f aca="false">LEN(C53)</f>
        <v>18</v>
      </c>
      <c r="Y53" s="36" t="str">
        <f aca="false">IF(V53=0,"0 (clean title)",IF(V53&lt;=2,"1–2",IF(V53&lt;=5,"3–5","6+")))</f>
        <v>0 (clean title)</v>
      </c>
      <c r="Z53" s="36" t="str">
        <f aca="false">IF(X53&lt;=30,"Short (≤30)",IF(X53&lt;=50,"Medium (31–50)","Long (51+)"))</f>
        <v>Short (≤30)</v>
      </c>
      <c r="AA53" s="36" t="str">
        <f aca="false">IF(J53&lt;=10,"a) ≤10s",IF(J53&lt;=30,"b) 11–30s",IF(J53&lt;=60,"c) 31–60s",IF(J53&lt;=180,"d) 61–180s","e) Long-form 3m+"))))</f>
        <v>c) 31–60s</v>
      </c>
      <c r="AB53" s="36" t="str">
        <f aca="false">IF(K53&gt;=1000,"Breakout (1K+)",IF(K53&gt;=250,"Solid (250–999)",IF(K53&gt;=100,"Average (100–249)","Low (&lt;100)")))</f>
        <v>Low (&lt;100)</v>
      </c>
      <c r="AC53" s="66" t="str">
        <f aca="false">HYPERLINK("https://youtu.be/"&amp;B53,"▶ Watch")</f>
        <v>▶ Watch</v>
      </c>
    </row>
    <row r="54" customFormat="false" ht="15.75" hidden="false" customHeight="true" outlineLevel="0" collapsed="false">
      <c r="A54" s="67" t="n">
        <v>50</v>
      </c>
      <c r="B54" s="67" t="s">
        <v>461</v>
      </c>
      <c r="C54" s="67" t="s">
        <v>462</v>
      </c>
      <c r="D54" s="68" t="n">
        <v>45439</v>
      </c>
      <c r="E54" s="69" t="n">
        <f aca="false">YEAR(D54)</f>
        <v>2024</v>
      </c>
      <c r="F54" s="67" t="str">
        <f aca="false">TEXT(D54,"ddd")</f>
        <v>Mon</v>
      </c>
      <c r="G54" s="67" t="s">
        <v>273</v>
      </c>
      <c r="H54" s="67" t="s">
        <v>250</v>
      </c>
      <c r="I54" s="67" t="s">
        <v>276</v>
      </c>
      <c r="J54" s="67" t="n">
        <v>4</v>
      </c>
      <c r="K54" s="70" t="n">
        <v>41</v>
      </c>
      <c r="L54" s="71" t="n">
        <v>0.0643</v>
      </c>
      <c r="M54" s="72" t="n">
        <f aca="false">IFERROR(L54*3600/K54,0)</f>
        <v>5.64585365853659</v>
      </c>
      <c r="N54" s="73" t="n">
        <f aca="false">IFERROR(M54/J54,0)</f>
        <v>1.41146341463415</v>
      </c>
      <c r="O54" s="67" t="n">
        <v>0</v>
      </c>
      <c r="P54" s="72" t="n">
        <f aca="false">IFERROR(O54/K54*1000,0)</f>
        <v>0</v>
      </c>
      <c r="Q54" s="70" t="n">
        <v>72</v>
      </c>
      <c r="R54" s="74" t="n">
        <v>0.0278</v>
      </c>
      <c r="S54" s="70" t="n">
        <f aca="false">IF(ISNUMBER(R54),ROUND(R54*Q54,0),0)</f>
        <v>2</v>
      </c>
      <c r="T54" s="70" t="n">
        <f aca="false">MAX(K54-S54,0)</f>
        <v>39</v>
      </c>
      <c r="U54" s="73" t="n">
        <f aca="false">IFERROR(T54/K54,0)</f>
        <v>0.951219512195122</v>
      </c>
      <c r="V54" s="67" t="n">
        <v>4</v>
      </c>
      <c r="W54" s="67" t="s">
        <v>287</v>
      </c>
      <c r="X54" s="67" t="n">
        <f aca="false">LEN(C54)</f>
        <v>44</v>
      </c>
      <c r="Y54" s="67" t="str">
        <f aca="false">IF(V54=0,"0 (clean title)",IF(V54&lt;=2,"1–2",IF(V54&lt;=5,"3–5","6+")))</f>
        <v>3–5</v>
      </c>
      <c r="Z54" s="67" t="str">
        <f aca="false">IF(X54&lt;=30,"Short (≤30)",IF(X54&lt;=50,"Medium (31–50)","Long (51+)"))</f>
        <v>Medium (31–50)</v>
      </c>
      <c r="AA54" s="67" t="str">
        <f aca="false">IF(J54&lt;=10,"a) ≤10s",IF(J54&lt;=30,"b) 11–30s",IF(J54&lt;=60,"c) 31–60s",IF(J54&lt;=180,"d) 61–180s","e) Long-form 3m+"))))</f>
        <v>a) ≤10s</v>
      </c>
      <c r="AB54" s="67" t="str">
        <f aca="false">IF(K54&gt;=1000,"Breakout (1K+)",IF(K54&gt;=250,"Solid (250–999)",IF(K54&gt;=100,"Average (100–249)","Low (&lt;100)")))</f>
        <v>Low (&lt;100)</v>
      </c>
      <c r="AC54" s="75" t="str">
        <f aca="false">HYPERLINK("https://youtu.be/"&amp;B54,"▶ Watch")</f>
        <v>▶ Watch</v>
      </c>
    </row>
    <row r="55" customFormat="false" ht="15.75" hidden="false" customHeight="true" outlineLevel="0" collapsed="false">
      <c r="A55" s="36" t="n">
        <v>51</v>
      </c>
      <c r="B55" s="36" t="s">
        <v>463</v>
      </c>
      <c r="C55" s="36" t="s">
        <v>464</v>
      </c>
      <c r="D55" s="64" t="n">
        <v>45241</v>
      </c>
      <c r="E55" s="35" t="n">
        <f aca="false">YEAR(D55)</f>
        <v>2023</v>
      </c>
      <c r="F55" s="36" t="str">
        <f aca="false">TEXT(D55,"ddd")</f>
        <v>Sat</v>
      </c>
      <c r="G55" s="36" t="s">
        <v>273</v>
      </c>
      <c r="H55" s="36" t="s">
        <v>250</v>
      </c>
      <c r="I55" s="36" t="s">
        <v>276</v>
      </c>
      <c r="J55" s="36" t="n">
        <v>4</v>
      </c>
      <c r="K55" s="37" t="n">
        <v>39</v>
      </c>
      <c r="L55" s="52" t="n">
        <v>0.0371</v>
      </c>
      <c r="M55" s="46" t="n">
        <f aca="false">IFERROR(L55*3600/K55,0)</f>
        <v>3.42461538461538</v>
      </c>
      <c r="N55" s="49" t="n">
        <f aca="false">IFERROR(M55/J55,0)</f>
        <v>0.856153846153846</v>
      </c>
      <c r="O55" s="36" t="n">
        <v>0</v>
      </c>
      <c r="P55" s="46" t="n">
        <f aca="false">IFERROR(O55/K55*1000,0)</f>
        <v>0</v>
      </c>
      <c r="Q55" s="37" t="n">
        <v>1098</v>
      </c>
      <c r="R55" s="53" t="n">
        <v>0.0328</v>
      </c>
      <c r="S55" s="37" t="n">
        <f aca="false">IF(ISNUMBER(R55),ROUND(R55*Q55,0),0)</f>
        <v>36</v>
      </c>
      <c r="T55" s="37" t="n">
        <f aca="false">MAX(K55-S55,0)</f>
        <v>3</v>
      </c>
      <c r="U55" s="49" t="n">
        <f aca="false">IFERROR(T55/K55,0)</f>
        <v>0.0769230769230769</v>
      </c>
      <c r="V55" s="36" t="n">
        <v>0</v>
      </c>
      <c r="W55" s="36" t="s">
        <v>286</v>
      </c>
      <c r="X55" s="36" t="n">
        <f aca="false">LEN(C55)</f>
        <v>43</v>
      </c>
      <c r="Y55" s="36" t="str">
        <f aca="false">IF(V55=0,"0 (clean title)",IF(V55&lt;=2,"1–2",IF(V55&lt;=5,"3–5","6+")))</f>
        <v>0 (clean title)</v>
      </c>
      <c r="Z55" s="36" t="str">
        <f aca="false">IF(X55&lt;=30,"Short (≤30)",IF(X55&lt;=50,"Medium (31–50)","Long (51+)"))</f>
        <v>Medium (31–50)</v>
      </c>
      <c r="AA55" s="36" t="str">
        <f aca="false">IF(J55&lt;=10,"a) ≤10s",IF(J55&lt;=30,"b) 11–30s",IF(J55&lt;=60,"c) 31–60s",IF(J55&lt;=180,"d) 61–180s","e) Long-form 3m+"))))</f>
        <v>a) ≤10s</v>
      </c>
      <c r="AB55" s="36" t="str">
        <f aca="false">IF(K55&gt;=1000,"Breakout (1K+)",IF(K55&gt;=250,"Solid (250–999)",IF(K55&gt;=100,"Average (100–249)","Low (&lt;100)")))</f>
        <v>Low (&lt;100)</v>
      </c>
      <c r="AC55" s="66" t="str">
        <f aca="false">HYPERLINK("https://youtu.be/"&amp;B55,"▶ Watch")</f>
        <v>▶ Watch</v>
      </c>
    </row>
    <row r="56" customFormat="false" ht="15.75" hidden="false" customHeight="true" outlineLevel="0" collapsed="false">
      <c r="A56" s="67" t="n">
        <v>52</v>
      </c>
      <c r="B56" s="67" t="s">
        <v>465</v>
      </c>
      <c r="C56" s="67" t="s">
        <v>466</v>
      </c>
      <c r="D56" s="68" t="n">
        <v>45219</v>
      </c>
      <c r="E56" s="69" t="n">
        <f aca="false">YEAR(D56)</f>
        <v>2023</v>
      </c>
      <c r="F56" s="67" t="str">
        <f aca="false">TEXT(D56,"ddd")</f>
        <v>Fri</v>
      </c>
      <c r="G56" s="67" t="s">
        <v>273</v>
      </c>
      <c r="H56" s="67" t="s">
        <v>259</v>
      </c>
      <c r="I56" s="67" t="s">
        <v>276</v>
      </c>
      <c r="J56" s="67" t="n">
        <v>8</v>
      </c>
      <c r="K56" s="70" t="n">
        <v>30</v>
      </c>
      <c r="L56" s="71" t="n">
        <v>0.0573</v>
      </c>
      <c r="M56" s="72" t="n">
        <f aca="false">IFERROR(L56*3600/K56,0)</f>
        <v>6.876</v>
      </c>
      <c r="N56" s="73" t="n">
        <f aca="false">IFERROR(M56/J56,0)</f>
        <v>0.8595</v>
      </c>
      <c r="O56" s="67" t="n">
        <v>0</v>
      </c>
      <c r="P56" s="72" t="n">
        <f aca="false">IFERROR(O56/K56*1000,0)</f>
        <v>0</v>
      </c>
      <c r="Q56" s="70" t="n">
        <v>398</v>
      </c>
      <c r="R56" s="74" t="n">
        <v>0.0101</v>
      </c>
      <c r="S56" s="70" t="n">
        <f aca="false">IF(ISNUMBER(R56),ROUND(R56*Q56,0),0)</f>
        <v>4</v>
      </c>
      <c r="T56" s="70" t="n">
        <f aca="false">MAX(K56-S56,0)</f>
        <v>26</v>
      </c>
      <c r="U56" s="73" t="n">
        <f aca="false">IFERROR(T56/K56,0)</f>
        <v>0.866666666666667</v>
      </c>
      <c r="V56" s="67" t="n">
        <v>11</v>
      </c>
      <c r="W56" s="67" t="s">
        <v>287</v>
      </c>
      <c r="X56" s="67" t="n">
        <f aca="false">LEN(C56)</f>
        <v>95</v>
      </c>
      <c r="Y56" s="67" t="str">
        <f aca="false">IF(V56=0,"0 (clean title)",IF(V56&lt;=2,"1–2",IF(V56&lt;=5,"3–5","6+")))</f>
        <v>6+</v>
      </c>
      <c r="Z56" s="67" t="str">
        <f aca="false">IF(X56&lt;=30,"Short (≤30)",IF(X56&lt;=50,"Medium (31–50)","Long (51+)"))</f>
        <v>Long (51+)</v>
      </c>
      <c r="AA56" s="67" t="str">
        <f aca="false">IF(J56&lt;=10,"a) ≤10s",IF(J56&lt;=30,"b) 11–30s",IF(J56&lt;=60,"c) 31–60s",IF(J56&lt;=180,"d) 61–180s","e) Long-form 3m+"))))</f>
        <v>a) ≤10s</v>
      </c>
      <c r="AB56" s="67" t="str">
        <f aca="false">IF(K56&gt;=1000,"Breakout (1K+)",IF(K56&gt;=250,"Solid (250–999)",IF(K56&gt;=100,"Average (100–249)","Low (&lt;100)")))</f>
        <v>Low (&lt;100)</v>
      </c>
      <c r="AC56" s="75" t="str">
        <f aca="false">HYPERLINK("https://youtu.be/"&amp;B56,"▶ Watch")</f>
        <v>▶ Watch</v>
      </c>
    </row>
    <row r="57" customFormat="false" ht="15.75" hidden="false" customHeight="true" outlineLevel="0" collapsed="false">
      <c r="A57" s="36" t="n">
        <v>53</v>
      </c>
      <c r="B57" s="36" t="s">
        <v>467</v>
      </c>
      <c r="C57" s="36" t="s">
        <v>468</v>
      </c>
      <c r="D57" s="64" t="n">
        <v>45432</v>
      </c>
      <c r="E57" s="35" t="n">
        <f aca="false">YEAR(D57)</f>
        <v>2024</v>
      </c>
      <c r="F57" s="36" t="str">
        <f aca="false">TEXT(D57,"ddd")</f>
        <v>Mon</v>
      </c>
      <c r="G57" s="36" t="s">
        <v>273</v>
      </c>
      <c r="H57" s="36" t="s">
        <v>250</v>
      </c>
      <c r="I57" s="36" t="s">
        <v>276</v>
      </c>
      <c r="J57" s="36" t="n">
        <v>8</v>
      </c>
      <c r="K57" s="37" t="n">
        <v>24</v>
      </c>
      <c r="L57" s="52" t="n">
        <v>0.0566</v>
      </c>
      <c r="M57" s="46" t="n">
        <f aca="false">IFERROR(L57*3600/K57,0)</f>
        <v>8.49</v>
      </c>
      <c r="N57" s="49" t="n">
        <f aca="false">IFERROR(M57/J57,0)</f>
        <v>1.06125</v>
      </c>
      <c r="O57" s="36" t="n">
        <v>0</v>
      </c>
      <c r="P57" s="46" t="n">
        <f aca="false">IFERROR(O57/K57*1000,0)</f>
        <v>0</v>
      </c>
      <c r="Q57" s="37" t="n">
        <v>49</v>
      </c>
      <c r="R57" s="53" t="n">
        <v>0</v>
      </c>
      <c r="S57" s="37" t="n">
        <f aca="false">IF(ISNUMBER(R57),ROUND(R57*Q57,0),0)</f>
        <v>0</v>
      </c>
      <c r="T57" s="37" t="n">
        <f aca="false">MAX(K57-S57,0)</f>
        <v>24</v>
      </c>
      <c r="U57" s="49" t="n">
        <f aca="false">IFERROR(T57/K57,0)</f>
        <v>1</v>
      </c>
      <c r="V57" s="36" t="n">
        <v>4</v>
      </c>
      <c r="W57" s="36" t="s">
        <v>287</v>
      </c>
      <c r="X57" s="36" t="n">
        <f aca="false">LEN(C57)</f>
        <v>55</v>
      </c>
      <c r="Y57" s="36" t="str">
        <f aca="false">IF(V57=0,"0 (clean title)",IF(V57&lt;=2,"1–2",IF(V57&lt;=5,"3–5","6+")))</f>
        <v>3–5</v>
      </c>
      <c r="Z57" s="36" t="str">
        <f aca="false">IF(X57&lt;=30,"Short (≤30)",IF(X57&lt;=50,"Medium (31–50)","Long (51+)"))</f>
        <v>Long (51+)</v>
      </c>
      <c r="AA57" s="36" t="str">
        <f aca="false">IF(J57&lt;=10,"a) ≤10s",IF(J57&lt;=30,"b) 11–30s",IF(J57&lt;=60,"c) 31–60s",IF(J57&lt;=180,"d) 61–180s","e) Long-form 3m+"))))</f>
        <v>a) ≤10s</v>
      </c>
      <c r="AB57" s="36" t="str">
        <f aca="false">IF(K57&gt;=1000,"Breakout (1K+)",IF(K57&gt;=250,"Solid (250–999)",IF(K57&gt;=100,"Average (100–249)","Low (&lt;100)")))</f>
        <v>Low (&lt;100)</v>
      </c>
      <c r="AC57" s="66" t="str">
        <f aca="false">HYPERLINK("https://youtu.be/"&amp;B57,"▶ Watch")</f>
        <v>▶ Watch</v>
      </c>
    </row>
    <row r="58" customFormat="false" ht="15.75" hidden="false" customHeight="true" outlineLevel="0" collapsed="false">
      <c r="A58" s="67" t="n">
        <v>54</v>
      </c>
      <c r="B58" s="67" t="s">
        <v>469</v>
      </c>
      <c r="C58" s="67" t="s">
        <v>470</v>
      </c>
      <c r="D58" s="68" t="n">
        <v>46158</v>
      </c>
      <c r="E58" s="69" t="n">
        <f aca="false">YEAR(D58)</f>
        <v>2026</v>
      </c>
      <c r="F58" s="67" t="str">
        <f aca="false">TEXT(D58,"ddd")</f>
        <v>Sat</v>
      </c>
      <c r="G58" s="67" t="s">
        <v>273</v>
      </c>
      <c r="H58" s="67" t="s">
        <v>250</v>
      </c>
      <c r="I58" s="67" t="s">
        <v>277</v>
      </c>
      <c r="J58" s="67" t="n">
        <v>4</v>
      </c>
      <c r="K58" s="70" t="n">
        <v>18</v>
      </c>
      <c r="L58" s="71" t="n">
        <v>0.0168</v>
      </c>
      <c r="M58" s="72" t="n">
        <f aca="false">IFERROR(L58*3600/K58,0)</f>
        <v>3.36</v>
      </c>
      <c r="N58" s="73" t="n">
        <f aca="false">IFERROR(M58/J58,0)</f>
        <v>0.84</v>
      </c>
      <c r="O58" s="67" t="n">
        <v>0</v>
      </c>
      <c r="P58" s="72" t="n">
        <f aca="false">IFERROR(O58/K58*1000,0)</f>
        <v>0</v>
      </c>
      <c r="Q58" s="70" t="n">
        <v>165</v>
      </c>
      <c r="R58" s="74" t="n">
        <v>0.0606</v>
      </c>
      <c r="S58" s="70" t="n">
        <f aca="false">IF(ISNUMBER(R58),ROUND(R58*Q58,0),0)</f>
        <v>10</v>
      </c>
      <c r="T58" s="70" t="n">
        <f aca="false">MAX(K58-S58,0)</f>
        <v>8</v>
      </c>
      <c r="U58" s="73" t="n">
        <f aca="false">IFERROR(T58/K58,0)</f>
        <v>0.444444444444444</v>
      </c>
      <c r="V58" s="67" t="n">
        <v>1</v>
      </c>
      <c r="W58" s="67" t="s">
        <v>287</v>
      </c>
      <c r="X58" s="67" t="n">
        <f aca="false">LEN(C58)</f>
        <v>27</v>
      </c>
      <c r="Y58" s="67" t="str">
        <f aca="false">IF(V58=0,"0 (clean title)",IF(V58&lt;=2,"1–2",IF(V58&lt;=5,"3–5","6+")))</f>
        <v>1–2</v>
      </c>
      <c r="Z58" s="67" t="str">
        <f aca="false">IF(X58&lt;=30,"Short (≤30)",IF(X58&lt;=50,"Medium (31–50)","Long (51+)"))</f>
        <v>Short (≤30)</v>
      </c>
      <c r="AA58" s="67" t="str">
        <f aca="false">IF(J58&lt;=10,"a) ≤10s",IF(J58&lt;=30,"b) 11–30s",IF(J58&lt;=60,"c) 31–60s",IF(J58&lt;=180,"d) 61–180s","e) Long-form 3m+"))))</f>
        <v>a) ≤10s</v>
      </c>
      <c r="AB58" s="67" t="str">
        <f aca="false">IF(K58&gt;=1000,"Breakout (1K+)",IF(K58&gt;=250,"Solid (250–999)",IF(K58&gt;=100,"Average (100–249)","Low (&lt;100)")))</f>
        <v>Low (&lt;100)</v>
      </c>
      <c r="AC58" s="75" t="str">
        <f aca="false">HYPERLINK("https://youtu.be/"&amp;B58,"▶ Watch")</f>
        <v>▶ Watch</v>
      </c>
    </row>
    <row r="59" customFormat="false" ht="15.75" hidden="false" customHeight="true" outlineLevel="0" collapsed="false">
      <c r="A59" s="36" t="n">
        <v>55</v>
      </c>
      <c r="B59" s="36" t="s">
        <v>471</v>
      </c>
      <c r="C59" s="36" t="s">
        <v>472</v>
      </c>
      <c r="D59" s="64" t="n">
        <v>45968</v>
      </c>
      <c r="E59" s="35" t="n">
        <f aca="false">YEAR(D59)</f>
        <v>2025</v>
      </c>
      <c r="F59" s="36" t="str">
        <f aca="false">TEXT(D59,"ddd")</f>
        <v>Fri</v>
      </c>
      <c r="G59" s="36" t="s">
        <v>273</v>
      </c>
      <c r="H59" s="36" t="s">
        <v>250</v>
      </c>
      <c r="I59" s="36" t="s">
        <v>277</v>
      </c>
      <c r="J59" s="36" t="n">
        <v>4</v>
      </c>
      <c r="K59" s="37" t="n">
        <v>17</v>
      </c>
      <c r="L59" s="52" t="n">
        <v>0.0091</v>
      </c>
      <c r="M59" s="46" t="n">
        <f aca="false">IFERROR(L59*3600/K59,0)</f>
        <v>1.92705882352941</v>
      </c>
      <c r="N59" s="49" t="n">
        <f aca="false">IFERROR(M59/J59,0)</f>
        <v>0.481764705882353</v>
      </c>
      <c r="O59" s="36" t="n">
        <v>0</v>
      </c>
      <c r="P59" s="46" t="n">
        <f aca="false">IFERROR(O59/K59*1000,0)</f>
        <v>0</v>
      </c>
      <c r="Q59" s="37" t="n">
        <v>52</v>
      </c>
      <c r="R59" s="53" t="n">
        <v>0</v>
      </c>
      <c r="S59" s="37" t="n">
        <f aca="false">IF(ISNUMBER(R59),ROUND(R59*Q59,0),0)</f>
        <v>0</v>
      </c>
      <c r="T59" s="37" t="n">
        <f aca="false">MAX(K59-S59,0)</f>
        <v>17</v>
      </c>
      <c r="U59" s="49" t="n">
        <f aca="false">IFERROR(T59/K59,0)</f>
        <v>1</v>
      </c>
      <c r="V59" s="36" t="n">
        <v>5</v>
      </c>
      <c r="W59" s="36" t="s">
        <v>286</v>
      </c>
      <c r="X59" s="36" t="n">
        <f aca="false">LEN(C59)</f>
        <v>82</v>
      </c>
      <c r="Y59" s="36" t="str">
        <f aca="false">IF(V59=0,"0 (clean title)",IF(V59&lt;=2,"1–2",IF(V59&lt;=5,"3–5","6+")))</f>
        <v>3–5</v>
      </c>
      <c r="Z59" s="36" t="str">
        <f aca="false">IF(X59&lt;=30,"Short (≤30)",IF(X59&lt;=50,"Medium (31–50)","Long (51+)"))</f>
        <v>Long (51+)</v>
      </c>
      <c r="AA59" s="36" t="str">
        <f aca="false">IF(J59&lt;=10,"a) ≤10s",IF(J59&lt;=30,"b) 11–30s",IF(J59&lt;=60,"c) 31–60s",IF(J59&lt;=180,"d) 61–180s","e) Long-form 3m+"))))</f>
        <v>a) ≤10s</v>
      </c>
      <c r="AB59" s="36" t="str">
        <f aca="false">IF(K59&gt;=1000,"Breakout (1K+)",IF(K59&gt;=250,"Solid (250–999)",IF(K59&gt;=100,"Average (100–249)","Low (&lt;100)")))</f>
        <v>Low (&lt;100)</v>
      </c>
      <c r="AC59" s="66" t="str">
        <f aca="false">HYPERLINK("https://youtu.be/"&amp;B59,"▶ Watch")</f>
        <v>▶ Watch</v>
      </c>
    </row>
    <row r="60" customFormat="false" ht="15.75" hidden="false" customHeight="true" outlineLevel="0" collapsed="false">
      <c r="A60" s="67" t="n">
        <v>56</v>
      </c>
      <c r="B60" s="67" t="s">
        <v>473</v>
      </c>
      <c r="C60" s="67" t="s">
        <v>448</v>
      </c>
      <c r="D60" s="68" t="n">
        <v>45319</v>
      </c>
      <c r="E60" s="69" t="n">
        <f aca="false">YEAR(D60)</f>
        <v>2024</v>
      </c>
      <c r="F60" s="67" t="str">
        <f aca="false">TEXT(D60,"ddd")</f>
        <v>Sun</v>
      </c>
      <c r="G60" s="67" t="s">
        <v>273</v>
      </c>
      <c r="H60" s="67" t="s">
        <v>250</v>
      </c>
      <c r="I60" s="67" t="s">
        <v>276</v>
      </c>
      <c r="J60" s="67" t="n">
        <v>9</v>
      </c>
      <c r="K60" s="70" t="n">
        <v>13</v>
      </c>
      <c r="L60" s="71" t="n">
        <v>0.0261</v>
      </c>
      <c r="M60" s="72" t="n">
        <f aca="false">IFERROR(L60*3600/K60,0)</f>
        <v>7.22769230769231</v>
      </c>
      <c r="N60" s="73" t="n">
        <f aca="false">IFERROR(M60/J60,0)</f>
        <v>0.803076923076923</v>
      </c>
      <c r="O60" s="67" t="n">
        <v>0</v>
      </c>
      <c r="P60" s="72" t="n">
        <f aca="false">IFERROR(O60/K60*1000,0)</f>
        <v>0</v>
      </c>
      <c r="Q60" s="70" t="n">
        <v>87</v>
      </c>
      <c r="R60" s="74" t="n">
        <v>0.023</v>
      </c>
      <c r="S60" s="70" t="n">
        <f aca="false">IF(ISNUMBER(R60),ROUND(R60*Q60,0),0)</f>
        <v>2</v>
      </c>
      <c r="T60" s="70" t="n">
        <f aca="false">MAX(K60-S60,0)</f>
        <v>11</v>
      </c>
      <c r="U60" s="73" t="n">
        <f aca="false">IFERROR(T60/K60,0)</f>
        <v>0.846153846153846</v>
      </c>
      <c r="V60" s="67" t="n">
        <v>8</v>
      </c>
      <c r="W60" s="67" t="s">
        <v>287</v>
      </c>
      <c r="X60" s="67" t="n">
        <f aca="false">LEN(C60)</f>
        <v>91</v>
      </c>
      <c r="Y60" s="67" t="str">
        <f aca="false">IF(V60=0,"0 (clean title)",IF(V60&lt;=2,"1–2",IF(V60&lt;=5,"3–5","6+")))</f>
        <v>6+</v>
      </c>
      <c r="Z60" s="67" t="str">
        <f aca="false">IF(X60&lt;=30,"Short (≤30)",IF(X60&lt;=50,"Medium (31–50)","Long (51+)"))</f>
        <v>Long (51+)</v>
      </c>
      <c r="AA60" s="67" t="str">
        <f aca="false">IF(J60&lt;=10,"a) ≤10s",IF(J60&lt;=30,"b) 11–30s",IF(J60&lt;=60,"c) 31–60s",IF(J60&lt;=180,"d) 61–180s","e) Long-form 3m+"))))</f>
        <v>a) ≤10s</v>
      </c>
      <c r="AB60" s="67" t="str">
        <f aca="false">IF(K60&gt;=1000,"Breakout (1K+)",IF(K60&gt;=250,"Solid (250–999)",IF(K60&gt;=100,"Average (100–249)","Low (&lt;100)")))</f>
        <v>Low (&lt;100)</v>
      </c>
      <c r="AC60" s="75" t="str">
        <f aca="false">HYPERLINK("https://youtu.be/"&amp;B60,"▶ Watch")</f>
        <v>▶ Watch</v>
      </c>
    </row>
    <row r="61" customFormat="false" ht="15.75" hidden="false" customHeight="true" outlineLevel="0" collapsed="false">
      <c r="A61" s="36" t="n">
        <v>57</v>
      </c>
      <c r="B61" s="36" t="s">
        <v>474</v>
      </c>
      <c r="C61" s="36" t="s">
        <v>475</v>
      </c>
      <c r="D61" s="64" t="n">
        <v>46137</v>
      </c>
      <c r="E61" s="35" t="n">
        <f aca="false">YEAR(D61)</f>
        <v>2026</v>
      </c>
      <c r="F61" s="36" t="str">
        <f aca="false">TEXT(D61,"ddd")</f>
        <v>Sat</v>
      </c>
      <c r="G61" s="36" t="s">
        <v>273</v>
      </c>
      <c r="H61" s="36" t="s">
        <v>253</v>
      </c>
      <c r="I61" s="36" t="s">
        <v>277</v>
      </c>
      <c r="J61" s="36" t="n">
        <v>61</v>
      </c>
      <c r="K61" s="37" t="n">
        <v>13</v>
      </c>
      <c r="L61" s="52" t="n">
        <v>0.1077</v>
      </c>
      <c r="M61" s="46" t="n">
        <f aca="false">IFERROR(L61*3600/K61,0)</f>
        <v>29.8246153846154</v>
      </c>
      <c r="N61" s="49" t="n">
        <f aca="false">IFERROR(M61/J61,0)</f>
        <v>0.488928121059269</v>
      </c>
      <c r="O61" s="36" t="n">
        <v>0</v>
      </c>
      <c r="P61" s="46" t="n">
        <f aca="false">IFERROR(O61/K61*1000,0)</f>
        <v>0</v>
      </c>
      <c r="Q61" s="37" t="n">
        <v>194</v>
      </c>
      <c r="R61" s="53" t="n">
        <v>0.0464</v>
      </c>
      <c r="S61" s="37" t="n">
        <f aca="false">IF(ISNUMBER(R61),ROUND(R61*Q61,0),0)</f>
        <v>9</v>
      </c>
      <c r="T61" s="37" t="n">
        <f aca="false">MAX(K61-S61,0)</f>
        <v>4</v>
      </c>
      <c r="U61" s="49" t="n">
        <f aca="false">IFERROR(T61/K61,0)</f>
        <v>0.307692307692308</v>
      </c>
      <c r="V61" s="36" t="n">
        <v>0</v>
      </c>
      <c r="W61" s="36" t="s">
        <v>286</v>
      </c>
      <c r="X61" s="36" t="n">
        <f aca="false">LEN(C61)</f>
        <v>25</v>
      </c>
      <c r="Y61" s="36" t="str">
        <f aca="false">IF(V61=0,"0 (clean title)",IF(V61&lt;=2,"1–2",IF(V61&lt;=5,"3–5","6+")))</f>
        <v>0 (clean title)</v>
      </c>
      <c r="Z61" s="36" t="str">
        <f aca="false">IF(X61&lt;=30,"Short (≤30)",IF(X61&lt;=50,"Medium (31–50)","Long (51+)"))</f>
        <v>Short (≤30)</v>
      </c>
      <c r="AA61" s="36" t="str">
        <f aca="false">IF(J61&lt;=10,"a) ≤10s",IF(J61&lt;=30,"b) 11–30s",IF(J61&lt;=60,"c) 31–60s",IF(J61&lt;=180,"d) 61–180s","e) Long-form 3m+"))))</f>
        <v>d) 61–180s</v>
      </c>
      <c r="AB61" s="36" t="str">
        <f aca="false">IF(K61&gt;=1000,"Breakout (1K+)",IF(K61&gt;=250,"Solid (250–999)",IF(K61&gt;=100,"Average (100–249)","Low (&lt;100)")))</f>
        <v>Low (&lt;100)</v>
      </c>
      <c r="AC61" s="66" t="str">
        <f aca="false">HYPERLINK("https://youtu.be/"&amp;B61,"▶ Watch")</f>
        <v>▶ Watch</v>
      </c>
    </row>
    <row r="62" customFormat="false" ht="15.75" hidden="false" customHeight="true" outlineLevel="0" collapsed="false">
      <c r="A62" s="67" t="n">
        <v>58</v>
      </c>
      <c r="B62" s="67" t="s">
        <v>476</v>
      </c>
      <c r="C62" s="67" t="s">
        <v>477</v>
      </c>
      <c r="D62" s="68" t="n">
        <v>45245</v>
      </c>
      <c r="E62" s="69" t="n">
        <f aca="false">YEAR(D62)</f>
        <v>2023</v>
      </c>
      <c r="F62" s="67" t="str">
        <f aca="false">TEXT(D62,"ddd")</f>
        <v>Wed</v>
      </c>
      <c r="G62" s="67" t="s">
        <v>273</v>
      </c>
      <c r="H62" s="67" t="s">
        <v>253</v>
      </c>
      <c r="I62" s="67" t="s">
        <v>276</v>
      </c>
      <c r="J62" s="67" t="n">
        <v>2</v>
      </c>
      <c r="K62" s="70" t="n">
        <v>12</v>
      </c>
      <c r="L62" s="71" t="n">
        <v>0.0065</v>
      </c>
      <c r="M62" s="72" t="n">
        <f aca="false">IFERROR(L62*3600/K62,0)</f>
        <v>1.95</v>
      </c>
      <c r="N62" s="73" t="n">
        <f aca="false">IFERROR(M62/J62,0)</f>
        <v>0.975</v>
      </c>
      <c r="O62" s="67" t="n">
        <v>0</v>
      </c>
      <c r="P62" s="72" t="n">
        <f aca="false">IFERROR(O62/K62*1000,0)</f>
        <v>0</v>
      </c>
      <c r="Q62" s="70" t="n">
        <v>335</v>
      </c>
      <c r="R62" s="74" t="n">
        <v>0.0358</v>
      </c>
      <c r="S62" s="70" t="n">
        <f aca="false">IF(ISNUMBER(R62),ROUND(R62*Q62,0),0)</f>
        <v>12</v>
      </c>
      <c r="T62" s="70" t="n">
        <f aca="false">MAX(K62-S62,0)</f>
        <v>0</v>
      </c>
      <c r="U62" s="73" t="n">
        <f aca="false">IFERROR(T62/K62,0)</f>
        <v>0</v>
      </c>
      <c r="V62" s="67" t="n">
        <v>8</v>
      </c>
      <c r="W62" s="67" t="s">
        <v>287</v>
      </c>
      <c r="X62" s="67" t="n">
        <f aca="false">LEN(C62)</f>
        <v>99</v>
      </c>
      <c r="Y62" s="67" t="str">
        <f aca="false">IF(V62=0,"0 (clean title)",IF(V62&lt;=2,"1–2",IF(V62&lt;=5,"3–5","6+")))</f>
        <v>6+</v>
      </c>
      <c r="Z62" s="67" t="str">
        <f aca="false">IF(X62&lt;=30,"Short (≤30)",IF(X62&lt;=50,"Medium (31–50)","Long (51+)"))</f>
        <v>Long (51+)</v>
      </c>
      <c r="AA62" s="67" t="str">
        <f aca="false">IF(J62&lt;=10,"a) ≤10s",IF(J62&lt;=30,"b) 11–30s",IF(J62&lt;=60,"c) 31–60s",IF(J62&lt;=180,"d) 61–180s","e) Long-form 3m+"))))</f>
        <v>a) ≤10s</v>
      </c>
      <c r="AB62" s="67" t="str">
        <f aca="false">IF(K62&gt;=1000,"Breakout (1K+)",IF(K62&gt;=250,"Solid (250–999)",IF(K62&gt;=100,"Average (100–249)","Low (&lt;100)")))</f>
        <v>Low (&lt;100)</v>
      </c>
      <c r="AC62" s="75" t="str">
        <f aca="false">HYPERLINK("https://youtu.be/"&amp;B62,"▶ Watch")</f>
        <v>▶ Watch</v>
      </c>
    </row>
    <row r="63" customFormat="false" ht="15.75" hidden="false" customHeight="true" outlineLevel="0" collapsed="false">
      <c r="A63" s="36" t="n">
        <v>59</v>
      </c>
      <c r="B63" s="36" t="s">
        <v>478</v>
      </c>
      <c r="C63" s="36" t="s">
        <v>479</v>
      </c>
      <c r="D63" s="64" t="n">
        <v>45965</v>
      </c>
      <c r="E63" s="35" t="n">
        <f aca="false">YEAR(D63)</f>
        <v>2025</v>
      </c>
      <c r="F63" s="36" t="str">
        <f aca="false">TEXT(D63,"ddd")</f>
        <v>Tue</v>
      </c>
      <c r="G63" s="36" t="s">
        <v>273</v>
      </c>
      <c r="H63" s="36" t="s">
        <v>250</v>
      </c>
      <c r="I63" s="36" t="s">
        <v>277</v>
      </c>
      <c r="J63" s="36" t="n">
        <v>2</v>
      </c>
      <c r="K63" s="37" t="n">
        <v>10</v>
      </c>
      <c r="L63" s="52" t="n">
        <v>0.0039</v>
      </c>
      <c r="M63" s="46" t="n">
        <f aca="false">IFERROR(L63*3600/K63,0)</f>
        <v>1.404</v>
      </c>
      <c r="N63" s="49" t="n">
        <f aca="false">IFERROR(M63/J63,0)</f>
        <v>0.702</v>
      </c>
      <c r="O63" s="36" t="n">
        <v>0</v>
      </c>
      <c r="P63" s="46" t="n">
        <f aca="false">IFERROR(O63/K63*1000,0)</f>
        <v>0</v>
      </c>
      <c r="Q63" s="37" t="n">
        <v>64</v>
      </c>
      <c r="R63" s="53" t="n">
        <v>0</v>
      </c>
      <c r="S63" s="37" t="n">
        <f aca="false">IF(ISNUMBER(R63),ROUND(R63*Q63,0),0)</f>
        <v>0</v>
      </c>
      <c r="T63" s="37" t="n">
        <f aca="false">MAX(K63-S63,0)</f>
        <v>10</v>
      </c>
      <c r="U63" s="49" t="n">
        <f aca="false">IFERROR(T63/K63,0)</f>
        <v>1</v>
      </c>
      <c r="V63" s="36" t="n">
        <v>8</v>
      </c>
      <c r="W63" s="36" t="s">
        <v>287</v>
      </c>
      <c r="X63" s="36" t="n">
        <f aca="false">LEN(C63)</f>
        <v>92</v>
      </c>
      <c r="Y63" s="36" t="str">
        <f aca="false">IF(V63=0,"0 (clean title)",IF(V63&lt;=2,"1–2",IF(V63&lt;=5,"3–5","6+")))</f>
        <v>6+</v>
      </c>
      <c r="Z63" s="36" t="str">
        <f aca="false">IF(X63&lt;=30,"Short (≤30)",IF(X63&lt;=50,"Medium (31–50)","Long (51+)"))</f>
        <v>Long (51+)</v>
      </c>
      <c r="AA63" s="36" t="str">
        <f aca="false">IF(J63&lt;=10,"a) ≤10s",IF(J63&lt;=30,"b) 11–30s",IF(J63&lt;=60,"c) 31–60s",IF(J63&lt;=180,"d) 61–180s","e) Long-form 3m+"))))</f>
        <v>a) ≤10s</v>
      </c>
      <c r="AB63" s="36" t="str">
        <f aca="false">IF(K63&gt;=1000,"Breakout (1K+)",IF(K63&gt;=250,"Solid (250–999)",IF(K63&gt;=100,"Average (100–249)","Low (&lt;100)")))</f>
        <v>Low (&lt;100)</v>
      </c>
      <c r="AC63" s="66" t="str">
        <f aca="false">HYPERLINK("https://youtu.be/"&amp;B63,"▶ Watch")</f>
        <v>▶ Watch</v>
      </c>
    </row>
    <row r="64" customFormat="false" ht="15.75" hidden="false" customHeight="true" outlineLevel="0" collapsed="false">
      <c r="A64" s="67" t="n">
        <v>60</v>
      </c>
      <c r="B64" s="67" t="s">
        <v>480</v>
      </c>
      <c r="C64" s="67" t="s">
        <v>481</v>
      </c>
      <c r="D64" s="68" t="n">
        <v>46165</v>
      </c>
      <c r="E64" s="69" t="n">
        <f aca="false">YEAR(D64)</f>
        <v>2026</v>
      </c>
      <c r="F64" s="67" t="str">
        <f aca="false">TEXT(D64,"ddd")</f>
        <v>Sat</v>
      </c>
      <c r="G64" s="67" t="s">
        <v>273</v>
      </c>
      <c r="H64" s="67" t="s">
        <v>250</v>
      </c>
      <c r="I64" s="67" t="s">
        <v>277</v>
      </c>
      <c r="J64" s="67" t="n">
        <v>3</v>
      </c>
      <c r="K64" s="70" t="n">
        <v>10</v>
      </c>
      <c r="L64" s="71" t="n">
        <v>0.009</v>
      </c>
      <c r="M64" s="72" t="n">
        <f aca="false">IFERROR(L64*3600/K64,0)</f>
        <v>3.24</v>
      </c>
      <c r="N64" s="73" t="n">
        <f aca="false">IFERROR(M64/J64,0)</f>
        <v>1.08</v>
      </c>
      <c r="O64" s="67" t="n">
        <v>0</v>
      </c>
      <c r="P64" s="72" t="n">
        <f aca="false">IFERROR(O64/K64*1000,0)</f>
        <v>0</v>
      </c>
      <c r="Q64" s="70" t="n">
        <v>17</v>
      </c>
      <c r="R64" s="74" t="n">
        <v>0.1765</v>
      </c>
      <c r="S64" s="70" t="n">
        <f aca="false">IF(ISNUMBER(R64),ROUND(R64*Q64,0),0)</f>
        <v>3</v>
      </c>
      <c r="T64" s="70" t="n">
        <f aca="false">MAX(K64-S64,0)</f>
        <v>7</v>
      </c>
      <c r="U64" s="73" t="n">
        <f aca="false">IFERROR(T64/K64,0)</f>
        <v>0.7</v>
      </c>
      <c r="V64" s="67" t="n">
        <v>1</v>
      </c>
      <c r="W64" s="67" t="s">
        <v>287</v>
      </c>
      <c r="X64" s="67" t="n">
        <f aca="false">LEN(C64)</f>
        <v>26</v>
      </c>
      <c r="Y64" s="67" t="str">
        <f aca="false">IF(V64=0,"0 (clean title)",IF(V64&lt;=2,"1–2",IF(V64&lt;=5,"3–5","6+")))</f>
        <v>1–2</v>
      </c>
      <c r="Z64" s="67" t="str">
        <f aca="false">IF(X64&lt;=30,"Short (≤30)",IF(X64&lt;=50,"Medium (31–50)","Long (51+)"))</f>
        <v>Short (≤30)</v>
      </c>
      <c r="AA64" s="67" t="str">
        <f aca="false">IF(J64&lt;=10,"a) ≤10s",IF(J64&lt;=30,"b) 11–30s",IF(J64&lt;=60,"c) 31–60s",IF(J64&lt;=180,"d) 61–180s","e) Long-form 3m+"))))</f>
        <v>a) ≤10s</v>
      </c>
      <c r="AB64" s="67" t="str">
        <f aca="false">IF(K64&gt;=1000,"Breakout (1K+)",IF(K64&gt;=250,"Solid (250–999)",IF(K64&gt;=100,"Average (100–249)","Low (&lt;100)")))</f>
        <v>Low (&lt;100)</v>
      </c>
      <c r="AC64" s="75" t="str">
        <f aca="false">HYPERLINK("https://youtu.be/"&amp;B64,"▶ Watch")</f>
        <v>▶ Watch</v>
      </c>
    </row>
    <row r="65" customFormat="false" ht="15.75" hidden="false" customHeight="true" outlineLevel="0" collapsed="false">
      <c r="A65" s="36" t="n">
        <v>61</v>
      </c>
      <c r="B65" s="36" t="s">
        <v>482</v>
      </c>
      <c r="C65" s="36" t="s">
        <v>483</v>
      </c>
      <c r="D65" s="64" t="n">
        <v>45986</v>
      </c>
      <c r="E65" s="35" t="n">
        <f aca="false">YEAR(D65)</f>
        <v>2025</v>
      </c>
      <c r="F65" s="36" t="str">
        <f aca="false">TEXT(D65,"ddd")</f>
        <v>Tue</v>
      </c>
      <c r="G65" s="36" t="s">
        <v>273</v>
      </c>
      <c r="H65" s="36" t="s">
        <v>253</v>
      </c>
      <c r="I65" s="36" t="s">
        <v>277</v>
      </c>
      <c r="J65" s="36" t="n">
        <v>3</v>
      </c>
      <c r="K65" s="37" t="n">
        <v>6</v>
      </c>
      <c r="L65" s="52" t="n">
        <v>0.0031</v>
      </c>
      <c r="M65" s="46" t="n">
        <f aca="false">IFERROR(L65*3600/K65,0)</f>
        <v>1.86</v>
      </c>
      <c r="N65" s="49" t="n">
        <f aca="false">IFERROR(M65/J65,0)</f>
        <v>0.62</v>
      </c>
      <c r="O65" s="36" t="n">
        <v>0</v>
      </c>
      <c r="P65" s="46" t="n">
        <f aca="false">IFERROR(O65/K65*1000,0)</f>
        <v>0</v>
      </c>
      <c r="Q65" s="37" t="n">
        <v>76</v>
      </c>
      <c r="R65" s="53" t="n">
        <v>0</v>
      </c>
      <c r="S65" s="37" t="n">
        <f aca="false">IF(ISNUMBER(R65),ROUND(R65*Q65,0),0)</f>
        <v>0</v>
      </c>
      <c r="T65" s="37" t="n">
        <f aca="false">MAX(K65-S65,0)</f>
        <v>6</v>
      </c>
      <c r="U65" s="49" t="n">
        <f aca="false">IFERROR(T65/K65,0)</f>
        <v>1</v>
      </c>
      <c r="V65" s="36" t="n">
        <v>0</v>
      </c>
      <c r="W65" s="36" t="s">
        <v>286</v>
      </c>
      <c r="X65" s="36" t="n">
        <f aca="false">LEN(C65)</f>
        <v>28</v>
      </c>
      <c r="Y65" s="36" t="str">
        <f aca="false">IF(V65=0,"0 (clean title)",IF(V65&lt;=2,"1–2",IF(V65&lt;=5,"3–5","6+")))</f>
        <v>0 (clean title)</v>
      </c>
      <c r="Z65" s="36" t="str">
        <f aca="false">IF(X65&lt;=30,"Short (≤30)",IF(X65&lt;=50,"Medium (31–50)","Long (51+)"))</f>
        <v>Short (≤30)</v>
      </c>
      <c r="AA65" s="36" t="str">
        <f aca="false">IF(J65&lt;=10,"a) ≤10s",IF(J65&lt;=30,"b) 11–30s",IF(J65&lt;=60,"c) 31–60s",IF(J65&lt;=180,"d) 61–180s","e) Long-form 3m+"))))</f>
        <v>a) ≤10s</v>
      </c>
      <c r="AB65" s="36" t="str">
        <f aca="false">IF(K65&gt;=1000,"Breakout (1K+)",IF(K65&gt;=250,"Solid (250–999)",IF(K65&gt;=100,"Average (100–249)","Low (&lt;100)")))</f>
        <v>Low (&lt;100)</v>
      </c>
      <c r="AC65" s="66" t="str">
        <f aca="false">HYPERLINK("https://youtu.be/"&amp;B65,"▶ Watch")</f>
        <v>▶ Watch</v>
      </c>
    </row>
    <row r="66" customFormat="false" ht="15.75" hidden="false" customHeight="true" outlineLevel="0" collapsed="false">
      <c r="A66" s="67" t="n">
        <v>62</v>
      </c>
      <c r="B66" s="67" t="s">
        <v>484</v>
      </c>
      <c r="C66" s="67" t="s">
        <v>485</v>
      </c>
      <c r="D66" s="68" t="n">
        <v>46179</v>
      </c>
      <c r="E66" s="69" t="n">
        <f aca="false">YEAR(D66)</f>
        <v>2026</v>
      </c>
      <c r="F66" s="67" t="str">
        <f aca="false">TEXT(D66,"ddd")</f>
        <v>Sat</v>
      </c>
      <c r="G66" s="67" t="s">
        <v>273</v>
      </c>
      <c r="H66" s="67" t="s">
        <v>253</v>
      </c>
      <c r="I66" s="67" t="s">
        <v>277</v>
      </c>
      <c r="J66" s="67" t="n">
        <v>9</v>
      </c>
      <c r="K66" s="70" t="n">
        <v>3</v>
      </c>
      <c r="L66" s="71" t="n">
        <v>0.0045</v>
      </c>
      <c r="M66" s="72" t="n">
        <f aca="false">IFERROR(L66*3600/K66,0)</f>
        <v>5.4</v>
      </c>
      <c r="N66" s="73" t="n">
        <f aca="false">IFERROR(M66/J66,0)</f>
        <v>0.6</v>
      </c>
      <c r="O66" s="67" t="n">
        <v>0</v>
      </c>
      <c r="P66" s="72" t="n">
        <f aca="false">IFERROR(O66/K66*1000,0)</f>
        <v>0</v>
      </c>
      <c r="Q66" s="70" t="n">
        <v>20</v>
      </c>
      <c r="R66" s="74" t="n">
        <v>0.1</v>
      </c>
      <c r="S66" s="70" t="n">
        <f aca="false">IF(ISNUMBER(R66),ROUND(R66*Q66,0),0)</f>
        <v>2</v>
      </c>
      <c r="T66" s="70" t="n">
        <f aca="false">MAX(K66-S66,0)</f>
        <v>1</v>
      </c>
      <c r="U66" s="73" t="n">
        <f aca="false">IFERROR(T66/K66,0)</f>
        <v>0.333333333333333</v>
      </c>
      <c r="V66" s="67" t="n">
        <v>0</v>
      </c>
      <c r="W66" s="67" t="s">
        <v>287</v>
      </c>
      <c r="X66" s="67" t="n">
        <f aca="false">LEN(C66)</f>
        <v>40</v>
      </c>
      <c r="Y66" s="67" t="str">
        <f aca="false">IF(V66=0,"0 (clean title)",IF(V66&lt;=2,"1–2",IF(V66&lt;=5,"3–5","6+")))</f>
        <v>0 (clean title)</v>
      </c>
      <c r="Z66" s="67" t="str">
        <f aca="false">IF(X66&lt;=30,"Short (≤30)",IF(X66&lt;=50,"Medium (31–50)","Long (51+)"))</f>
        <v>Medium (31–50)</v>
      </c>
      <c r="AA66" s="67" t="str">
        <f aca="false">IF(J66&lt;=10,"a) ≤10s",IF(J66&lt;=30,"b) 11–30s",IF(J66&lt;=60,"c) 31–60s",IF(J66&lt;=180,"d) 61–180s","e) Long-form 3m+"))))</f>
        <v>a) ≤10s</v>
      </c>
      <c r="AB66" s="67" t="str">
        <f aca="false">IF(K66&gt;=1000,"Breakout (1K+)",IF(K66&gt;=250,"Solid (250–999)",IF(K66&gt;=100,"Average (100–249)","Low (&lt;100)")))</f>
        <v>Low (&lt;100)</v>
      </c>
      <c r="AC66" s="75" t="str">
        <f aca="false">HYPERLINK("https://youtu.be/"&amp;B66,"▶ Watch")</f>
        <v>▶ Watch</v>
      </c>
    </row>
    <row r="67" customFormat="false" ht="15.75" hidden="false" customHeight="true" outlineLevel="0" collapsed="false">
      <c r="A67" s="36" t="n">
        <v>63</v>
      </c>
      <c r="B67" s="36" t="s">
        <v>486</v>
      </c>
      <c r="C67" s="36" t="s">
        <v>487</v>
      </c>
      <c r="D67" s="64" t="n">
        <v>46214</v>
      </c>
      <c r="E67" s="35" t="n">
        <f aca="false">YEAR(D67)</f>
        <v>2026</v>
      </c>
      <c r="F67" s="36" t="str">
        <f aca="false">TEXT(D67,"ddd")</f>
        <v>Sat</v>
      </c>
      <c r="G67" s="36" t="s">
        <v>273</v>
      </c>
      <c r="H67" s="36" t="s">
        <v>250</v>
      </c>
      <c r="I67" s="36" t="s">
        <v>277</v>
      </c>
      <c r="J67" s="36" t="n">
        <v>3</v>
      </c>
      <c r="K67" s="37" t="n">
        <v>2</v>
      </c>
      <c r="L67" s="52" t="n">
        <v>0.0016</v>
      </c>
      <c r="M67" s="46" t="n">
        <f aca="false">IFERROR(L67*3600/K67,0)</f>
        <v>2.88</v>
      </c>
      <c r="N67" s="49" t="n">
        <f aca="false">IFERROR(M67/J67,0)</f>
        <v>0.96</v>
      </c>
      <c r="O67" s="36" t="n">
        <v>0</v>
      </c>
      <c r="P67" s="46" t="n">
        <f aca="false">IFERROR(O67/K67*1000,0)</f>
        <v>0</v>
      </c>
      <c r="Q67" s="37" t="n">
        <v>10</v>
      </c>
      <c r="R67" s="53" t="n">
        <v>0.1</v>
      </c>
      <c r="S67" s="37" t="n">
        <f aca="false">IF(ISNUMBER(R67),ROUND(R67*Q67,0),0)</f>
        <v>1</v>
      </c>
      <c r="T67" s="37" t="n">
        <f aca="false">MAX(K67-S67,0)</f>
        <v>1</v>
      </c>
      <c r="U67" s="49" t="n">
        <f aca="false">IFERROR(T67/K67,0)</f>
        <v>0.5</v>
      </c>
      <c r="V67" s="36" t="n">
        <v>0</v>
      </c>
      <c r="W67" s="36" t="s">
        <v>286</v>
      </c>
      <c r="X67" s="36" t="n">
        <f aca="false">LEN(C67)</f>
        <v>39</v>
      </c>
      <c r="Y67" s="36" t="str">
        <f aca="false">IF(V67=0,"0 (clean title)",IF(V67&lt;=2,"1–2",IF(V67&lt;=5,"3–5","6+")))</f>
        <v>0 (clean title)</v>
      </c>
      <c r="Z67" s="36" t="str">
        <f aca="false">IF(X67&lt;=30,"Short (≤30)",IF(X67&lt;=50,"Medium (31–50)","Long (51+)"))</f>
        <v>Medium (31–50)</v>
      </c>
      <c r="AA67" s="36" t="str">
        <f aca="false">IF(J67&lt;=10,"a) ≤10s",IF(J67&lt;=30,"b) 11–30s",IF(J67&lt;=60,"c) 31–60s",IF(J67&lt;=180,"d) 61–180s","e) Long-form 3m+"))))</f>
        <v>a) ≤10s</v>
      </c>
      <c r="AB67" s="36" t="str">
        <f aca="false">IF(K67&gt;=1000,"Breakout (1K+)",IF(K67&gt;=250,"Solid (250–999)",IF(K67&gt;=100,"Average (100–249)","Low (&lt;100)")))</f>
        <v>Low (&lt;100)</v>
      </c>
      <c r="AC67" s="66" t="str">
        <f aca="false">HYPERLINK("https://youtu.be/"&amp;B67,"▶ Watch")</f>
        <v>▶ Watch</v>
      </c>
    </row>
    <row r="68" customFormat="false" ht="15.75" hidden="false" customHeight="true" outlineLevel="0" collapsed="false">
      <c r="A68" s="67" t="n">
        <v>64</v>
      </c>
      <c r="B68" s="67" t="s">
        <v>488</v>
      </c>
      <c r="C68" s="67" t="s">
        <v>489</v>
      </c>
      <c r="D68" s="68" t="n">
        <v>46208</v>
      </c>
      <c r="E68" s="69" t="n">
        <f aca="false">YEAR(D68)</f>
        <v>2026</v>
      </c>
      <c r="F68" s="67" t="str">
        <f aca="false">TEXT(D68,"ddd")</f>
        <v>Sun</v>
      </c>
      <c r="G68" s="67" t="s">
        <v>273</v>
      </c>
      <c r="H68" s="67" t="s">
        <v>264</v>
      </c>
      <c r="I68" s="67" t="s">
        <v>277</v>
      </c>
      <c r="J68" s="67" t="n">
        <v>2</v>
      </c>
      <c r="K68" s="70" t="n">
        <v>2</v>
      </c>
      <c r="L68" s="71" t="n">
        <v>0.0006</v>
      </c>
      <c r="M68" s="72" t="n">
        <f aca="false">IFERROR(L68*3600/K68,0)</f>
        <v>1.08</v>
      </c>
      <c r="N68" s="73" t="n">
        <f aca="false">IFERROR(M68/J68,0)</f>
        <v>0.54</v>
      </c>
      <c r="O68" s="67" t="n">
        <v>0</v>
      </c>
      <c r="P68" s="72" t="n">
        <f aca="false">IFERROR(O68/K68*1000,0)</f>
        <v>0</v>
      </c>
      <c r="Q68" s="70" t="n">
        <v>10</v>
      </c>
      <c r="R68" s="74" t="n">
        <v>0.1</v>
      </c>
      <c r="S68" s="70" t="n">
        <f aca="false">IF(ISNUMBER(R68),ROUND(R68*Q68,0),0)</f>
        <v>1</v>
      </c>
      <c r="T68" s="70" t="n">
        <f aca="false">MAX(K68-S68,0)</f>
        <v>1</v>
      </c>
      <c r="U68" s="73" t="n">
        <f aca="false">IFERROR(T68/K68,0)</f>
        <v>0.5</v>
      </c>
      <c r="V68" s="67" t="n">
        <v>0</v>
      </c>
      <c r="W68" s="67" t="s">
        <v>286</v>
      </c>
      <c r="X68" s="67" t="n">
        <f aca="false">LEN(C68)</f>
        <v>34</v>
      </c>
      <c r="Y68" s="67" t="str">
        <f aca="false">IF(V68=0,"0 (clean title)",IF(V68&lt;=2,"1–2",IF(V68&lt;=5,"3–5","6+")))</f>
        <v>0 (clean title)</v>
      </c>
      <c r="Z68" s="67" t="str">
        <f aca="false">IF(X68&lt;=30,"Short (≤30)",IF(X68&lt;=50,"Medium (31–50)","Long (51+)"))</f>
        <v>Medium (31–50)</v>
      </c>
      <c r="AA68" s="67" t="str">
        <f aca="false">IF(J68&lt;=10,"a) ≤10s",IF(J68&lt;=30,"b) 11–30s",IF(J68&lt;=60,"c) 31–60s",IF(J68&lt;=180,"d) 61–180s","e) Long-form 3m+"))))</f>
        <v>a) ≤10s</v>
      </c>
      <c r="AB68" s="67" t="str">
        <f aca="false">IF(K68&gt;=1000,"Breakout (1K+)",IF(K68&gt;=250,"Solid (250–999)",IF(K68&gt;=100,"Average (100–249)","Low (&lt;100)")))</f>
        <v>Low (&lt;100)</v>
      </c>
      <c r="AC68" s="75" t="str">
        <f aca="false">HYPERLINK("https://youtu.be/"&amp;B68,"▶ Watch")</f>
        <v>▶ Watch</v>
      </c>
    </row>
    <row r="69" customFormat="false" ht="15.75" hidden="false" customHeight="true" outlineLevel="0" collapsed="false">
      <c r="A69" s="36" t="n">
        <v>65</v>
      </c>
      <c r="B69" s="36" t="s">
        <v>490</v>
      </c>
      <c r="C69" s="36" t="s">
        <v>491</v>
      </c>
      <c r="D69" s="64" t="n">
        <v>45993</v>
      </c>
      <c r="E69" s="35" t="n">
        <f aca="false">YEAR(D69)</f>
        <v>2025</v>
      </c>
      <c r="F69" s="36" t="str">
        <f aca="false">TEXT(D69,"ddd")</f>
        <v>Tue</v>
      </c>
      <c r="G69" s="36" t="s">
        <v>273</v>
      </c>
      <c r="H69" s="36" t="s">
        <v>264</v>
      </c>
      <c r="I69" s="36" t="s">
        <v>277</v>
      </c>
      <c r="J69" s="36" t="n">
        <v>5</v>
      </c>
      <c r="K69" s="37" t="n">
        <v>2</v>
      </c>
      <c r="L69" s="52" t="n">
        <v>0.0003</v>
      </c>
      <c r="M69" s="46" t="n">
        <f aca="false">IFERROR(L69*3600/K69,0)</f>
        <v>0.54</v>
      </c>
      <c r="N69" s="49" t="n">
        <f aca="false">IFERROR(M69/J69,0)</f>
        <v>0.108</v>
      </c>
      <c r="O69" s="36" t="n">
        <v>0</v>
      </c>
      <c r="P69" s="46" t="n">
        <f aca="false">IFERROR(O69/K69*1000,0)</f>
        <v>0</v>
      </c>
      <c r="Q69" s="37" t="n">
        <v>0</v>
      </c>
      <c r="R69" s="53"/>
      <c r="S69" s="37" t="n">
        <f aca="false">IF(ISNUMBER(R69),ROUND(R69*Q69,0),0)</f>
        <v>0</v>
      </c>
      <c r="T69" s="37" t="n">
        <f aca="false">MAX(K69-S69,0)</f>
        <v>2</v>
      </c>
      <c r="U69" s="49" t="n">
        <f aca="false">IFERROR(T69/K69,0)</f>
        <v>1</v>
      </c>
      <c r="V69" s="36" t="n">
        <v>0</v>
      </c>
      <c r="W69" s="36" t="s">
        <v>287</v>
      </c>
      <c r="X69" s="36" t="n">
        <f aca="false">LEN(C69)</f>
        <v>16</v>
      </c>
      <c r="Y69" s="36" t="str">
        <f aca="false">IF(V69=0,"0 (clean title)",IF(V69&lt;=2,"1–2",IF(V69&lt;=5,"3–5","6+")))</f>
        <v>0 (clean title)</v>
      </c>
      <c r="Z69" s="36" t="str">
        <f aca="false">IF(X69&lt;=30,"Short (≤30)",IF(X69&lt;=50,"Medium (31–50)","Long (51+)"))</f>
        <v>Short (≤30)</v>
      </c>
      <c r="AA69" s="36" t="str">
        <f aca="false">IF(J69&lt;=10,"a) ≤10s",IF(J69&lt;=30,"b) 11–30s",IF(J69&lt;=60,"c) 31–60s",IF(J69&lt;=180,"d) 61–180s","e) Long-form 3m+"))))</f>
        <v>a) ≤10s</v>
      </c>
      <c r="AB69" s="36" t="str">
        <f aca="false">IF(K69&gt;=1000,"Breakout (1K+)",IF(K69&gt;=250,"Solid (250–999)",IF(K69&gt;=100,"Average (100–249)","Low (&lt;100)")))</f>
        <v>Low (&lt;100)</v>
      </c>
      <c r="AC69" s="66" t="str">
        <f aca="false">HYPERLINK("https://youtu.be/"&amp;B69,"▶ Watch")</f>
        <v>▶ Watch</v>
      </c>
    </row>
    <row r="70" customFormat="false" ht="15.75" hidden="false" customHeight="true" outlineLevel="0" collapsed="false">
      <c r="A70" s="67" t="n">
        <v>66</v>
      </c>
      <c r="B70" s="67" t="s">
        <v>492</v>
      </c>
      <c r="C70" s="67" t="s">
        <v>493</v>
      </c>
      <c r="D70" s="68" t="n">
        <v>45446</v>
      </c>
      <c r="E70" s="69" t="n">
        <f aca="false">YEAR(D70)</f>
        <v>2024</v>
      </c>
      <c r="F70" s="67" t="str">
        <f aca="false">TEXT(D70,"ddd")</f>
        <v>Mon</v>
      </c>
      <c r="G70" s="67" t="s">
        <v>273</v>
      </c>
      <c r="H70" s="67" t="s">
        <v>250</v>
      </c>
      <c r="I70" s="67" t="s">
        <v>276</v>
      </c>
      <c r="J70" s="67" t="n">
        <v>2</v>
      </c>
      <c r="K70" s="70" t="n">
        <v>1</v>
      </c>
      <c r="L70" s="71" t="n">
        <v>0.0009</v>
      </c>
      <c r="M70" s="72" t="n">
        <f aca="false">IFERROR(L70*3600/K70,0)</f>
        <v>3.24</v>
      </c>
      <c r="N70" s="73" t="n">
        <f aca="false">IFERROR(M70/J70,0)</f>
        <v>1.62</v>
      </c>
      <c r="O70" s="67" t="n">
        <v>0</v>
      </c>
      <c r="P70" s="72" t="n">
        <f aca="false">IFERROR(O70/K70*1000,0)</f>
        <v>0</v>
      </c>
      <c r="Q70" s="70" t="n">
        <v>51</v>
      </c>
      <c r="R70" s="74" t="n">
        <v>0.0196</v>
      </c>
      <c r="S70" s="70" t="n">
        <f aca="false">IF(ISNUMBER(R70),ROUND(R70*Q70,0),0)</f>
        <v>1</v>
      </c>
      <c r="T70" s="70" t="n">
        <f aca="false">MAX(K70-S70,0)</f>
        <v>0</v>
      </c>
      <c r="U70" s="73" t="n">
        <f aca="false">IFERROR(T70/K70,0)</f>
        <v>0</v>
      </c>
      <c r="V70" s="67" t="n">
        <v>6</v>
      </c>
      <c r="W70" s="67" t="s">
        <v>286</v>
      </c>
      <c r="X70" s="67" t="n">
        <f aca="false">LEN(C70)</f>
        <v>79</v>
      </c>
      <c r="Y70" s="67" t="str">
        <f aca="false">IF(V70=0,"0 (clean title)",IF(V70&lt;=2,"1–2",IF(V70&lt;=5,"3–5","6+")))</f>
        <v>6+</v>
      </c>
      <c r="Z70" s="67" t="str">
        <f aca="false">IF(X70&lt;=30,"Short (≤30)",IF(X70&lt;=50,"Medium (31–50)","Long (51+)"))</f>
        <v>Long (51+)</v>
      </c>
      <c r="AA70" s="67" t="str">
        <f aca="false">IF(J70&lt;=10,"a) ≤10s",IF(J70&lt;=30,"b) 11–30s",IF(J70&lt;=60,"c) 31–60s",IF(J70&lt;=180,"d) 61–180s","e) Long-form 3m+"))))</f>
        <v>a) ≤10s</v>
      </c>
      <c r="AB70" s="67" t="str">
        <f aca="false">IF(K70&gt;=1000,"Breakout (1K+)",IF(K70&gt;=250,"Solid (250–999)",IF(K70&gt;=100,"Average (100–249)","Low (&lt;100)")))</f>
        <v>Low (&lt;100)</v>
      </c>
      <c r="AC70" s="75" t="str">
        <f aca="false">HYPERLINK("https://youtu.be/"&amp;B70,"▶ Watch")</f>
        <v>▶ Watch</v>
      </c>
    </row>
    <row r="71" customFormat="false" ht="15.75" hidden="false" customHeight="true" outlineLevel="0" collapsed="false">
      <c r="A71" s="36" t="n">
        <v>67</v>
      </c>
      <c r="B71" s="36" t="s">
        <v>494</v>
      </c>
      <c r="C71" s="36" t="s">
        <v>495</v>
      </c>
      <c r="D71" s="64" t="n">
        <v>46207</v>
      </c>
      <c r="E71" s="35" t="n">
        <f aca="false">YEAR(D71)</f>
        <v>2026</v>
      </c>
      <c r="F71" s="36" t="str">
        <f aca="false">TEXT(D71,"ddd")</f>
        <v>Sat</v>
      </c>
      <c r="G71" s="36" t="s">
        <v>273</v>
      </c>
      <c r="H71" s="36" t="s">
        <v>264</v>
      </c>
      <c r="I71" s="36" t="s">
        <v>277</v>
      </c>
      <c r="J71" s="36" t="n">
        <v>3</v>
      </c>
      <c r="K71" s="37" t="n">
        <v>1</v>
      </c>
      <c r="L71" s="52" t="n">
        <v>0.0006</v>
      </c>
      <c r="M71" s="46" t="n">
        <f aca="false">IFERROR(L71*3600/K71,0)</f>
        <v>2.16</v>
      </c>
      <c r="N71" s="49" t="n">
        <f aca="false">IFERROR(M71/J71,0)</f>
        <v>0.72</v>
      </c>
      <c r="O71" s="36" t="n">
        <v>0</v>
      </c>
      <c r="P71" s="46" t="n">
        <f aca="false">IFERROR(O71/K71*1000,0)</f>
        <v>0</v>
      </c>
      <c r="Q71" s="37" t="n">
        <v>3</v>
      </c>
      <c r="R71" s="53" t="n">
        <v>0.3333</v>
      </c>
      <c r="S71" s="37" t="n">
        <f aca="false">IF(ISNUMBER(R71),ROUND(R71*Q71,0),0)</f>
        <v>1</v>
      </c>
      <c r="T71" s="37" t="n">
        <f aca="false">MAX(K71-S71,0)</f>
        <v>0</v>
      </c>
      <c r="U71" s="49" t="n">
        <f aca="false">IFERROR(T71/K71,0)</f>
        <v>0</v>
      </c>
      <c r="V71" s="36" t="n">
        <v>0</v>
      </c>
      <c r="W71" s="36" t="s">
        <v>286</v>
      </c>
      <c r="X71" s="36" t="n">
        <f aca="false">LEN(C71)</f>
        <v>16</v>
      </c>
      <c r="Y71" s="36" t="str">
        <f aca="false">IF(V71=0,"0 (clean title)",IF(V71&lt;=2,"1–2",IF(V71&lt;=5,"3–5","6+")))</f>
        <v>0 (clean title)</v>
      </c>
      <c r="Z71" s="36" t="str">
        <f aca="false">IF(X71&lt;=30,"Short (≤30)",IF(X71&lt;=50,"Medium (31–50)","Long (51+)"))</f>
        <v>Short (≤30)</v>
      </c>
      <c r="AA71" s="36" t="str">
        <f aca="false">IF(J71&lt;=10,"a) ≤10s",IF(J71&lt;=30,"b) 11–30s",IF(J71&lt;=60,"c) 31–60s",IF(J71&lt;=180,"d) 61–180s","e) Long-form 3m+"))))</f>
        <v>a) ≤10s</v>
      </c>
      <c r="AB71" s="36" t="str">
        <f aca="false">IF(K71&gt;=1000,"Breakout (1K+)",IF(K71&gt;=250,"Solid (250–999)",IF(K71&gt;=100,"Average (100–249)","Low (&lt;100)")))</f>
        <v>Low (&lt;100)</v>
      </c>
      <c r="AC71" s="66" t="str">
        <f aca="false">HYPERLINK("https://youtu.be/"&amp;B71,"▶ Watch")</f>
        <v>▶ Watch</v>
      </c>
    </row>
    <row r="73" customFormat="false" ht="15" hidden="false" customHeight="false" outlineLevel="0" collapsed="false">
      <c r="C73" s="15" t="s">
        <v>496</v>
      </c>
      <c r="K73" s="55" t="n">
        <f aca="false">SUM(K5:K71)</f>
        <v>26080</v>
      </c>
      <c r="L73" s="57" t="n">
        <f aca="false">SUM(L5:L71)</f>
        <v>64.6158</v>
      </c>
      <c r="M73" s="57" t="n">
        <f aca="false">IFERROR(L73*3600/K73,0)</f>
        <v>8.91935889570552</v>
      </c>
      <c r="O73" s="15" t="n">
        <f aca="false">SUM(O5:O71)</f>
        <v>20</v>
      </c>
      <c r="P73" s="57" t="n">
        <f aca="false">IFERROR(O73/K73*1000,0)</f>
        <v>0.766871165644172</v>
      </c>
      <c r="Q73" s="55" t="n">
        <f aca="false">SUM(Q5:Q71)</f>
        <v>196868</v>
      </c>
      <c r="R73" s="59" t="n">
        <f aca="false">IFERROR(S73/Q73,0)</f>
        <v>0.0582166731007579</v>
      </c>
      <c r="S73" s="55" t="n">
        <f aca="false">SUM(S5:S71)</f>
        <v>11461</v>
      </c>
      <c r="T73" s="55" t="n">
        <f aca="false">SUM(T5:T71)</f>
        <v>14619</v>
      </c>
      <c r="U73" s="76" t="n">
        <f aca="false">IFERROR(T73/K73,0)</f>
        <v>0.560544478527607</v>
      </c>
    </row>
    <row r="74" customFormat="false" ht="39.75" hidden="false" customHeight="true" outlineLevel="0" collapsed="false">
      <c r="C74" s="77" t="s">
        <v>497</v>
      </c>
    </row>
  </sheetData>
  <autoFilter ref="A4:AC71"/>
  <conditionalFormatting sqref="K5:K71">
    <cfRule type="dataBar" priority="2">
      <dataBar showValue="1" minLength="10" maxLength="90">
        <cfvo type="min" val="0"/>
        <cfvo type="max" val="0"/>
        <color rgb="FF5B9BD5"/>
      </dataBar>
      <extLst>
        <ext xmlns:x14="http://schemas.microsoft.com/office/spreadsheetml/2009/9/main" uri="{B025F937-C7B1-47D3-B67F-A62EFF666E3E}">
          <x14:id>{20E0362E-31A7-42D2-A6B8-8BFD1C7452D4}</x14:id>
        </ext>
      </extLst>
    </cfRule>
  </conditionalFormatting>
  <conditionalFormatting sqref="Q5:Q71">
    <cfRule type="dataBar" priority="3">
      <dataBar showValue="1" minLength="10" maxLength="90">
        <cfvo type="min" val="0"/>
        <cfvo type="max" val="0"/>
        <color rgb="FFA9D18E"/>
      </dataBar>
      <extLst>
        <ext xmlns:x14="http://schemas.microsoft.com/office/spreadsheetml/2009/9/main" uri="{B025F937-C7B1-47D3-B67F-A62EFF666E3E}">
          <x14:id>{4985C0C5-E3C6-4468-8127-7D7810BCD470}</x14:id>
        </ext>
      </extLst>
    </cfRule>
  </conditionalFormatting>
  <conditionalFormatting sqref="L5:L71">
    <cfRule type="colorScale" priority="4">
      <colorScale>
        <cfvo type="min" val="0"/>
        <cfvo type="max" val="0"/>
        <color rgb="FFFFFFFF"/>
        <color rgb="FF63BE7B"/>
      </colorScale>
    </cfRule>
  </conditionalFormatting>
  <conditionalFormatting sqref="R5:R71">
    <cfRule type="expression" priority="5" aboveAverage="0" equalAverage="0" bottom="0" percent="0" rank="0" text="" dxfId="0">
      <formula>AND(ISNUMBER(R5),R5&gt;=0.06)</formula>
    </cfRule>
    <cfRule type="expression" priority="6" aboveAverage="0" equalAverage="0" bottom="0" percent="0" rank="0" text="" dxfId="1">
      <formula>AND(ISNUMBER(R5),AND(R5&gt;=0.04,R5&lt;0.06))</formula>
    </cfRule>
    <cfRule type="expression" priority="7" aboveAverage="0" equalAverage="0" bottom="0" percent="0" rank="0" text="" dxfId="2">
      <formula>AND(ISNUMBER(R5),R5&lt;0.04)</formula>
    </cfRule>
  </conditionalFormatting>
  <conditionalFormatting sqref="P5:P71">
    <cfRule type="expression" priority="8" aboveAverage="0" equalAverage="0" bottom="0" percent="0" rank="0" text="" dxfId="0">
      <formula>AND(ISNUMBER(P5),P5&gt;=2)</formula>
    </cfRule>
    <cfRule type="expression" priority="9" aboveAverage="0" equalAverage="0" bottom="0" percent="0" rank="0" text="" dxfId="1">
      <formula>AND(ISNUMBER(P5),AND(P5&gt;=0.5,P5&lt;2))</formula>
    </cfRule>
    <cfRule type="expression" priority="10" aboveAverage="0" equalAverage="0" bottom="0" percent="0" rank="0" text="" dxfId="2">
      <formula>AND(ISNUMBER(P5),P5&lt;0.5)</formula>
    </cfRule>
  </conditionalFormatting>
  <conditionalFormatting sqref="N5:N71">
    <cfRule type="colorScale" priority="11">
      <colorScale>
        <cfvo type="num" val="0"/>
        <cfvo type="num" val="0.6"/>
        <cfvo type="num" val="1"/>
        <color rgb="FFF8696B"/>
        <color rgb="FFFFEB84"/>
        <color rgb="FF63BE7B"/>
      </colorScale>
    </cfRule>
  </conditionalFormatting>
  <conditionalFormatting sqref="AB5:AB71">
    <cfRule type="expression" priority="12" aboveAverage="0" equalAverage="0" bottom="0" percent="0" rank="0" text="" dxfId="0">
      <formula>LEFT(AB5,8)="Breakout"</formula>
    </cfRule>
    <cfRule type="expression" priority="13" aboveAverage="0" equalAverage="0" bottom="0" percent="0" rank="0" text="" dxfId="7">
      <formula>LEFT(AB5,5)="Solid"</formula>
    </cfRule>
    <cfRule type="expression" priority="14" aboveAverage="0" equalAverage="0" bottom="0" percent="0" rank="0" text="" dxfId="1">
      <formula>LEFT(AB5,7)="Average"</formula>
    </cfRule>
    <cfRule type="expression" priority="15" aboveAverage="0" equalAverage="0" bottom="0" percent="0" rank="0" text="" dxfId="2">
      <formula>LEFT(AB5,3)="Low"</formula>
    </cfRule>
  </conditionalFormatting>
  <conditionalFormatting sqref="V5:V71">
    <cfRule type="cellIs" priority="16" operator="greaterThanOrEqual" aboveAverage="0" equalAverage="0" bottom="0" percent="0" rank="0" text="" dxfId="111">
      <formula>6</formula>
    </cfRule>
  </conditionalFormatting>
  <conditionalFormatting sqref="G5:G71">
    <cfRule type="cellIs" priority="17" operator="equal" aboveAverage="0" equalAverage="0" bottom="0" percent="0" rank="0" text="" dxfId="112">
      <formula>"Long-form"</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20E0362E-31A7-42D2-A6B8-8BFD1C7452D4}">
            <x14:dataBar minLength="10" maxLength="90" axisPosition="none" gradient="true">
              <x14:cfvo type="min"/>
              <x14:cfvo type="max"/>
              <x14:negativeFillColor rgb="FF5B9BD5"/>
              <x14:axisColor rgb="FF000000"/>
            </x14:dataBar>
          </x14:cfRule>
          <xm:sqref>K5:K71</xm:sqref>
        </x14:conditionalFormatting>
        <x14:conditionalFormatting xmlns:xm="http://schemas.microsoft.com/office/excel/2006/main">
          <x14:cfRule type="dataBar" id="{4985C0C5-E3C6-4468-8127-7D7810BCD470}">
            <x14:dataBar minLength="10" maxLength="90" axisPosition="none" gradient="true">
              <x14:cfvo type="min"/>
              <x14:cfvo type="max"/>
              <x14:negativeFillColor rgb="FFA9D18E"/>
              <x14:axisColor rgb="FF000000"/>
            </x14:dataBar>
          </x14:cfRule>
          <xm:sqref>Q5:Q71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4" min="3" style="0" width="52"/>
    <col collapsed="false" customWidth="true" hidden="false" outlineLevel="0" max="5" min="5" style="0" width="18"/>
    <col collapsed="false" customWidth="true" hidden="false" outlineLevel="0" max="6" min="6" style="0" width="34"/>
  </cols>
  <sheetData>
    <row r="1" customFormat="false" ht="30" hidden="false" customHeight="true" outlineLevel="0" collapsed="false">
      <c r="A1" s="1" t="s">
        <v>498</v>
      </c>
    </row>
    <row r="2" customFormat="false" ht="15" hidden="false" customHeight="false" outlineLevel="0" collapsed="false">
      <c r="A2" s="2" t="s">
        <v>499</v>
      </c>
    </row>
    <row r="4" customFormat="false" ht="31.5" hidden="false" customHeight="true" outlineLevel="0" collapsed="false">
      <c r="A4" s="4" t="s">
        <v>100</v>
      </c>
      <c r="B4" s="4" t="s">
        <v>129</v>
      </c>
      <c r="C4" s="4" t="s">
        <v>500</v>
      </c>
      <c r="D4" s="4" t="s">
        <v>501</v>
      </c>
      <c r="E4" s="4" t="s">
        <v>502</v>
      </c>
      <c r="F4" s="4" t="s">
        <v>503</v>
      </c>
    </row>
    <row r="5" customFormat="false" ht="91.5" hidden="false" customHeight="true" outlineLevel="0" collapsed="false">
      <c r="A5" s="6" t="n">
        <v>1</v>
      </c>
      <c r="B5" s="42" t="s">
        <v>504</v>
      </c>
      <c r="C5" s="6" t="s">
        <v>505</v>
      </c>
      <c r="D5" s="6" t="s">
        <v>506</v>
      </c>
      <c r="E5" s="6" t="s">
        <v>507</v>
      </c>
      <c r="F5" s="78" t="s">
        <v>508</v>
      </c>
    </row>
    <row r="6" customFormat="false" ht="91.5" hidden="false" customHeight="true" outlineLevel="0" collapsed="false">
      <c r="A6" s="6" t="n">
        <v>2</v>
      </c>
      <c r="B6" s="42" t="s">
        <v>504</v>
      </c>
      <c r="C6" s="6" t="s">
        <v>509</v>
      </c>
      <c r="D6" s="6" t="s">
        <v>510</v>
      </c>
      <c r="E6" s="6" t="s">
        <v>511</v>
      </c>
      <c r="F6" s="78" t="s">
        <v>512</v>
      </c>
    </row>
    <row r="7" customFormat="false" ht="91.5" hidden="false" customHeight="true" outlineLevel="0" collapsed="false">
      <c r="A7" s="6" t="n">
        <v>3</v>
      </c>
      <c r="B7" s="42" t="s">
        <v>513</v>
      </c>
      <c r="C7" s="6" t="s">
        <v>514</v>
      </c>
      <c r="D7" s="6" t="s">
        <v>515</v>
      </c>
      <c r="E7" s="6" t="s">
        <v>516</v>
      </c>
      <c r="F7" s="78" t="s">
        <v>517</v>
      </c>
    </row>
    <row r="8" customFormat="false" ht="91.5" hidden="false" customHeight="true" outlineLevel="0" collapsed="false">
      <c r="A8" s="6" t="n">
        <v>4</v>
      </c>
      <c r="B8" s="42" t="s">
        <v>518</v>
      </c>
      <c r="C8" s="6" t="s">
        <v>519</v>
      </c>
      <c r="D8" s="6" t="s">
        <v>520</v>
      </c>
      <c r="E8" s="6" t="s">
        <v>521</v>
      </c>
      <c r="F8" s="78" t="s">
        <v>522</v>
      </c>
    </row>
    <row r="9" customFormat="false" ht="91.5" hidden="false" customHeight="true" outlineLevel="0" collapsed="false">
      <c r="A9" s="6" t="n">
        <v>5</v>
      </c>
      <c r="B9" s="42" t="s">
        <v>523</v>
      </c>
      <c r="C9" s="6" t="s">
        <v>524</v>
      </c>
      <c r="D9" s="6" t="s">
        <v>525</v>
      </c>
      <c r="E9" s="6" t="s">
        <v>526</v>
      </c>
      <c r="F9" s="78" t="s">
        <v>527</v>
      </c>
    </row>
    <row r="10" customFormat="false" ht="91.5" hidden="false" customHeight="true" outlineLevel="0" collapsed="false">
      <c r="A10" s="6" t="n">
        <v>6</v>
      </c>
      <c r="B10" s="42" t="s">
        <v>528</v>
      </c>
      <c r="C10" s="6" t="s">
        <v>529</v>
      </c>
      <c r="D10" s="6" t="s">
        <v>530</v>
      </c>
      <c r="E10" s="6" t="s">
        <v>531</v>
      </c>
      <c r="F10" s="78" t="s">
        <v>527</v>
      </c>
    </row>
    <row r="11" customFormat="false" ht="91.5" hidden="false" customHeight="true" outlineLevel="0" collapsed="false">
      <c r="A11" s="6" t="n">
        <v>7</v>
      </c>
      <c r="B11" s="42" t="s">
        <v>532</v>
      </c>
      <c r="C11" s="6" t="s">
        <v>533</v>
      </c>
      <c r="D11" s="6" t="s">
        <v>534</v>
      </c>
      <c r="E11" s="6" t="s">
        <v>535</v>
      </c>
      <c r="F11" s="78" t="s">
        <v>536</v>
      </c>
    </row>
    <row r="12" customFormat="false" ht="91.5" hidden="false" customHeight="true" outlineLevel="0" collapsed="false">
      <c r="A12" s="6" t="n">
        <v>8</v>
      </c>
      <c r="B12" s="42" t="s">
        <v>537</v>
      </c>
      <c r="C12" s="6" t="s">
        <v>538</v>
      </c>
      <c r="D12" s="6" t="s">
        <v>539</v>
      </c>
      <c r="E12" s="6" t="s">
        <v>540</v>
      </c>
      <c r="F12" s="78" t="s">
        <v>541</v>
      </c>
    </row>
    <row r="13" customFormat="false" ht="91.5" hidden="false" customHeight="true" outlineLevel="0" collapsed="false">
      <c r="A13" s="6" t="n">
        <v>9</v>
      </c>
      <c r="B13" s="42" t="s">
        <v>542</v>
      </c>
      <c r="C13" s="6" t="s">
        <v>543</v>
      </c>
      <c r="D13" s="6" t="s">
        <v>544</v>
      </c>
      <c r="E13" s="6" t="s">
        <v>545</v>
      </c>
      <c r="F13" s="78" t="s">
        <v>546</v>
      </c>
    </row>
    <row r="14" customFormat="false" ht="91.5" hidden="false" customHeight="true" outlineLevel="0" collapsed="false">
      <c r="A14" s="6" t="n">
        <v>10</v>
      </c>
      <c r="B14" s="42" t="s">
        <v>547</v>
      </c>
      <c r="C14" s="6" t="s">
        <v>548</v>
      </c>
      <c r="D14" s="6" t="s">
        <v>549</v>
      </c>
      <c r="E14" s="6" t="s">
        <v>550</v>
      </c>
      <c r="F14" s="78" t="s">
        <v>551</v>
      </c>
    </row>
    <row r="15" customFormat="false" ht="91.5" hidden="false" customHeight="true" outlineLevel="0" collapsed="false">
      <c r="A15" s="6" t="n">
        <v>11</v>
      </c>
      <c r="B15" s="42" t="s">
        <v>552</v>
      </c>
      <c r="C15" s="6" t="s">
        <v>553</v>
      </c>
      <c r="D15" s="6" t="s">
        <v>554</v>
      </c>
      <c r="E15" s="6" t="s">
        <v>555</v>
      </c>
      <c r="F15" s="78" t="s">
        <v>556</v>
      </c>
    </row>
    <row r="16" customFormat="false" ht="91.5" hidden="false" customHeight="true" outlineLevel="0" collapsed="false">
      <c r="A16" s="6" t="n">
        <v>12</v>
      </c>
      <c r="B16" s="42" t="s">
        <v>557</v>
      </c>
      <c r="C16" s="6" t="s">
        <v>558</v>
      </c>
      <c r="D16" s="6" t="s">
        <v>559</v>
      </c>
      <c r="E16" s="6" t="s">
        <v>516</v>
      </c>
      <c r="F16" s="78" t="s">
        <v>560</v>
      </c>
    </row>
    <row r="17" customFormat="false" ht="91.5" hidden="false" customHeight="true" outlineLevel="0" collapsed="false">
      <c r="A17" s="6" t="n">
        <v>13</v>
      </c>
      <c r="B17" s="42" t="s">
        <v>561</v>
      </c>
      <c r="C17" s="6" t="s">
        <v>562</v>
      </c>
      <c r="D17" s="6" t="s">
        <v>563</v>
      </c>
      <c r="E17" s="6" t="s">
        <v>564</v>
      </c>
      <c r="F17" s="78" t="s">
        <v>565</v>
      </c>
    </row>
    <row r="18" customFormat="false" ht="91.5" hidden="false" customHeight="true" outlineLevel="0" collapsed="false">
      <c r="A18" s="6" t="n">
        <v>14</v>
      </c>
      <c r="B18" s="42" t="s">
        <v>566</v>
      </c>
      <c r="C18" s="6" t="s">
        <v>567</v>
      </c>
      <c r="D18" s="6" t="s">
        <v>568</v>
      </c>
      <c r="E18" s="6" t="s">
        <v>569</v>
      </c>
      <c r="F18" s="78" t="s">
        <v>570</v>
      </c>
    </row>
  </sheetData>
  <conditionalFormatting sqref="E5:E18">
    <cfRule type="expression" priority="2" aboveAverage="0" equalAverage="0" bottom="0" percent="0" rank="0" text="" dxfId="0">
      <formula>LEFT(E5,4)="High"</formula>
    </cfRule>
    <cfRule type="expression" priority="3" aboveAverage="0" equalAverage="0" bottom="0" percent="0" rank="0" text="" dxfId="1">
      <formula>LEFT(E5,6)="Medium"</formula>
    </cfRule>
    <cfRule type="expression" priority="4" aboveAverage="0" equalAverage="0" bottom="0" percent="0" rank="0" text="" dxfId="113">
      <formula>LEFT(E5,10)="Indicative"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3" min="3" style="0" width="70"/>
  </cols>
  <sheetData>
    <row r="1" customFormat="false" ht="30" hidden="false" customHeight="true" outlineLevel="0" collapsed="false">
      <c r="A1" s="1" t="s">
        <v>571</v>
      </c>
    </row>
    <row r="2" customFormat="false" ht="15" hidden="false" customHeight="false" outlineLevel="0" collapsed="false">
      <c r="A2" s="2" t="s">
        <v>572</v>
      </c>
    </row>
    <row r="4" customFormat="false" ht="31.5" hidden="false" customHeight="true" outlineLevel="0" collapsed="false">
      <c r="A4" s="4" t="s">
        <v>573</v>
      </c>
      <c r="B4" s="4" t="s">
        <v>574</v>
      </c>
      <c r="C4" s="4" t="s">
        <v>575</v>
      </c>
    </row>
    <row r="5" customFormat="false" ht="49.5" hidden="false" customHeight="true" outlineLevel="0" collapsed="false">
      <c r="A5" s="42" t="s">
        <v>576</v>
      </c>
      <c r="B5" s="6" t="s">
        <v>577</v>
      </c>
      <c r="C5" s="6" t="s">
        <v>578</v>
      </c>
    </row>
    <row r="6" customFormat="false" ht="49.5" hidden="false" customHeight="true" outlineLevel="0" collapsed="false">
      <c r="A6" s="42" t="s">
        <v>579</v>
      </c>
      <c r="B6" s="6" t="s">
        <v>580</v>
      </c>
      <c r="C6" s="6" t="s">
        <v>581</v>
      </c>
    </row>
    <row r="7" customFormat="false" ht="49.5" hidden="false" customHeight="true" outlineLevel="0" collapsed="false">
      <c r="A7" s="42" t="s">
        <v>582</v>
      </c>
      <c r="B7" s="6" t="s">
        <v>583</v>
      </c>
      <c r="C7" s="6" t="s">
        <v>584</v>
      </c>
    </row>
    <row r="8" customFormat="false" ht="49.5" hidden="false" customHeight="true" outlineLevel="0" collapsed="false">
      <c r="A8" s="42" t="s">
        <v>585</v>
      </c>
      <c r="B8" s="6" t="s">
        <v>586</v>
      </c>
      <c r="C8" s="6" t="s">
        <v>587</v>
      </c>
    </row>
    <row r="9" customFormat="false" ht="49.5" hidden="false" customHeight="true" outlineLevel="0" collapsed="false">
      <c r="A9" s="42" t="s">
        <v>588</v>
      </c>
      <c r="B9" s="6" t="s">
        <v>589</v>
      </c>
      <c r="C9" s="6" t="s">
        <v>590</v>
      </c>
    </row>
    <row r="10" customFormat="false" ht="49.5" hidden="false" customHeight="true" outlineLevel="0" collapsed="false">
      <c r="A10" s="42" t="s">
        <v>591</v>
      </c>
      <c r="B10" s="6" t="s">
        <v>592</v>
      </c>
      <c r="C10" s="6" t="s">
        <v>593</v>
      </c>
    </row>
    <row r="11" customFormat="false" ht="49.5" hidden="false" customHeight="true" outlineLevel="0" collapsed="false">
      <c r="A11" s="42" t="s">
        <v>594</v>
      </c>
      <c r="B11" s="6" t="s">
        <v>595</v>
      </c>
      <c r="C11" s="6" t="s">
        <v>596</v>
      </c>
    </row>
    <row r="13" customFormat="false" ht="39.75" hidden="false" customHeight="true" outlineLevel="0" collapsed="false">
      <c r="A13" s="62" t="s">
        <v>597</v>
      </c>
      <c r="B13" s="62"/>
      <c r="C13" s="62"/>
    </row>
  </sheetData>
  <mergeCells count="1">
    <mergeCell ref="A13:C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19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s>
  <sheetData>
    <row r="1" customFormat="false" ht="30" hidden="false" customHeight="true" outlineLevel="0" collapsed="false">
      <c r="A1" s="1" t="s">
        <v>598</v>
      </c>
    </row>
    <row r="2" customFormat="false" ht="15" hidden="false" customHeight="false" outlineLevel="0" collapsed="false">
      <c r="A2" s="2" t="s">
        <v>599</v>
      </c>
    </row>
    <row r="4" customFormat="false" ht="31.5" hidden="false" customHeight="true" outlineLevel="0" collapsed="false">
      <c r="A4" s="4" t="s">
        <v>600</v>
      </c>
      <c r="B4" s="4" t="s">
        <v>102</v>
      </c>
    </row>
    <row r="5" customFormat="false" ht="15" hidden="false" customHeight="false" outlineLevel="0" collapsed="false">
      <c r="A5" s="79" t="n">
        <v>44382</v>
      </c>
      <c r="B5" s="80" t="n">
        <v>0</v>
      </c>
    </row>
    <row r="6" customFormat="false" ht="15" hidden="false" customHeight="false" outlineLevel="0" collapsed="false">
      <c r="A6" s="79" t="n">
        <v>44383</v>
      </c>
      <c r="B6" s="80" t="n">
        <v>0</v>
      </c>
    </row>
    <row r="7" customFormat="false" ht="15" hidden="false" customHeight="false" outlineLevel="0" collapsed="false">
      <c r="A7" s="79" t="n">
        <v>44384</v>
      </c>
      <c r="B7" s="80" t="n">
        <v>0</v>
      </c>
    </row>
    <row r="8" customFormat="false" ht="15" hidden="false" customHeight="false" outlineLevel="0" collapsed="false">
      <c r="A8" s="79" t="n">
        <v>44385</v>
      </c>
      <c r="B8" s="80" t="n">
        <v>0</v>
      </c>
    </row>
    <row r="9" customFormat="false" ht="15" hidden="false" customHeight="false" outlineLevel="0" collapsed="false">
      <c r="A9" s="79" t="n">
        <v>44386</v>
      </c>
      <c r="B9" s="80" t="n">
        <v>0</v>
      </c>
    </row>
    <row r="10" customFormat="false" ht="15" hidden="false" customHeight="false" outlineLevel="0" collapsed="false">
      <c r="A10" s="79" t="n">
        <v>44387</v>
      </c>
      <c r="B10" s="80" t="n">
        <v>0</v>
      </c>
    </row>
    <row r="11" customFormat="false" ht="15" hidden="false" customHeight="false" outlineLevel="0" collapsed="false">
      <c r="A11" s="79" t="n">
        <v>44388</v>
      </c>
      <c r="B11" s="80" t="n">
        <v>0</v>
      </c>
    </row>
    <row r="12" customFormat="false" ht="15" hidden="false" customHeight="false" outlineLevel="0" collapsed="false">
      <c r="A12" s="79" t="n">
        <v>44389</v>
      </c>
      <c r="B12" s="80" t="n">
        <v>0</v>
      </c>
    </row>
    <row r="13" customFormat="false" ht="15" hidden="false" customHeight="false" outlineLevel="0" collapsed="false">
      <c r="A13" s="79" t="n">
        <v>44390</v>
      </c>
      <c r="B13" s="80" t="n">
        <v>0</v>
      </c>
    </row>
    <row r="14" customFormat="false" ht="15" hidden="false" customHeight="false" outlineLevel="0" collapsed="false">
      <c r="A14" s="79" t="n">
        <v>44391</v>
      </c>
      <c r="B14" s="80" t="n">
        <v>0</v>
      </c>
    </row>
    <row r="15" customFormat="false" ht="15" hidden="false" customHeight="false" outlineLevel="0" collapsed="false">
      <c r="A15" s="79" t="n">
        <v>44392</v>
      </c>
      <c r="B15" s="80" t="n">
        <v>0</v>
      </c>
    </row>
    <row r="16" customFormat="false" ht="15" hidden="false" customHeight="false" outlineLevel="0" collapsed="false">
      <c r="A16" s="79" t="n">
        <v>44393</v>
      </c>
      <c r="B16" s="80" t="n">
        <v>0</v>
      </c>
    </row>
    <row r="17" customFormat="false" ht="15" hidden="false" customHeight="false" outlineLevel="0" collapsed="false">
      <c r="A17" s="79" t="n">
        <v>44394</v>
      </c>
      <c r="B17" s="80" t="n">
        <v>0</v>
      </c>
    </row>
    <row r="18" customFormat="false" ht="15" hidden="false" customHeight="false" outlineLevel="0" collapsed="false">
      <c r="A18" s="79" t="n">
        <v>44395</v>
      </c>
      <c r="B18" s="80" t="n">
        <v>0</v>
      </c>
    </row>
    <row r="19" customFormat="false" ht="15" hidden="false" customHeight="false" outlineLevel="0" collapsed="false">
      <c r="A19" s="79" t="n">
        <v>44396</v>
      </c>
      <c r="B19" s="80" t="n">
        <v>0</v>
      </c>
    </row>
    <row r="20" customFormat="false" ht="15" hidden="false" customHeight="false" outlineLevel="0" collapsed="false">
      <c r="A20" s="79" t="n">
        <v>44397</v>
      </c>
      <c r="B20" s="80" t="n">
        <v>0</v>
      </c>
    </row>
    <row r="21" customFormat="false" ht="15" hidden="false" customHeight="false" outlineLevel="0" collapsed="false">
      <c r="A21" s="79" t="n">
        <v>44398</v>
      </c>
      <c r="B21" s="80" t="n">
        <v>0</v>
      </c>
    </row>
    <row r="22" customFormat="false" ht="15" hidden="false" customHeight="false" outlineLevel="0" collapsed="false">
      <c r="A22" s="79" t="n">
        <v>44399</v>
      </c>
      <c r="B22" s="80" t="n">
        <v>0</v>
      </c>
    </row>
    <row r="23" customFormat="false" ht="15" hidden="false" customHeight="false" outlineLevel="0" collapsed="false">
      <c r="A23" s="79" t="n">
        <v>44400</v>
      </c>
      <c r="B23" s="80" t="n">
        <v>0</v>
      </c>
    </row>
    <row r="24" customFormat="false" ht="15" hidden="false" customHeight="false" outlineLevel="0" collapsed="false">
      <c r="A24" s="79" t="n">
        <v>44401</v>
      </c>
      <c r="B24" s="80" t="n">
        <v>0</v>
      </c>
    </row>
    <row r="25" customFormat="false" ht="15" hidden="false" customHeight="false" outlineLevel="0" collapsed="false">
      <c r="A25" s="79" t="n">
        <v>44402</v>
      </c>
      <c r="B25" s="80" t="n">
        <v>0</v>
      </c>
    </row>
    <row r="26" customFormat="false" ht="15" hidden="false" customHeight="false" outlineLevel="0" collapsed="false">
      <c r="A26" s="79" t="n">
        <v>44403</v>
      </c>
      <c r="B26" s="80" t="n">
        <v>0</v>
      </c>
    </row>
    <row r="27" customFormat="false" ht="15" hidden="false" customHeight="false" outlineLevel="0" collapsed="false">
      <c r="A27" s="79" t="n">
        <v>44404</v>
      </c>
      <c r="B27" s="80" t="n">
        <v>0</v>
      </c>
    </row>
    <row r="28" customFormat="false" ht="15" hidden="false" customHeight="false" outlineLevel="0" collapsed="false">
      <c r="A28" s="79" t="n">
        <v>44405</v>
      </c>
      <c r="B28" s="80" t="n">
        <v>0</v>
      </c>
    </row>
    <row r="29" customFormat="false" ht="15" hidden="false" customHeight="false" outlineLevel="0" collapsed="false">
      <c r="A29" s="79" t="n">
        <v>44406</v>
      </c>
      <c r="B29" s="80" t="n">
        <v>0</v>
      </c>
    </row>
    <row r="30" customFormat="false" ht="15" hidden="false" customHeight="false" outlineLevel="0" collapsed="false">
      <c r="A30" s="79" t="n">
        <v>44407</v>
      </c>
      <c r="B30" s="80" t="n">
        <v>0</v>
      </c>
    </row>
    <row r="31" customFormat="false" ht="15" hidden="false" customHeight="false" outlineLevel="0" collapsed="false">
      <c r="A31" s="79" t="n">
        <v>44408</v>
      </c>
      <c r="B31" s="80" t="n">
        <v>0</v>
      </c>
    </row>
    <row r="32" customFormat="false" ht="15" hidden="false" customHeight="false" outlineLevel="0" collapsed="false">
      <c r="A32" s="79" t="n">
        <v>44409</v>
      </c>
      <c r="B32" s="80" t="n">
        <v>0</v>
      </c>
    </row>
    <row r="33" customFormat="false" ht="15" hidden="false" customHeight="false" outlineLevel="0" collapsed="false">
      <c r="A33" s="79" t="n">
        <v>44410</v>
      </c>
      <c r="B33" s="80" t="n">
        <v>0</v>
      </c>
    </row>
    <row r="34" customFormat="false" ht="15" hidden="false" customHeight="false" outlineLevel="0" collapsed="false">
      <c r="A34" s="79" t="n">
        <v>44411</v>
      </c>
      <c r="B34" s="80" t="n">
        <v>0</v>
      </c>
    </row>
    <row r="35" customFormat="false" ht="15" hidden="false" customHeight="false" outlineLevel="0" collapsed="false">
      <c r="A35" s="79" t="n">
        <v>44412</v>
      </c>
      <c r="B35" s="80" t="n">
        <v>0</v>
      </c>
    </row>
    <row r="36" customFormat="false" ht="15" hidden="false" customHeight="false" outlineLevel="0" collapsed="false">
      <c r="A36" s="79" t="n">
        <v>44413</v>
      </c>
      <c r="B36" s="80" t="n">
        <v>0</v>
      </c>
    </row>
    <row r="37" customFormat="false" ht="15" hidden="false" customHeight="false" outlineLevel="0" collapsed="false">
      <c r="A37" s="79" t="n">
        <v>44414</v>
      </c>
      <c r="B37" s="80" t="n">
        <v>0</v>
      </c>
    </row>
    <row r="38" customFormat="false" ht="15" hidden="false" customHeight="false" outlineLevel="0" collapsed="false">
      <c r="A38" s="79" t="n">
        <v>44415</v>
      </c>
      <c r="B38" s="80" t="n">
        <v>0</v>
      </c>
    </row>
    <row r="39" customFormat="false" ht="15" hidden="false" customHeight="false" outlineLevel="0" collapsed="false">
      <c r="A39" s="79" t="n">
        <v>44416</v>
      </c>
      <c r="B39" s="80" t="n">
        <v>0</v>
      </c>
    </row>
    <row r="40" customFormat="false" ht="15" hidden="false" customHeight="false" outlineLevel="0" collapsed="false">
      <c r="A40" s="79" t="n">
        <v>44417</v>
      </c>
      <c r="B40" s="80" t="n">
        <v>0</v>
      </c>
    </row>
    <row r="41" customFormat="false" ht="15" hidden="false" customHeight="false" outlineLevel="0" collapsed="false">
      <c r="A41" s="79" t="n">
        <v>44418</v>
      </c>
      <c r="B41" s="80" t="n">
        <v>0</v>
      </c>
    </row>
    <row r="42" customFormat="false" ht="15" hidden="false" customHeight="false" outlineLevel="0" collapsed="false">
      <c r="A42" s="79" t="n">
        <v>44419</v>
      </c>
      <c r="B42" s="80" t="n">
        <v>0</v>
      </c>
    </row>
    <row r="43" customFormat="false" ht="15" hidden="false" customHeight="false" outlineLevel="0" collapsed="false">
      <c r="A43" s="79" t="n">
        <v>44420</v>
      </c>
      <c r="B43" s="80" t="n">
        <v>0</v>
      </c>
    </row>
    <row r="44" customFormat="false" ht="15" hidden="false" customHeight="false" outlineLevel="0" collapsed="false">
      <c r="A44" s="79" t="n">
        <v>44421</v>
      </c>
      <c r="B44" s="80" t="n">
        <v>0</v>
      </c>
    </row>
    <row r="45" customFormat="false" ht="15" hidden="false" customHeight="false" outlineLevel="0" collapsed="false">
      <c r="A45" s="79" t="n">
        <v>44422</v>
      </c>
      <c r="B45" s="80" t="n">
        <v>0</v>
      </c>
    </row>
    <row r="46" customFormat="false" ht="15" hidden="false" customHeight="false" outlineLevel="0" collapsed="false">
      <c r="A46" s="79" t="n">
        <v>44423</v>
      </c>
      <c r="B46" s="80" t="n">
        <v>0</v>
      </c>
    </row>
    <row r="47" customFormat="false" ht="15" hidden="false" customHeight="false" outlineLevel="0" collapsed="false">
      <c r="A47" s="79" t="n">
        <v>44424</v>
      </c>
      <c r="B47" s="80" t="n">
        <v>0</v>
      </c>
    </row>
    <row r="48" customFormat="false" ht="15" hidden="false" customHeight="false" outlineLevel="0" collapsed="false">
      <c r="A48" s="79" t="n">
        <v>44425</v>
      </c>
      <c r="B48" s="80" t="n">
        <v>0</v>
      </c>
    </row>
    <row r="49" customFormat="false" ht="15" hidden="false" customHeight="false" outlineLevel="0" collapsed="false">
      <c r="A49" s="79" t="n">
        <v>44426</v>
      </c>
      <c r="B49" s="80" t="n">
        <v>0</v>
      </c>
    </row>
    <row r="50" customFormat="false" ht="15" hidden="false" customHeight="false" outlineLevel="0" collapsed="false">
      <c r="A50" s="79" t="n">
        <v>44427</v>
      </c>
      <c r="B50" s="80" t="n">
        <v>0</v>
      </c>
    </row>
    <row r="51" customFormat="false" ht="15" hidden="false" customHeight="false" outlineLevel="0" collapsed="false">
      <c r="A51" s="79" t="n">
        <v>44428</v>
      </c>
      <c r="B51" s="80" t="n">
        <v>0</v>
      </c>
    </row>
    <row r="52" customFormat="false" ht="15" hidden="false" customHeight="false" outlineLevel="0" collapsed="false">
      <c r="A52" s="79" t="n">
        <v>44429</v>
      </c>
      <c r="B52" s="80" t="n">
        <v>0</v>
      </c>
    </row>
    <row r="53" customFormat="false" ht="15" hidden="false" customHeight="false" outlineLevel="0" collapsed="false">
      <c r="A53" s="79" t="n">
        <v>44430</v>
      </c>
      <c r="B53" s="80" t="n">
        <v>0</v>
      </c>
    </row>
    <row r="54" customFormat="false" ht="15" hidden="false" customHeight="false" outlineLevel="0" collapsed="false">
      <c r="A54" s="79" t="n">
        <v>44431</v>
      </c>
      <c r="B54" s="80" t="n">
        <v>0</v>
      </c>
    </row>
    <row r="55" customFormat="false" ht="15" hidden="false" customHeight="false" outlineLevel="0" collapsed="false">
      <c r="A55" s="79" t="n">
        <v>44432</v>
      </c>
      <c r="B55" s="80" t="n">
        <v>0</v>
      </c>
    </row>
    <row r="56" customFormat="false" ht="15" hidden="false" customHeight="false" outlineLevel="0" collapsed="false">
      <c r="A56" s="79" t="n">
        <v>44433</v>
      </c>
      <c r="B56" s="80" t="n">
        <v>0</v>
      </c>
    </row>
    <row r="57" customFormat="false" ht="15" hidden="false" customHeight="false" outlineLevel="0" collapsed="false">
      <c r="A57" s="79" t="n">
        <v>44434</v>
      </c>
      <c r="B57" s="80" t="n">
        <v>0</v>
      </c>
    </row>
    <row r="58" customFormat="false" ht="15" hidden="false" customHeight="false" outlineLevel="0" collapsed="false">
      <c r="A58" s="79" t="n">
        <v>44435</v>
      </c>
      <c r="B58" s="80" t="n">
        <v>0</v>
      </c>
    </row>
    <row r="59" customFormat="false" ht="15" hidden="false" customHeight="false" outlineLevel="0" collapsed="false">
      <c r="A59" s="79" t="n">
        <v>44436</v>
      </c>
      <c r="B59" s="80" t="n">
        <v>0</v>
      </c>
    </row>
    <row r="60" customFormat="false" ht="15" hidden="false" customHeight="false" outlineLevel="0" collapsed="false">
      <c r="A60" s="79" t="n">
        <v>44437</v>
      </c>
      <c r="B60" s="80" t="n">
        <v>0</v>
      </c>
    </row>
    <row r="61" customFormat="false" ht="15" hidden="false" customHeight="false" outlineLevel="0" collapsed="false">
      <c r="A61" s="79" t="n">
        <v>44438</v>
      </c>
      <c r="B61" s="80" t="n">
        <v>0</v>
      </c>
    </row>
    <row r="62" customFormat="false" ht="15" hidden="false" customHeight="false" outlineLevel="0" collapsed="false">
      <c r="A62" s="79" t="n">
        <v>44439</v>
      </c>
      <c r="B62" s="80" t="n">
        <v>0</v>
      </c>
    </row>
    <row r="63" customFormat="false" ht="15" hidden="false" customHeight="false" outlineLevel="0" collapsed="false">
      <c r="A63" s="79" t="n">
        <v>44440</v>
      </c>
      <c r="B63" s="80" t="n">
        <v>0</v>
      </c>
    </row>
    <row r="64" customFormat="false" ht="15" hidden="false" customHeight="false" outlineLevel="0" collapsed="false">
      <c r="A64" s="79" t="n">
        <v>44441</v>
      </c>
      <c r="B64" s="80" t="n">
        <v>0</v>
      </c>
    </row>
    <row r="65" customFormat="false" ht="15" hidden="false" customHeight="false" outlineLevel="0" collapsed="false">
      <c r="A65" s="79" t="n">
        <v>44442</v>
      </c>
      <c r="B65" s="80" t="n">
        <v>0</v>
      </c>
    </row>
    <row r="66" customFormat="false" ht="15" hidden="false" customHeight="false" outlineLevel="0" collapsed="false">
      <c r="A66" s="79" t="n">
        <v>44443</v>
      </c>
      <c r="B66" s="80" t="n">
        <v>0</v>
      </c>
    </row>
    <row r="67" customFormat="false" ht="15" hidden="false" customHeight="false" outlineLevel="0" collapsed="false">
      <c r="A67" s="79" t="n">
        <v>44444</v>
      </c>
      <c r="B67" s="80" t="n">
        <v>0</v>
      </c>
    </row>
    <row r="68" customFormat="false" ht="15" hidden="false" customHeight="false" outlineLevel="0" collapsed="false">
      <c r="A68" s="79" t="n">
        <v>44445</v>
      </c>
      <c r="B68" s="80" t="n">
        <v>0</v>
      </c>
    </row>
    <row r="69" customFormat="false" ht="15" hidden="false" customHeight="false" outlineLevel="0" collapsed="false">
      <c r="A69" s="79" t="n">
        <v>44446</v>
      </c>
      <c r="B69" s="80" t="n">
        <v>0</v>
      </c>
    </row>
    <row r="70" customFormat="false" ht="15" hidden="false" customHeight="false" outlineLevel="0" collapsed="false">
      <c r="A70" s="79" t="n">
        <v>44447</v>
      </c>
      <c r="B70" s="80" t="n">
        <v>0</v>
      </c>
    </row>
    <row r="71" customFormat="false" ht="15" hidden="false" customHeight="false" outlineLevel="0" collapsed="false">
      <c r="A71" s="79" t="n">
        <v>44448</v>
      </c>
      <c r="B71" s="80" t="n">
        <v>0</v>
      </c>
    </row>
    <row r="72" customFormat="false" ht="15" hidden="false" customHeight="false" outlineLevel="0" collapsed="false">
      <c r="A72" s="79" t="n">
        <v>44449</v>
      </c>
      <c r="B72" s="80" t="n">
        <v>0</v>
      </c>
    </row>
    <row r="73" customFormat="false" ht="15" hidden="false" customHeight="false" outlineLevel="0" collapsed="false">
      <c r="A73" s="79" t="n">
        <v>44450</v>
      </c>
      <c r="B73" s="80" t="n">
        <v>0</v>
      </c>
    </row>
    <row r="74" customFormat="false" ht="15" hidden="false" customHeight="false" outlineLevel="0" collapsed="false">
      <c r="A74" s="79" t="n">
        <v>44451</v>
      </c>
      <c r="B74" s="80" t="n">
        <v>0</v>
      </c>
    </row>
    <row r="75" customFormat="false" ht="15" hidden="false" customHeight="false" outlineLevel="0" collapsed="false">
      <c r="A75" s="79" t="n">
        <v>44452</v>
      </c>
      <c r="B75" s="80" t="n">
        <v>0</v>
      </c>
    </row>
    <row r="76" customFormat="false" ht="15" hidden="false" customHeight="false" outlineLevel="0" collapsed="false">
      <c r="A76" s="79" t="n">
        <v>44453</v>
      </c>
      <c r="B76" s="80" t="n">
        <v>0</v>
      </c>
    </row>
    <row r="77" customFormat="false" ht="15" hidden="false" customHeight="false" outlineLevel="0" collapsed="false">
      <c r="A77" s="79" t="n">
        <v>44454</v>
      </c>
      <c r="B77" s="80" t="n">
        <v>0</v>
      </c>
    </row>
    <row r="78" customFormat="false" ht="15" hidden="false" customHeight="false" outlineLevel="0" collapsed="false">
      <c r="A78" s="79" t="n">
        <v>44455</v>
      </c>
      <c r="B78" s="80" t="n">
        <v>0</v>
      </c>
    </row>
    <row r="79" customFormat="false" ht="15" hidden="false" customHeight="false" outlineLevel="0" collapsed="false">
      <c r="A79" s="79" t="n">
        <v>44456</v>
      </c>
      <c r="B79" s="80" t="n">
        <v>0</v>
      </c>
    </row>
    <row r="80" customFormat="false" ht="15" hidden="false" customHeight="false" outlineLevel="0" collapsed="false">
      <c r="A80" s="79" t="n">
        <v>44457</v>
      </c>
      <c r="B80" s="80" t="n">
        <v>0</v>
      </c>
    </row>
    <row r="81" customFormat="false" ht="15" hidden="false" customHeight="false" outlineLevel="0" collapsed="false">
      <c r="A81" s="79" t="n">
        <v>44458</v>
      </c>
      <c r="B81" s="80" t="n">
        <v>0</v>
      </c>
    </row>
    <row r="82" customFormat="false" ht="15" hidden="false" customHeight="false" outlineLevel="0" collapsed="false">
      <c r="A82" s="79" t="n">
        <v>44459</v>
      </c>
      <c r="B82" s="80" t="n">
        <v>0</v>
      </c>
    </row>
    <row r="83" customFormat="false" ht="15" hidden="false" customHeight="false" outlineLevel="0" collapsed="false">
      <c r="A83" s="79" t="n">
        <v>44460</v>
      </c>
      <c r="B83" s="80" t="n">
        <v>0</v>
      </c>
    </row>
    <row r="84" customFormat="false" ht="15" hidden="false" customHeight="false" outlineLevel="0" collapsed="false">
      <c r="A84" s="79" t="n">
        <v>44461</v>
      </c>
      <c r="B84" s="80" t="n">
        <v>0</v>
      </c>
    </row>
    <row r="85" customFormat="false" ht="15" hidden="false" customHeight="false" outlineLevel="0" collapsed="false">
      <c r="A85" s="79" t="n">
        <v>44462</v>
      </c>
      <c r="B85" s="80" t="n">
        <v>0</v>
      </c>
    </row>
    <row r="86" customFormat="false" ht="15" hidden="false" customHeight="false" outlineLevel="0" collapsed="false">
      <c r="A86" s="79" t="n">
        <v>44463</v>
      </c>
      <c r="B86" s="80" t="n">
        <v>0</v>
      </c>
    </row>
    <row r="87" customFormat="false" ht="15" hidden="false" customHeight="false" outlineLevel="0" collapsed="false">
      <c r="A87" s="79" t="n">
        <v>44464</v>
      </c>
      <c r="B87" s="80" t="n">
        <v>0</v>
      </c>
    </row>
    <row r="88" customFormat="false" ht="15" hidden="false" customHeight="false" outlineLevel="0" collapsed="false">
      <c r="A88" s="79" t="n">
        <v>44465</v>
      </c>
      <c r="B88" s="80" t="n">
        <v>0</v>
      </c>
    </row>
    <row r="89" customFormat="false" ht="15" hidden="false" customHeight="false" outlineLevel="0" collapsed="false">
      <c r="A89" s="79" t="n">
        <v>44466</v>
      </c>
      <c r="B89" s="80" t="n">
        <v>0</v>
      </c>
    </row>
    <row r="90" customFormat="false" ht="15" hidden="false" customHeight="false" outlineLevel="0" collapsed="false">
      <c r="A90" s="79" t="n">
        <v>44467</v>
      </c>
      <c r="B90" s="80" t="n">
        <v>0</v>
      </c>
    </row>
    <row r="91" customFormat="false" ht="15" hidden="false" customHeight="false" outlineLevel="0" collapsed="false">
      <c r="A91" s="79" t="n">
        <v>44468</v>
      </c>
      <c r="B91" s="80" t="n">
        <v>0</v>
      </c>
    </row>
    <row r="92" customFormat="false" ht="15" hidden="false" customHeight="false" outlineLevel="0" collapsed="false">
      <c r="A92" s="79" t="n">
        <v>44469</v>
      </c>
      <c r="B92" s="80" t="n">
        <v>0</v>
      </c>
    </row>
    <row r="93" customFormat="false" ht="15" hidden="false" customHeight="false" outlineLevel="0" collapsed="false">
      <c r="A93" s="79" t="n">
        <v>44470</v>
      </c>
      <c r="B93" s="80" t="n">
        <v>0</v>
      </c>
    </row>
    <row r="94" customFormat="false" ht="15" hidden="false" customHeight="false" outlineLevel="0" collapsed="false">
      <c r="A94" s="79" t="n">
        <v>44471</v>
      </c>
      <c r="B94" s="80" t="n">
        <v>0</v>
      </c>
    </row>
    <row r="95" customFormat="false" ht="15" hidden="false" customHeight="false" outlineLevel="0" collapsed="false">
      <c r="A95" s="79" t="n">
        <v>44472</v>
      </c>
      <c r="B95" s="80" t="n">
        <v>0</v>
      </c>
    </row>
    <row r="96" customFormat="false" ht="15" hidden="false" customHeight="false" outlineLevel="0" collapsed="false">
      <c r="A96" s="79" t="n">
        <v>44473</v>
      </c>
      <c r="B96" s="80" t="n">
        <v>0</v>
      </c>
    </row>
    <row r="97" customFormat="false" ht="15" hidden="false" customHeight="false" outlineLevel="0" collapsed="false">
      <c r="A97" s="79" t="n">
        <v>44474</v>
      </c>
      <c r="B97" s="80" t="n">
        <v>0</v>
      </c>
    </row>
    <row r="98" customFormat="false" ht="15" hidden="false" customHeight="false" outlineLevel="0" collapsed="false">
      <c r="A98" s="79" t="n">
        <v>44475</v>
      </c>
      <c r="B98" s="80" t="n">
        <v>0</v>
      </c>
    </row>
    <row r="99" customFormat="false" ht="15" hidden="false" customHeight="false" outlineLevel="0" collapsed="false">
      <c r="A99" s="79" t="n">
        <v>44476</v>
      </c>
      <c r="B99" s="80" t="n">
        <v>0</v>
      </c>
    </row>
    <row r="100" customFormat="false" ht="15" hidden="false" customHeight="false" outlineLevel="0" collapsed="false">
      <c r="A100" s="79" t="n">
        <v>44477</v>
      </c>
      <c r="B100" s="80" t="n">
        <v>0</v>
      </c>
    </row>
    <row r="101" customFormat="false" ht="15" hidden="false" customHeight="false" outlineLevel="0" collapsed="false">
      <c r="A101" s="79" t="n">
        <v>44478</v>
      </c>
      <c r="B101" s="80" t="n">
        <v>0</v>
      </c>
    </row>
    <row r="102" customFormat="false" ht="15" hidden="false" customHeight="false" outlineLevel="0" collapsed="false">
      <c r="A102" s="79" t="n">
        <v>44479</v>
      </c>
      <c r="B102" s="80" t="n">
        <v>0</v>
      </c>
    </row>
    <row r="103" customFormat="false" ht="15" hidden="false" customHeight="false" outlineLevel="0" collapsed="false">
      <c r="A103" s="79" t="n">
        <v>44480</v>
      </c>
      <c r="B103" s="80" t="n">
        <v>0</v>
      </c>
    </row>
    <row r="104" customFormat="false" ht="15" hidden="false" customHeight="false" outlineLevel="0" collapsed="false">
      <c r="A104" s="79" t="n">
        <v>44481</v>
      </c>
      <c r="B104" s="80" t="n">
        <v>0</v>
      </c>
    </row>
    <row r="105" customFormat="false" ht="15" hidden="false" customHeight="false" outlineLevel="0" collapsed="false">
      <c r="A105" s="79" t="n">
        <v>44482</v>
      </c>
      <c r="B105" s="80" t="n">
        <v>0</v>
      </c>
    </row>
    <row r="106" customFormat="false" ht="15" hidden="false" customHeight="false" outlineLevel="0" collapsed="false">
      <c r="A106" s="79" t="n">
        <v>44483</v>
      </c>
      <c r="B106" s="80" t="n">
        <v>0</v>
      </c>
    </row>
    <row r="107" customFormat="false" ht="15" hidden="false" customHeight="false" outlineLevel="0" collapsed="false">
      <c r="A107" s="79" t="n">
        <v>44484</v>
      </c>
      <c r="B107" s="80" t="n">
        <v>0</v>
      </c>
    </row>
    <row r="108" customFormat="false" ht="15" hidden="false" customHeight="false" outlineLevel="0" collapsed="false">
      <c r="A108" s="79" t="n">
        <v>44485</v>
      </c>
      <c r="B108" s="80" t="n">
        <v>0</v>
      </c>
    </row>
    <row r="109" customFormat="false" ht="15" hidden="false" customHeight="false" outlineLevel="0" collapsed="false">
      <c r="A109" s="79" t="n">
        <v>44486</v>
      </c>
      <c r="B109" s="80" t="n">
        <v>0</v>
      </c>
    </row>
    <row r="110" customFormat="false" ht="15" hidden="false" customHeight="false" outlineLevel="0" collapsed="false">
      <c r="A110" s="79" t="n">
        <v>44487</v>
      </c>
      <c r="B110" s="80" t="n">
        <v>0</v>
      </c>
    </row>
    <row r="111" customFormat="false" ht="15" hidden="false" customHeight="false" outlineLevel="0" collapsed="false">
      <c r="A111" s="79" t="n">
        <v>44488</v>
      </c>
      <c r="B111" s="80" t="n">
        <v>0</v>
      </c>
    </row>
    <row r="112" customFormat="false" ht="15" hidden="false" customHeight="false" outlineLevel="0" collapsed="false">
      <c r="A112" s="79" t="n">
        <v>44489</v>
      </c>
      <c r="B112" s="80" t="n">
        <v>0</v>
      </c>
    </row>
    <row r="113" customFormat="false" ht="15" hidden="false" customHeight="false" outlineLevel="0" collapsed="false">
      <c r="A113" s="79" t="n">
        <v>44490</v>
      </c>
      <c r="B113" s="80" t="n">
        <v>0</v>
      </c>
    </row>
    <row r="114" customFormat="false" ht="15" hidden="false" customHeight="false" outlineLevel="0" collapsed="false">
      <c r="A114" s="79" t="n">
        <v>44491</v>
      </c>
      <c r="B114" s="80" t="n">
        <v>0</v>
      </c>
    </row>
    <row r="115" customFormat="false" ht="15" hidden="false" customHeight="false" outlineLevel="0" collapsed="false">
      <c r="A115" s="79" t="n">
        <v>44492</v>
      </c>
      <c r="B115" s="80" t="n">
        <v>0</v>
      </c>
    </row>
    <row r="116" customFormat="false" ht="15" hidden="false" customHeight="false" outlineLevel="0" collapsed="false">
      <c r="A116" s="79" t="n">
        <v>44493</v>
      </c>
      <c r="B116" s="80" t="n">
        <v>0</v>
      </c>
    </row>
    <row r="117" customFormat="false" ht="15" hidden="false" customHeight="false" outlineLevel="0" collapsed="false">
      <c r="A117" s="79" t="n">
        <v>44494</v>
      </c>
      <c r="B117" s="80" t="n">
        <v>0</v>
      </c>
    </row>
    <row r="118" customFormat="false" ht="15" hidden="false" customHeight="false" outlineLevel="0" collapsed="false">
      <c r="A118" s="79" t="n">
        <v>44495</v>
      </c>
      <c r="B118" s="80" t="n">
        <v>0</v>
      </c>
    </row>
    <row r="119" customFormat="false" ht="15" hidden="false" customHeight="false" outlineLevel="0" collapsed="false">
      <c r="A119" s="79" t="n">
        <v>44496</v>
      </c>
      <c r="B119" s="80" t="n">
        <v>0</v>
      </c>
    </row>
    <row r="120" customFormat="false" ht="15" hidden="false" customHeight="false" outlineLevel="0" collapsed="false">
      <c r="A120" s="79" t="n">
        <v>44497</v>
      </c>
      <c r="B120" s="80" t="n">
        <v>0</v>
      </c>
    </row>
    <row r="121" customFormat="false" ht="15" hidden="false" customHeight="false" outlineLevel="0" collapsed="false">
      <c r="A121" s="79" t="n">
        <v>44498</v>
      </c>
      <c r="B121" s="80" t="n">
        <v>0</v>
      </c>
    </row>
    <row r="122" customFormat="false" ht="15" hidden="false" customHeight="false" outlineLevel="0" collapsed="false">
      <c r="A122" s="79" t="n">
        <v>44499</v>
      </c>
      <c r="B122" s="80" t="n">
        <v>0</v>
      </c>
    </row>
    <row r="123" customFormat="false" ht="15" hidden="false" customHeight="false" outlineLevel="0" collapsed="false">
      <c r="A123" s="79" t="n">
        <v>44500</v>
      </c>
      <c r="B123" s="80" t="n">
        <v>0</v>
      </c>
    </row>
    <row r="124" customFormat="false" ht="15" hidden="false" customHeight="false" outlineLevel="0" collapsed="false">
      <c r="A124" s="79" t="n">
        <v>44501</v>
      </c>
      <c r="B124" s="80" t="n">
        <v>0</v>
      </c>
    </row>
    <row r="125" customFormat="false" ht="15" hidden="false" customHeight="false" outlineLevel="0" collapsed="false">
      <c r="A125" s="79" t="n">
        <v>44502</v>
      </c>
      <c r="B125" s="80" t="n">
        <v>0</v>
      </c>
    </row>
    <row r="126" customFormat="false" ht="15" hidden="false" customHeight="false" outlineLevel="0" collapsed="false">
      <c r="A126" s="79" t="n">
        <v>44503</v>
      </c>
      <c r="B126" s="80" t="n">
        <v>0</v>
      </c>
    </row>
    <row r="127" customFormat="false" ht="15" hidden="false" customHeight="false" outlineLevel="0" collapsed="false">
      <c r="A127" s="79" t="n">
        <v>44504</v>
      </c>
      <c r="B127" s="80" t="n">
        <v>0</v>
      </c>
    </row>
    <row r="128" customFormat="false" ht="15" hidden="false" customHeight="false" outlineLevel="0" collapsed="false">
      <c r="A128" s="79" t="n">
        <v>44505</v>
      </c>
      <c r="B128" s="80" t="n">
        <v>0</v>
      </c>
    </row>
    <row r="129" customFormat="false" ht="15" hidden="false" customHeight="false" outlineLevel="0" collapsed="false">
      <c r="A129" s="79" t="n">
        <v>44506</v>
      </c>
      <c r="B129" s="80" t="n">
        <v>0</v>
      </c>
    </row>
    <row r="130" customFormat="false" ht="15" hidden="false" customHeight="false" outlineLevel="0" collapsed="false">
      <c r="A130" s="79" t="n">
        <v>44507</v>
      </c>
      <c r="B130" s="80" t="n">
        <v>0</v>
      </c>
    </row>
    <row r="131" customFormat="false" ht="15" hidden="false" customHeight="false" outlineLevel="0" collapsed="false">
      <c r="A131" s="79" t="n">
        <v>44508</v>
      </c>
      <c r="B131" s="80" t="n">
        <v>0</v>
      </c>
    </row>
    <row r="132" customFormat="false" ht="15" hidden="false" customHeight="false" outlineLevel="0" collapsed="false">
      <c r="A132" s="79" t="n">
        <v>44509</v>
      </c>
      <c r="B132" s="80" t="n">
        <v>0</v>
      </c>
    </row>
    <row r="133" customFormat="false" ht="15" hidden="false" customHeight="false" outlineLevel="0" collapsed="false">
      <c r="A133" s="79" t="n">
        <v>44510</v>
      </c>
      <c r="B133" s="80" t="n">
        <v>0</v>
      </c>
    </row>
    <row r="134" customFormat="false" ht="15" hidden="false" customHeight="false" outlineLevel="0" collapsed="false">
      <c r="A134" s="79" t="n">
        <v>44511</v>
      </c>
      <c r="B134" s="80" t="n">
        <v>0</v>
      </c>
    </row>
    <row r="135" customFormat="false" ht="15" hidden="false" customHeight="false" outlineLevel="0" collapsed="false">
      <c r="A135" s="79" t="n">
        <v>44512</v>
      </c>
      <c r="B135" s="80" t="n">
        <v>0</v>
      </c>
    </row>
    <row r="136" customFormat="false" ht="15" hidden="false" customHeight="false" outlineLevel="0" collapsed="false">
      <c r="A136" s="79" t="n">
        <v>44513</v>
      </c>
      <c r="B136" s="80" t="n">
        <v>0</v>
      </c>
    </row>
    <row r="137" customFormat="false" ht="15" hidden="false" customHeight="false" outlineLevel="0" collapsed="false">
      <c r="A137" s="79" t="n">
        <v>44514</v>
      </c>
      <c r="B137" s="80" t="n">
        <v>0</v>
      </c>
    </row>
    <row r="138" customFormat="false" ht="15" hidden="false" customHeight="false" outlineLevel="0" collapsed="false">
      <c r="A138" s="79" t="n">
        <v>44515</v>
      </c>
      <c r="B138" s="80" t="n">
        <v>0</v>
      </c>
    </row>
    <row r="139" customFormat="false" ht="15" hidden="false" customHeight="false" outlineLevel="0" collapsed="false">
      <c r="A139" s="79" t="n">
        <v>44516</v>
      </c>
      <c r="B139" s="80" t="n">
        <v>0</v>
      </c>
    </row>
    <row r="140" customFormat="false" ht="15" hidden="false" customHeight="false" outlineLevel="0" collapsed="false">
      <c r="A140" s="79" t="n">
        <v>44517</v>
      </c>
      <c r="B140" s="80" t="n">
        <v>0</v>
      </c>
    </row>
    <row r="141" customFormat="false" ht="15" hidden="false" customHeight="false" outlineLevel="0" collapsed="false">
      <c r="A141" s="79" t="n">
        <v>44518</v>
      </c>
      <c r="B141" s="80" t="n">
        <v>0</v>
      </c>
    </row>
    <row r="142" customFormat="false" ht="15" hidden="false" customHeight="false" outlineLevel="0" collapsed="false">
      <c r="A142" s="79" t="n">
        <v>44519</v>
      </c>
      <c r="B142" s="80" t="n">
        <v>0</v>
      </c>
    </row>
    <row r="143" customFormat="false" ht="15" hidden="false" customHeight="false" outlineLevel="0" collapsed="false">
      <c r="A143" s="79" t="n">
        <v>44520</v>
      </c>
      <c r="B143" s="80" t="n">
        <v>0</v>
      </c>
    </row>
    <row r="144" customFormat="false" ht="15" hidden="false" customHeight="false" outlineLevel="0" collapsed="false">
      <c r="A144" s="79" t="n">
        <v>44521</v>
      </c>
      <c r="B144" s="80" t="n">
        <v>0</v>
      </c>
    </row>
    <row r="145" customFormat="false" ht="15" hidden="false" customHeight="false" outlineLevel="0" collapsed="false">
      <c r="A145" s="79" t="n">
        <v>44522</v>
      </c>
      <c r="B145" s="80" t="n">
        <v>0</v>
      </c>
    </row>
    <row r="146" customFormat="false" ht="15" hidden="false" customHeight="false" outlineLevel="0" collapsed="false">
      <c r="A146" s="79" t="n">
        <v>44523</v>
      </c>
      <c r="B146" s="80" t="n">
        <v>0</v>
      </c>
    </row>
    <row r="147" customFormat="false" ht="15" hidden="false" customHeight="false" outlineLevel="0" collapsed="false">
      <c r="A147" s="79" t="n">
        <v>44524</v>
      </c>
      <c r="B147" s="80" t="n">
        <v>0</v>
      </c>
    </row>
    <row r="148" customFormat="false" ht="15" hidden="false" customHeight="false" outlineLevel="0" collapsed="false">
      <c r="A148" s="79" t="n">
        <v>44525</v>
      </c>
      <c r="B148" s="80" t="n">
        <v>0</v>
      </c>
    </row>
    <row r="149" customFormat="false" ht="15" hidden="false" customHeight="false" outlineLevel="0" collapsed="false">
      <c r="A149" s="79" t="n">
        <v>44526</v>
      </c>
      <c r="B149" s="80" t="n">
        <v>0</v>
      </c>
    </row>
    <row r="150" customFormat="false" ht="15" hidden="false" customHeight="false" outlineLevel="0" collapsed="false">
      <c r="A150" s="79" t="n">
        <v>44527</v>
      </c>
      <c r="B150" s="80" t="n">
        <v>0</v>
      </c>
    </row>
    <row r="151" customFormat="false" ht="15" hidden="false" customHeight="false" outlineLevel="0" collapsed="false">
      <c r="A151" s="79" t="n">
        <v>44528</v>
      </c>
      <c r="B151" s="80" t="n">
        <v>0</v>
      </c>
    </row>
    <row r="152" customFormat="false" ht="15" hidden="false" customHeight="false" outlineLevel="0" collapsed="false">
      <c r="A152" s="79" t="n">
        <v>44529</v>
      </c>
      <c r="B152" s="80" t="n">
        <v>0</v>
      </c>
    </row>
    <row r="153" customFormat="false" ht="15" hidden="false" customHeight="false" outlineLevel="0" collapsed="false">
      <c r="A153" s="79" t="n">
        <v>44530</v>
      </c>
      <c r="B153" s="80" t="n">
        <v>0</v>
      </c>
    </row>
    <row r="154" customFormat="false" ht="15" hidden="false" customHeight="false" outlineLevel="0" collapsed="false">
      <c r="A154" s="79" t="n">
        <v>44531</v>
      </c>
      <c r="B154" s="80" t="n">
        <v>0</v>
      </c>
    </row>
    <row r="155" customFormat="false" ht="15" hidden="false" customHeight="false" outlineLevel="0" collapsed="false">
      <c r="A155" s="79" t="n">
        <v>44532</v>
      </c>
      <c r="B155" s="80" t="n">
        <v>0</v>
      </c>
    </row>
    <row r="156" customFormat="false" ht="15" hidden="false" customHeight="false" outlineLevel="0" collapsed="false">
      <c r="A156" s="79" t="n">
        <v>44533</v>
      </c>
      <c r="B156" s="80" t="n">
        <v>0</v>
      </c>
    </row>
    <row r="157" customFormat="false" ht="15" hidden="false" customHeight="false" outlineLevel="0" collapsed="false">
      <c r="A157" s="79" t="n">
        <v>44534</v>
      </c>
      <c r="B157" s="80" t="n">
        <v>0</v>
      </c>
    </row>
    <row r="158" customFormat="false" ht="15" hidden="false" customHeight="false" outlineLevel="0" collapsed="false">
      <c r="A158" s="79" t="n">
        <v>44535</v>
      </c>
      <c r="B158" s="80" t="n">
        <v>0</v>
      </c>
    </row>
    <row r="159" customFormat="false" ht="15" hidden="false" customHeight="false" outlineLevel="0" collapsed="false">
      <c r="A159" s="79" t="n">
        <v>44536</v>
      </c>
      <c r="B159" s="80" t="n">
        <v>0</v>
      </c>
    </row>
    <row r="160" customFormat="false" ht="15" hidden="false" customHeight="false" outlineLevel="0" collapsed="false">
      <c r="A160" s="79" t="n">
        <v>44537</v>
      </c>
      <c r="B160" s="80" t="n">
        <v>0</v>
      </c>
    </row>
    <row r="161" customFormat="false" ht="15" hidden="false" customHeight="false" outlineLevel="0" collapsed="false">
      <c r="A161" s="79" t="n">
        <v>44538</v>
      </c>
      <c r="B161" s="80" t="n">
        <v>0</v>
      </c>
    </row>
    <row r="162" customFormat="false" ht="15" hidden="false" customHeight="false" outlineLevel="0" collapsed="false">
      <c r="A162" s="79" t="n">
        <v>44539</v>
      </c>
      <c r="B162" s="80" t="n">
        <v>0</v>
      </c>
    </row>
    <row r="163" customFormat="false" ht="15" hidden="false" customHeight="false" outlineLevel="0" collapsed="false">
      <c r="A163" s="79" t="n">
        <v>44540</v>
      </c>
      <c r="B163" s="80" t="n">
        <v>0</v>
      </c>
    </row>
    <row r="164" customFormat="false" ht="15" hidden="false" customHeight="false" outlineLevel="0" collapsed="false">
      <c r="A164" s="79" t="n">
        <v>44541</v>
      </c>
      <c r="B164" s="80" t="n">
        <v>0</v>
      </c>
    </row>
    <row r="165" customFormat="false" ht="15" hidden="false" customHeight="false" outlineLevel="0" collapsed="false">
      <c r="A165" s="79" t="n">
        <v>44542</v>
      </c>
      <c r="B165" s="80" t="n">
        <v>0</v>
      </c>
    </row>
    <row r="166" customFormat="false" ht="15" hidden="false" customHeight="false" outlineLevel="0" collapsed="false">
      <c r="A166" s="79" t="n">
        <v>44543</v>
      </c>
      <c r="B166" s="80" t="n">
        <v>0</v>
      </c>
    </row>
    <row r="167" customFormat="false" ht="15" hidden="false" customHeight="false" outlineLevel="0" collapsed="false">
      <c r="A167" s="79" t="n">
        <v>44544</v>
      </c>
      <c r="B167" s="80" t="n">
        <v>0</v>
      </c>
    </row>
    <row r="168" customFormat="false" ht="15" hidden="false" customHeight="false" outlineLevel="0" collapsed="false">
      <c r="A168" s="79" t="n">
        <v>44545</v>
      </c>
      <c r="B168" s="80" t="n">
        <v>0</v>
      </c>
    </row>
    <row r="169" customFormat="false" ht="15" hidden="false" customHeight="false" outlineLevel="0" collapsed="false">
      <c r="A169" s="79" t="n">
        <v>44546</v>
      </c>
      <c r="B169" s="80" t="n">
        <v>0</v>
      </c>
    </row>
    <row r="170" customFormat="false" ht="15" hidden="false" customHeight="false" outlineLevel="0" collapsed="false">
      <c r="A170" s="79" t="n">
        <v>44547</v>
      </c>
      <c r="B170" s="80" t="n">
        <v>0</v>
      </c>
    </row>
    <row r="171" customFormat="false" ht="15" hidden="false" customHeight="false" outlineLevel="0" collapsed="false">
      <c r="A171" s="79" t="n">
        <v>44548</v>
      </c>
      <c r="B171" s="80" t="n">
        <v>0</v>
      </c>
    </row>
    <row r="172" customFormat="false" ht="15" hidden="false" customHeight="false" outlineLevel="0" collapsed="false">
      <c r="A172" s="79" t="n">
        <v>44549</v>
      </c>
      <c r="B172" s="80" t="n">
        <v>0</v>
      </c>
    </row>
    <row r="173" customFormat="false" ht="15" hidden="false" customHeight="false" outlineLevel="0" collapsed="false">
      <c r="A173" s="79" t="n">
        <v>44550</v>
      </c>
      <c r="B173" s="80" t="n">
        <v>0</v>
      </c>
    </row>
    <row r="174" customFormat="false" ht="15" hidden="false" customHeight="false" outlineLevel="0" collapsed="false">
      <c r="A174" s="79" t="n">
        <v>44551</v>
      </c>
      <c r="B174" s="80" t="n">
        <v>0</v>
      </c>
    </row>
    <row r="175" customFormat="false" ht="15" hidden="false" customHeight="false" outlineLevel="0" collapsed="false">
      <c r="A175" s="79" t="n">
        <v>44552</v>
      </c>
      <c r="B175" s="80" t="n">
        <v>0</v>
      </c>
    </row>
    <row r="176" customFormat="false" ht="15" hidden="false" customHeight="false" outlineLevel="0" collapsed="false">
      <c r="A176" s="79" t="n">
        <v>44553</v>
      </c>
      <c r="B176" s="80" t="n">
        <v>0</v>
      </c>
    </row>
    <row r="177" customFormat="false" ht="15" hidden="false" customHeight="false" outlineLevel="0" collapsed="false">
      <c r="A177" s="79" t="n">
        <v>44554</v>
      </c>
      <c r="B177" s="80" t="n">
        <v>0</v>
      </c>
    </row>
    <row r="178" customFormat="false" ht="15" hidden="false" customHeight="false" outlineLevel="0" collapsed="false">
      <c r="A178" s="79" t="n">
        <v>44555</v>
      </c>
      <c r="B178" s="80" t="n">
        <v>0</v>
      </c>
    </row>
    <row r="179" customFormat="false" ht="15" hidden="false" customHeight="false" outlineLevel="0" collapsed="false">
      <c r="A179" s="79" t="n">
        <v>44556</v>
      </c>
      <c r="B179" s="80" t="n">
        <v>0</v>
      </c>
    </row>
    <row r="180" customFormat="false" ht="15" hidden="false" customHeight="false" outlineLevel="0" collapsed="false">
      <c r="A180" s="79" t="n">
        <v>44557</v>
      </c>
      <c r="B180" s="80" t="n">
        <v>0</v>
      </c>
    </row>
    <row r="181" customFormat="false" ht="15" hidden="false" customHeight="false" outlineLevel="0" collapsed="false">
      <c r="A181" s="79" t="n">
        <v>44558</v>
      </c>
      <c r="B181" s="80" t="n">
        <v>0</v>
      </c>
    </row>
    <row r="182" customFormat="false" ht="15" hidden="false" customHeight="false" outlineLevel="0" collapsed="false">
      <c r="A182" s="79" t="n">
        <v>44559</v>
      </c>
      <c r="B182" s="80" t="n">
        <v>0</v>
      </c>
    </row>
    <row r="183" customFormat="false" ht="15" hidden="false" customHeight="false" outlineLevel="0" collapsed="false">
      <c r="A183" s="79" t="n">
        <v>44560</v>
      </c>
      <c r="B183" s="80" t="n">
        <v>0</v>
      </c>
    </row>
    <row r="184" customFormat="false" ht="15" hidden="false" customHeight="false" outlineLevel="0" collapsed="false">
      <c r="A184" s="79" t="n">
        <v>44561</v>
      </c>
      <c r="B184" s="80" t="n">
        <v>0</v>
      </c>
    </row>
    <row r="185" customFormat="false" ht="15" hidden="false" customHeight="false" outlineLevel="0" collapsed="false">
      <c r="A185" s="79" t="n">
        <v>44562</v>
      </c>
      <c r="B185" s="80" t="n">
        <v>0</v>
      </c>
    </row>
    <row r="186" customFormat="false" ht="15" hidden="false" customHeight="false" outlineLevel="0" collapsed="false">
      <c r="A186" s="79" t="n">
        <v>44563</v>
      </c>
      <c r="B186" s="80" t="n">
        <v>0</v>
      </c>
    </row>
    <row r="187" customFormat="false" ht="15" hidden="false" customHeight="false" outlineLevel="0" collapsed="false">
      <c r="A187" s="79" t="n">
        <v>44564</v>
      </c>
      <c r="B187" s="80" t="n">
        <v>0</v>
      </c>
    </row>
    <row r="188" customFormat="false" ht="15" hidden="false" customHeight="false" outlineLevel="0" collapsed="false">
      <c r="A188" s="79" t="n">
        <v>44565</v>
      </c>
      <c r="B188" s="80" t="n">
        <v>0</v>
      </c>
    </row>
    <row r="189" customFormat="false" ht="15" hidden="false" customHeight="false" outlineLevel="0" collapsed="false">
      <c r="A189" s="79" t="n">
        <v>44566</v>
      </c>
      <c r="B189" s="80" t="n">
        <v>0</v>
      </c>
    </row>
    <row r="190" customFormat="false" ht="15" hidden="false" customHeight="false" outlineLevel="0" collapsed="false">
      <c r="A190" s="79" t="n">
        <v>44567</v>
      </c>
      <c r="B190" s="80" t="n">
        <v>0</v>
      </c>
    </row>
    <row r="191" customFormat="false" ht="15" hidden="false" customHeight="false" outlineLevel="0" collapsed="false">
      <c r="A191" s="79" t="n">
        <v>44568</v>
      </c>
      <c r="B191" s="80" t="n">
        <v>0</v>
      </c>
    </row>
    <row r="192" customFormat="false" ht="15" hidden="false" customHeight="false" outlineLevel="0" collapsed="false">
      <c r="A192" s="79" t="n">
        <v>44569</v>
      </c>
      <c r="B192" s="80" t="n">
        <v>0</v>
      </c>
    </row>
    <row r="193" customFormat="false" ht="15" hidden="false" customHeight="false" outlineLevel="0" collapsed="false">
      <c r="A193" s="79" t="n">
        <v>44570</v>
      </c>
      <c r="B193" s="80" t="n">
        <v>0</v>
      </c>
    </row>
    <row r="194" customFormat="false" ht="15" hidden="false" customHeight="false" outlineLevel="0" collapsed="false">
      <c r="A194" s="79" t="n">
        <v>44571</v>
      </c>
      <c r="B194" s="80" t="n">
        <v>0</v>
      </c>
    </row>
    <row r="195" customFormat="false" ht="15" hidden="false" customHeight="false" outlineLevel="0" collapsed="false">
      <c r="A195" s="79" t="n">
        <v>44572</v>
      </c>
      <c r="B195" s="80" t="n">
        <v>0</v>
      </c>
    </row>
    <row r="196" customFormat="false" ht="15" hidden="false" customHeight="false" outlineLevel="0" collapsed="false">
      <c r="A196" s="79" t="n">
        <v>44573</v>
      </c>
      <c r="B196" s="80" t="n">
        <v>0</v>
      </c>
    </row>
    <row r="197" customFormat="false" ht="15" hidden="false" customHeight="false" outlineLevel="0" collapsed="false">
      <c r="A197" s="79" t="n">
        <v>44574</v>
      </c>
      <c r="B197" s="80" t="n">
        <v>0</v>
      </c>
    </row>
    <row r="198" customFormat="false" ht="15" hidden="false" customHeight="false" outlineLevel="0" collapsed="false">
      <c r="A198" s="79" t="n">
        <v>44575</v>
      </c>
      <c r="B198" s="80" t="n">
        <v>0</v>
      </c>
    </row>
    <row r="199" customFormat="false" ht="15" hidden="false" customHeight="false" outlineLevel="0" collapsed="false">
      <c r="A199" s="79" t="n">
        <v>44576</v>
      </c>
      <c r="B199" s="80" t="n">
        <v>0</v>
      </c>
    </row>
    <row r="200" customFormat="false" ht="15" hidden="false" customHeight="false" outlineLevel="0" collapsed="false">
      <c r="A200" s="79" t="n">
        <v>44577</v>
      </c>
      <c r="B200" s="80" t="n">
        <v>0</v>
      </c>
    </row>
    <row r="201" customFormat="false" ht="15" hidden="false" customHeight="false" outlineLevel="0" collapsed="false">
      <c r="A201" s="79" t="n">
        <v>44578</v>
      </c>
      <c r="B201" s="80" t="n">
        <v>0</v>
      </c>
    </row>
    <row r="202" customFormat="false" ht="15" hidden="false" customHeight="false" outlineLevel="0" collapsed="false">
      <c r="A202" s="79" t="n">
        <v>44579</v>
      </c>
      <c r="B202" s="80" t="n">
        <v>0</v>
      </c>
    </row>
    <row r="203" customFormat="false" ht="15" hidden="false" customHeight="false" outlineLevel="0" collapsed="false">
      <c r="A203" s="79" t="n">
        <v>44580</v>
      </c>
      <c r="B203" s="80" t="n">
        <v>0</v>
      </c>
    </row>
    <row r="204" customFormat="false" ht="15" hidden="false" customHeight="false" outlineLevel="0" collapsed="false">
      <c r="A204" s="79" t="n">
        <v>44581</v>
      </c>
      <c r="B204" s="80" t="n">
        <v>0</v>
      </c>
    </row>
    <row r="205" customFormat="false" ht="15" hidden="false" customHeight="false" outlineLevel="0" collapsed="false">
      <c r="A205" s="79" t="n">
        <v>44582</v>
      </c>
      <c r="B205" s="80" t="n">
        <v>0</v>
      </c>
    </row>
    <row r="206" customFormat="false" ht="15" hidden="false" customHeight="false" outlineLevel="0" collapsed="false">
      <c r="A206" s="79" t="n">
        <v>44583</v>
      </c>
      <c r="B206" s="80" t="n">
        <v>0</v>
      </c>
    </row>
    <row r="207" customFormat="false" ht="15" hidden="false" customHeight="false" outlineLevel="0" collapsed="false">
      <c r="A207" s="79" t="n">
        <v>44584</v>
      </c>
      <c r="B207" s="80" t="n">
        <v>0</v>
      </c>
    </row>
    <row r="208" customFormat="false" ht="15" hidden="false" customHeight="false" outlineLevel="0" collapsed="false">
      <c r="A208" s="79" t="n">
        <v>44585</v>
      </c>
      <c r="B208" s="80" t="n">
        <v>0</v>
      </c>
    </row>
    <row r="209" customFormat="false" ht="15" hidden="false" customHeight="false" outlineLevel="0" collapsed="false">
      <c r="A209" s="79" t="n">
        <v>44586</v>
      </c>
      <c r="B209" s="80" t="n">
        <v>0</v>
      </c>
    </row>
    <row r="210" customFormat="false" ht="15" hidden="false" customHeight="false" outlineLevel="0" collapsed="false">
      <c r="A210" s="79" t="n">
        <v>44587</v>
      </c>
      <c r="B210" s="80" t="n">
        <v>0</v>
      </c>
    </row>
    <row r="211" customFormat="false" ht="15" hidden="false" customHeight="false" outlineLevel="0" collapsed="false">
      <c r="A211" s="79" t="n">
        <v>44588</v>
      </c>
      <c r="B211" s="80" t="n">
        <v>0</v>
      </c>
    </row>
    <row r="212" customFormat="false" ht="15" hidden="false" customHeight="false" outlineLevel="0" collapsed="false">
      <c r="A212" s="79" t="n">
        <v>44589</v>
      </c>
      <c r="B212" s="80" t="n">
        <v>0</v>
      </c>
    </row>
    <row r="213" customFormat="false" ht="15" hidden="false" customHeight="false" outlineLevel="0" collapsed="false">
      <c r="A213" s="79" t="n">
        <v>44590</v>
      </c>
      <c r="B213" s="80" t="n">
        <v>0</v>
      </c>
    </row>
    <row r="214" customFormat="false" ht="15" hidden="false" customHeight="false" outlineLevel="0" collapsed="false">
      <c r="A214" s="79" t="n">
        <v>44591</v>
      </c>
      <c r="B214" s="80" t="n">
        <v>0</v>
      </c>
    </row>
    <row r="215" customFormat="false" ht="15" hidden="false" customHeight="false" outlineLevel="0" collapsed="false">
      <c r="A215" s="79" t="n">
        <v>44592</v>
      </c>
      <c r="B215" s="80" t="n">
        <v>0</v>
      </c>
    </row>
    <row r="216" customFormat="false" ht="15" hidden="false" customHeight="false" outlineLevel="0" collapsed="false">
      <c r="A216" s="79" t="n">
        <v>44593</v>
      </c>
      <c r="B216" s="80" t="n">
        <v>0</v>
      </c>
    </row>
    <row r="217" customFormat="false" ht="15" hidden="false" customHeight="false" outlineLevel="0" collapsed="false">
      <c r="A217" s="79" t="n">
        <v>44594</v>
      </c>
      <c r="B217" s="80" t="n">
        <v>0</v>
      </c>
    </row>
    <row r="218" customFormat="false" ht="15" hidden="false" customHeight="false" outlineLevel="0" collapsed="false">
      <c r="A218" s="79" t="n">
        <v>44595</v>
      </c>
      <c r="B218" s="80" t="n">
        <v>0</v>
      </c>
    </row>
    <row r="219" customFormat="false" ht="15" hidden="false" customHeight="false" outlineLevel="0" collapsed="false">
      <c r="A219" s="79" t="n">
        <v>44596</v>
      </c>
      <c r="B219" s="80" t="n">
        <v>0</v>
      </c>
    </row>
    <row r="220" customFormat="false" ht="15" hidden="false" customHeight="false" outlineLevel="0" collapsed="false">
      <c r="A220" s="79" t="n">
        <v>44597</v>
      </c>
      <c r="B220" s="80" t="n">
        <v>0</v>
      </c>
    </row>
    <row r="221" customFormat="false" ht="15" hidden="false" customHeight="false" outlineLevel="0" collapsed="false">
      <c r="A221" s="79" t="n">
        <v>44598</v>
      </c>
      <c r="B221" s="80" t="n">
        <v>0</v>
      </c>
    </row>
    <row r="222" customFormat="false" ht="15" hidden="false" customHeight="false" outlineLevel="0" collapsed="false">
      <c r="A222" s="79" t="n">
        <v>44599</v>
      </c>
      <c r="B222" s="80" t="n">
        <v>0</v>
      </c>
    </row>
    <row r="223" customFormat="false" ht="15" hidden="false" customHeight="false" outlineLevel="0" collapsed="false">
      <c r="A223" s="79" t="n">
        <v>44600</v>
      </c>
      <c r="B223" s="80" t="n">
        <v>0</v>
      </c>
    </row>
    <row r="224" customFormat="false" ht="15" hidden="false" customHeight="false" outlineLevel="0" collapsed="false">
      <c r="A224" s="79" t="n">
        <v>44601</v>
      </c>
      <c r="B224" s="80" t="n">
        <v>0</v>
      </c>
    </row>
    <row r="225" customFormat="false" ht="15" hidden="false" customHeight="false" outlineLevel="0" collapsed="false">
      <c r="A225" s="79" t="n">
        <v>44602</v>
      </c>
      <c r="B225" s="80" t="n">
        <v>0</v>
      </c>
    </row>
    <row r="226" customFormat="false" ht="15" hidden="false" customHeight="false" outlineLevel="0" collapsed="false">
      <c r="A226" s="79" t="n">
        <v>44603</v>
      </c>
      <c r="B226" s="80" t="n">
        <v>0</v>
      </c>
    </row>
    <row r="227" customFormat="false" ht="15" hidden="false" customHeight="false" outlineLevel="0" collapsed="false">
      <c r="A227" s="79" t="n">
        <v>44604</v>
      </c>
      <c r="B227" s="80" t="n">
        <v>0</v>
      </c>
    </row>
    <row r="228" customFormat="false" ht="15" hidden="false" customHeight="false" outlineLevel="0" collapsed="false">
      <c r="A228" s="79" t="n">
        <v>44605</v>
      </c>
      <c r="B228" s="80" t="n">
        <v>0</v>
      </c>
    </row>
    <row r="229" customFormat="false" ht="15" hidden="false" customHeight="false" outlineLevel="0" collapsed="false">
      <c r="A229" s="79" t="n">
        <v>44606</v>
      </c>
      <c r="B229" s="80" t="n">
        <v>0</v>
      </c>
    </row>
    <row r="230" customFormat="false" ht="15" hidden="false" customHeight="false" outlineLevel="0" collapsed="false">
      <c r="A230" s="79" t="n">
        <v>44607</v>
      </c>
      <c r="B230" s="80" t="n">
        <v>0</v>
      </c>
    </row>
    <row r="231" customFormat="false" ht="15" hidden="false" customHeight="false" outlineLevel="0" collapsed="false">
      <c r="A231" s="79" t="n">
        <v>44608</v>
      </c>
      <c r="B231" s="80" t="n">
        <v>0</v>
      </c>
    </row>
    <row r="232" customFormat="false" ht="15" hidden="false" customHeight="false" outlineLevel="0" collapsed="false">
      <c r="A232" s="79" t="n">
        <v>44609</v>
      </c>
      <c r="B232" s="80" t="n">
        <v>0</v>
      </c>
    </row>
    <row r="233" customFormat="false" ht="15" hidden="false" customHeight="false" outlineLevel="0" collapsed="false">
      <c r="A233" s="79" t="n">
        <v>44610</v>
      </c>
      <c r="B233" s="80" t="n">
        <v>0</v>
      </c>
    </row>
    <row r="234" customFormat="false" ht="15" hidden="false" customHeight="false" outlineLevel="0" collapsed="false">
      <c r="A234" s="79" t="n">
        <v>44611</v>
      </c>
      <c r="B234" s="80" t="n">
        <v>0</v>
      </c>
    </row>
    <row r="235" customFormat="false" ht="15" hidden="false" customHeight="false" outlineLevel="0" collapsed="false">
      <c r="A235" s="79" t="n">
        <v>44612</v>
      </c>
      <c r="B235" s="80" t="n">
        <v>0</v>
      </c>
    </row>
    <row r="236" customFormat="false" ht="15" hidden="false" customHeight="false" outlineLevel="0" collapsed="false">
      <c r="A236" s="79" t="n">
        <v>44613</v>
      </c>
      <c r="B236" s="80" t="n">
        <v>0</v>
      </c>
    </row>
    <row r="237" customFormat="false" ht="15" hidden="false" customHeight="false" outlineLevel="0" collapsed="false">
      <c r="A237" s="79" t="n">
        <v>44614</v>
      </c>
      <c r="B237" s="80" t="n">
        <v>0</v>
      </c>
    </row>
    <row r="238" customFormat="false" ht="15" hidden="false" customHeight="false" outlineLevel="0" collapsed="false">
      <c r="A238" s="79" t="n">
        <v>44615</v>
      </c>
      <c r="B238" s="80" t="n">
        <v>0</v>
      </c>
    </row>
    <row r="239" customFormat="false" ht="15" hidden="false" customHeight="false" outlineLevel="0" collapsed="false">
      <c r="A239" s="79" t="n">
        <v>44616</v>
      </c>
      <c r="B239" s="80" t="n">
        <v>0</v>
      </c>
    </row>
    <row r="240" customFormat="false" ht="15" hidden="false" customHeight="false" outlineLevel="0" collapsed="false">
      <c r="A240" s="79" t="n">
        <v>44617</v>
      </c>
      <c r="B240" s="80" t="n">
        <v>0</v>
      </c>
    </row>
    <row r="241" customFormat="false" ht="15" hidden="false" customHeight="false" outlineLevel="0" collapsed="false">
      <c r="A241" s="79" t="n">
        <v>44618</v>
      </c>
      <c r="B241" s="80" t="n">
        <v>0</v>
      </c>
    </row>
    <row r="242" customFormat="false" ht="15" hidden="false" customHeight="false" outlineLevel="0" collapsed="false">
      <c r="A242" s="79" t="n">
        <v>44619</v>
      </c>
      <c r="B242" s="80" t="n">
        <v>0</v>
      </c>
    </row>
    <row r="243" customFormat="false" ht="15" hidden="false" customHeight="false" outlineLevel="0" collapsed="false">
      <c r="A243" s="79" t="n">
        <v>44620</v>
      </c>
      <c r="B243" s="80" t="n">
        <v>0</v>
      </c>
    </row>
    <row r="244" customFormat="false" ht="15" hidden="false" customHeight="false" outlineLevel="0" collapsed="false">
      <c r="A244" s="79" t="n">
        <v>44621</v>
      </c>
      <c r="B244" s="80" t="n">
        <v>0</v>
      </c>
    </row>
    <row r="245" customFormat="false" ht="15" hidden="false" customHeight="false" outlineLevel="0" collapsed="false">
      <c r="A245" s="79" t="n">
        <v>44622</v>
      </c>
      <c r="B245" s="80" t="n">
        <v>0</v>
      </c>
    </row>
    <row r="246" customFormat="false" ht="15" hidden="false" customHeight="false" outlineLevel="0" collapsed="false">
      <c r="A246" s="79" t="n">
        <v>44623</v>
      </c>
      <c r="B246" s="80" t="n">
        <v>0</v>
      </c>
    </row>
    <row r="247" customFormat="false" ht="15" hidden="false" customHeight="false" outlineLevel="0" collapsed="false">
      <c r="A247" s="79" t="n">
        <v>44624</v>
      </c>
      <c r="B247" s="80" t="n">
        <v>0</v>
      </c>
    </row>
    <row r="248" customFormat="false" ht="15" hidden="false" customHeight="false" outlineLevel="0" collapsed="false">
      <c r="A248" s="79" t="n">
        <v>44625</v>
      </c>
      <c r="B248" s="80" t="n">
        <v>0</v>
      </c>
    </row>
    <row r="249" customFormat="false" ht="15" hidden="false" customHeight="false" outlineLevel="0" collapsed="false">
      <c r="A249" s="79" t="n">
        <v>44626</v>
      </c>
      <c r="B249" s="80" t="n">
        <v>0</v>
      </c>
    </row>
    <row r="250" customFormat="false" ht="15" hidden="false" customHeight="false" outlineLevel="0" collapsed="false">
      <c r="A250" s="79" t="n">
        <v>44627</v>
      </c>
      <c r="B250" s="80" t="n">
        <v>0</v>
      </c>
    </row>
    <row r="251" customFormat="false" ht="15" hidden="false" customHeight="false" outlineLevel="0" collapsed="false">
      <c r="A251" s="79" t="n">
        <v>44628</v>
      </c>
      <c r="B251" s="80" t="n">
        <v>0</v>
      </c>
    </row>
    <row r="252" customFormat="false" ht="15" hidden="false" customHeight="false" outlineLevel="0" collapsed="false">
      <c r="A252" s="79" t="n">
        <v>44629</v>
      </c>
      <c r="B252" s="80" t="n">
        <v>0</v>
      </c>
    </row>
    <row r="253" customFormat="false" ht="15" hidden="false" customHeight="false" outlineLevel="0" collapsed="false">
      <c r="A253" s="79" t="n">
        <v>44630</v>
      </c>
      <c r="B253" s="80" t="n">
        <v>0</v>
      </c>
    </row>
    <row r="254" customFormat="false" ht="15" hidden="false" customHeight="false" outlineLevel="0" collapsed="false">
      <c r="A254" s="79" t="n">
        <v>44631</v>
      </c>
      <c r="B254" s="80" t="n">
        <v>0</v>
      </c>
    </row>
    <row r="255" customFormat="false" ht="15" hidden="false" customHeight="false" outlineLevel="0" collapsed="false">
      <c r="A255" s="79" t="n">
        <v>44632</v>
      </c>
      <c r="B255" s="80" t="n">
        <v>0</v>
      </c>
    </row>
    <row r="256" customFormat="false" ht="15" hidden="false" customHeight="false" outlineLevel="0" collapsed="false">
      <c r="A256" s="79" t="n">
        <v>44633</v>
      </c>
      <c r="B256" s="80" t="n">
        <v>0</v>
      </c>
    </row>
    <row r="257" customFormat="false" ht="15" hidden="false" customHeight="false" outlineLevel="0" collapsed="false">
      <c r="A257" s="79" t="n">
        <v>44634</v>
      </c>
      <c r="B257" s="80" t="n">
        <v>0</v>
      </c>
    </row>
    <row r="258" customFormat="false" ht="15" hidden="false" customHeight="false" outlineLevel="0" collapsed="false">
      <c r="A258" s="79" t="n">
        <v>44635</v>
      </c>
      <c r="B258" s="80" t="n">
        <v>0</v>
      </c>
    </row>
    <row r="259" customFormat="false" ht="15" hidden="false" customHeight="false" outlineLevel="0" collapsed="false">
      <c r="A259" s="79" t="n">
        <v>44636</v>
      </c>
      <c r="B259" s="80" t="n">
        <v>0</v>
      </c>
    </row>
    <row r="260" customFormat="false" ht="15" hidden="false" customHeight="false" outlineLevel="0" collapsed="false">
      <c r="A260" s="79" t="n">
        <v>44637</v>
      </c>
      <c r="B260" s="80" t="n">
        <v>0</v>
      </c>
    </row>
    <row r="261" customFormat="false" ht="15" hidden="false" customHeight="false" outlineLevel="0" collapsed="false">
      <c r="A261" s="79" t="n">
        <v>44638</v>
      </c>
      <c r="B261" s="80" t="n">
        <v>0</v>
      </c>
    </row>
    <row r="262" customFormat="false" ht="15" hidden="false" customHeight="false" outlineLevel="0" collapsed="false">
      <c r="A262" s="79" t="n">
        <v>44639</v>
      </c>
      <c r="B262" s="80" t="n">
        <v>0</v>
      </c>
    </row>
    <row r="263" customFormat="false" ht="15" hidden="false" customHeight="false" outlineLevel="0" collapsed="false">
      <c r="A263" s="79" t="n">
        <v>44640</v>
      </c>
      <c r="B263" s="80" t="n">
        <v>0</v>
      </c>
    </row>
    <row r="264" customFormat="false" ht="15" hidden="false" customHeight="false" outlineLevel="0" collapsed="false">
      <c r="A264" s="79" t="n">
        <v>44641</v>
      </c>
      <c r="B264" s="80" t="n">
        <v>0</v>
      </c>
    </row>
    <row r="265" customFormat="false" ht="15" hidden="false" customHeight="false" outlineLevel="0" collapsed="false">
      <c r="A265" s="79" t="n">
        <v>44642</v>
      </c>
      <c r="B265" s="80" t="n">
        <v>0</v>
      </c>
    </row>
    <row r="266" customFormat="false" ht="15" hidden="false" customHeight="false" outlineLevel="0" collapsed="false">
      <c r="A266" s="79" t="n">
        <v>44643</v>
      </c>
      <c r="B266" s="80" t="n">
        <v>0</v>
      </c>
    </row>
    <row r="267" customFormat="false" ht="15" hidden="false" customHeight="false" outlineLevel="0" collapsed="false">
      <c r="A267" s="79" t="n">
        <v>44644</v>
      </c>
      <c r="B267" s="80" t="n">
        <v>0</v>
      </c>
    </row>
    <row r="268" customFormat="false" ht="15" hidden="false" customHeight="false" outlineLevel="0" collapsed="false">
      <c r="A268" s="79" t="n">
        <v>44645</v>
      </c>
      <c r="B268" s="80" t="n">
        <v>0</v>
      </c>
    </row>
    <row r="269" customFormat="false" ht="15" hidden="false" customHeight="false" outlineLevel="0" collapsed="false">
      <c r="A269" s="79" t="n">
        <v>44646</v>
      </c>
      <c r="B269" s="80" t="n">
        <v>0</v>
      </c>
    </row>
    <row r="270" customFormat="false" ht="15" hidden="false" customHeight="false" outlineLevel="0" collapsed="false">
      <c r="A270" s="79" t="n">
        <v>44647</v>
      </c>
      <c r="B270" s="80" t="n">
        <v>0</v>
      </c>
    </row>
    <row r="271" customFormat="false" ht="15" hidden="false" customHeight="false" outlineLevel="0" collapsed="false">
      <c r="A271" s="79" t="n">
        <v>44648</v>
      </c>
      <c r="B271" s="80" t="n">
        <v>0</v>
      </c>
    </row>
    <row r="272" customFormat="false" ht="15" hidden="false" customHeight="false" outlineLevel="0" collapsed="false">
      <c r="A272" s="79" t="n">
        <v>44649</v>
      </c>
      <c r="B272" s="80" t="n">
        <v>0</v>
      </c>
    </row>
    <row r="273" customFormat="false" ht="15" hidden="false" customHeight="false" outlineLevel="0" collapsed="false">
      <c r="A273" s="79" t="n">
        <v>44650</v>
      </c>
      <c r="B273" s="80" t="n">
        <v>0</v>
      </c>
    </row>
    <row r="274" customFormat="false" ht="15" hidden="false" customHeight="false" outlineLevel="0" collapsed="false">
      <c r="A274" s="79" t="n">
        <v>44651</v>
      </c>
      <c r="B274" s="80" t="n">
        <v>0</v>
      </c>
    </row>
    <row r="275" customFormat="false" ht="15" hidden="false" customHeight="false" outlineLevel="0" collapsed="false">
      <c r="A275" s="79" t="n">
        <v>44652</v>
      </c>
      <c r="B275" s="80" t="n">
        <v>0</v>
      </c>
    </row>
    <row r="276" customFormat="false" ht="15" hidden="false" customHeight="false" outlineLevel="0" collapsed="false">
      <c r="A276" s="79" t="n">
        <v>44653</v>
      </c>
      <c r="B276" s="80" t="n">
        <v>0</v>
      </c>
    </row>
    <row r="277" customFormat="false" ht="15" hidden="false" customHeight="false" outlineLevel="0" collapsed="false">
      <c r="A277" s="79" t="n">
        <v>44654</v>
      </c>
      <c r="B277" s="80" t="n">
        <v>0</v>
      </c>
    </row>
    <row r="278" customFormat="false" ht="15" hidden="false" customHeight="false" outlineLevel="0" collapsed="false">
      <c r="A278" s="79" t="n">
        <v>44655</v>
      </c>
      <c r="B278" s="80" t="n">
        <v>0</v>
      </c>
    </row>
    <row r="279" customFormat="false" ht="15" hidden="false" customHeight="false" outlineLevel="0" collapsed="false">
      <c r="A279" s="79" t="n">
        <v>44656</v>
      </c>
      <c r="B279" s="80" t="n">
        <v>0</v>
      </c>
    </row>
    <row r="280" customFormat="false" ht="15" hidden="false" customHeight="false" outlineLevel="0" collapsed="false">
      <c r="A280" s="79" t="n">
        <v>44657</v>
      </c>
      <c r="B280" s="80" t="n">
        <v>0</v>
      </c>
    </row>
    <row r="281" customFormat="false" ht="15" hidden="false" customHeight="false" outlineLevel="0" collapsed="false">
      <c r="A281" s="79" t="n">
        <v>44658</v>
      </c>
      <c r="B281" s="80" t="n">
        <v>0</v>
      </c>
    </row>
    <row r="282" customFormat="false" ht="15" hidden="false" customHeight="false" outlineLevel="0" collapsed="false">
      <c r="A282" s="79" t="n">
        <v>44659</v>
      </c>
      <c r="B282" s="80" t="n">
        <v>0</v>
      </c>
    </row>
    <row r="283" customFormat="false" ht="15" hidden="false" customHeight="false" outlineLevel="0" collapsed="false">
      <c r="A283" s="79" t="n">
        <v>44660</v>
      </c>
      <c r="B283" s="80" t="n">
        <v>0</v>
      </c>
    </row>
    <row r="284" customFormat="false" ht="15" hidden="false" customHeight="false" outlineLevel="0" collapsed="false">
      <c r="A284" s="79" t="n">
        <v>44661</v>
      </c>
      <c r="B284" s="80" t="n">
        <v>0</v>
      </c>
    </row>
    <row r="285" customFormat="false" ht="15" hidden="false" customHeight="false" outlineLevel="0" collapsed="false">
      <c r="A285" s="79" t="n">
        <v>44662</v>
      </c>
      <c r="B285" s="80" t="n">
        <v>0</v>
      </c>
    </row>
    <row r="286" customFormat="false" ht="15" hidden="false" customHeight="false" outlineLevel="0" collapsed="false">
      <c r="A286" s="79" t="n">
        <v>44663</v>
      </c>
      <c r="B286" s="80" t="n">
        <v>0</v>
      </c>
    </row>
    <row r="287" customFormat="false" ht="15" hidden="false" customHeight="false" outlineLevel="0" collapsed="false">
      <c r="A287" s="79" t="n">
        <v>44664</v>
      </c>
      <c r="B287" s="80" t="n">
        <v>0</v>
      </c>
    </row>
    <row r="288" customFormat="false" ht="15" hidden="false" customHeight="false" outlineLevel="0" collapsed="false">
      <c r="A288" s="79" t="n">
        <v>44665</v>
      </c>
      <c r="B288" s="80" t="n">
        <v>0</v>
      </c>
    </row>
    <row r="289" customFormat="false" ht="15" hidden="false" customHeight="false" outlineLevel="0" collapsed="false">
      <c r="A289" s="79" t="n">
        <v>44666</v>
      </c>
      <c r="B289" s="80" t="n">
        <v>0</v>
      </c>
    </row>
    <row r="290" customFormat="false" ht="15" hidden="false" customHeight="false" outlineLevel="0" collapsed="false">
      <c r="A290" s="79" t="n">
        <v>44667</v>
      </c>
      <c r="B290" s="80" t="n">
        <v>0</v>
      </c>
    </row>
    <row r="291" customFormat="false" ht="15" hidden="false" customHeight="false" outlineLevel="0" collapsed="false">
      <c r="A291" s="79" t="n">
        <v>44668</v>
      </c>
      <c r="B291" s="80" t="n">
        <v>0</v>
      </c>
    </row>
    <row r="292" customFormat="false" ht="15" hidden="false" customHeight="false" outlineLevel="0" collapsed="false">
      <c r="A292" s="79" t="n">
        <v>44669</v>
      </c>
      <c r="B292" s="80" t="n">
        <v>0</v>
      </c>
    </row>
    <row r="293" customFormat="false" ht="15" hidden="false" customHeight="false" outlineLevel="0" collapsed="false">
      <c r="A293" s="79" t="n">
        <v>44670</v>
      </c>
      <c r="B293" s="80" t="n">
        <v>0</v>
      </c>
    </row>
    <row r="294" customFormat="false" ht="15" hidden="false" customHeight="false" outlineLevel="0" collapsed="false">
      <c r="A294" s="79" t="n">
        <v>44671</v>
      </c>
      <c r="B294" s="80" t="n">
        <v>0</v>
      </c>
    </row>
    <row r="295" customFormat="false" ht="15" hidden="false" customHeight="false" outlineLevel="0" collapsed="false">
      <c r="A295" s="79" t="n">
        <v>44672</v>
      </c>
      <c r="B295" s="80" t="n">
        <v>0</v>
      </c>
    </row>
    <row r="296" customFormat="false" ht="15" hidden="false" customHeight="false" outlineLevel="0" collapsed="false">
      <c r="A296" s="79" t="n">
        <v>44673</v>
      </c>
      <c r="B296" s="80" t="n">
        <v>0</v>
      </c>
    </row>
    <row r="297" customFormat="false" ht="15" hidden="false" customHeight="false" outlineLevel="0" collapsed="false">
      <c r="A297" s="79" t="n">
        <v>44674</v>
      </c>
      <c r="B297" s="80" t="n">
        <v>0</v>
      </c>
    </row>
    <row r="298" customFormat="false" ht="15" hidden="false" customHeight="false" outlineLevel="0" collapsed="false">
      <c r="A298" s="79" t="n">
        <v>44675</v>
      </c>
      <c r="B298" s="80" t="n">
        <v>0</v>
      </c>
    </row>
    <row r="299" customFormat="false" ht="15" hidden="false" customHeight="false" outlineLevel="0" collapsed="false">
      <c r="A299" s="79" t="n">
        <v>44676</v>
      </c>
      <c r="B299" s="80" t="n">
        <v>0</v>
      </c>
    </row>
    <row r="300" customFormat="false" ht="15" hidden="false" customHeight="false" outlineLevel="0" collapsed="false">
      <c r="A300" s="79" t="n">
        <v>44677</v>
      </c>
      <c r="B300" s="80" t="n">
        <v>0</v>
      </c>
    </row>
    <row r="301" customFormat="false" ht="15" hidden="false" customHeight="false" outlineLevel="0" collapsed="false">
      <c r="A301" s="79" t="n">
        <v>44678</v>
      </c>
      <c r="B301" s="80" t="n">
        <v>0</v>
      </c>
    </row>
    <row r="302" customFormat="false" ht="15" hidden="false" customHeight="false" outlineLevel="0" collapsed="false">
      <c r="A302" s="79" t="n">
        <v>44679</v>
      </c>
      <c r="B302" s="80" t="n">
        <v>0</v>
      </c>
    </row>
    <row r="303" customFormat="false" ht="15" hidden="false" customHeight="false" outlineLevel="0" collapsed="false">
      <c r="A303" s="79" t="n">
        <v>44680</v>
      </c>
      <c r="B303" s="80" t="n">
        <v>0</v>
      </c>
    </row>
    <row r="304" customFormat="false" ht="15" hidden="false" customHeight="false" outlineLevel="0" collapsed="false">
      <c r="A304" s="79" t="n">
        <v>44681</v>
      </c>
      <c r="B304" s="80" t="n">
        <v>0</v>
      </c>
    </row>
    <row r="305" customFormat="false" ht="15" hidden="false" customHeight="false" outlineLevel="0" collapsed="false">
      <c r="A305" s="79" t="n">
        <v>44682</v>
      </c>
      <c r="B305" s="80" t="n">
        <v>0</v>
      </c>
    </row>
    <row r="306" customFormat="false" ht="15" hidden="false" customHeight="false" outlineLevel="0" collapsed="false">
      <c r="A306" s="79" t="n">
        <v>44683</v>
      </c>
      <c r="B306" s="80" t="n">
        <v>0</v>
      </c>
    </row>
    <row r="307" customFormat="false" ht="15" hidden="false" customHeight="false" outlineLevel="0" collapsed="false">
      <c r="A307" s="79" t="n">
        <v>44684</v>
      </c>
      <c r="B307" s="80" t="n">
        <v>0</v>
      </c>
    </row>
    <row r="308" customFormat="false" ht="15" hidden="false" customHeight="false" outlineLevel="0" collapsed="false">
      <c r="A308" s="79" t="n">
        <v>44685</v>
      </c>
      <c r="B308" s="80" t="n">
        <v>0</v>
      </c>
    </row>
    <row r="309" customFormat="false" ht="15" hidden="false" customHeight="false" outlineLevel="0" collapsed="false">
      <c r="A309" s="79" t="n">
        <v>44686</v>
      </c>
      <c r="B309" s="80" t="n">
        <v>0</v>
      </c>
    </row>
    <row r="310" customFormat="false" ht="15" hidden="false" customHeight="false" outlineLevel="0" collapsed="false">
      <c r="A310" s="79" t="n">
        <v>44687</v>
      </c>
      <c r="B310" s="80" t="n">
        <v>0</v>
      </c>
    </row>
    <row r="311" customFormat="false" ht="15" hidden="false" customHeight="false" outlineLevel="0" collapsed="false">
      <c r="A311" s="79" t="n">
        <v>44688</v>
      </c>
      <c r="B311" s="80" t="n">
        <v>0</v>
      </c>
    </row>
    <row r="312" customFormat="false" ht="15" hidden="false" customHeight="false" outlineLevel="0" collapsed="false">
      <c r="A312" s="79" t="n">
        <v>44689</v>
      </c>
      <c r="B312" s="80" t="n">
        <v>0</v>
      </c>
    </row>
    <row r="313" customFormat="false" ht="15" hidden="false" customHeight="false" outlineLevel="0" collapsed="false">
      <c r="A313" s="79" t="n">
        <v>44690</v>
      </c>
      <c r="B313" s="80" t="n">
        <v>0</v>
      </c>
    </row>
    <row r="314" customFormat="false" ht="15" hidden="false" customHeight="false" outlineLevel="0" collapsed="false">
      <c r="A314" s="79" t="n">
        <v>44691</v>
      </c>
      <c r="B314" s="80" t="n">
        <v>0</v>
      </c>
    </row>
    <row r="315" customFormat="false" ht="15" hidden="false" customHeight="false" outlineLevel="0" collapsed="false">
      <c r="A315" s="79" t="n">
        <v>44692</v>
      </c>
      <c r="B315" s="80" t="n">
        <v>0</v>
      </c>
    </row>
    <row r="316" customFormat="false" ht="15" hidden="false" customHeight="false" outlineLevel="0" collapsed="false">
      <c r="A316" s="79" t="n">
        <v>44693</v>
      </c>
      <c r="B316" s="80" t="n">
        <v>0</v>
      </c>
    </row>
    <row r="317" customFormat="false" ht="15" hidden="false" customHeight="false" outlineLevel="0" collapsed="false">
      <c r="A317" s="79" t="n">
        <v>44694</v>
      </c>
      <c r="B317" s="80" t="n">
        <v>0</v>
      </c>
    </row>
    <row r="318" customFormat="false" ht="15" hidden="false" customHeight="false" outlineLevel="0" collapsed="false">
      <c r="A318" s="79" t="n">
        <v>44695</v>
      </c>
      <c r="B318" s="80" t="n">
        <v>0</v>
      </c>
    </row>
    <row r="319" customFormat="false" ht="15" hidden="false" customHeight="false" outlineLevel="0" collapsed="false">
      <c r="A319" s="79" t="n">
        <v>44696</v>
      </c>
      <c r="B319" s="80" t="n">
        <v>0</v>
      </c>
    </row>
    <row r="320" customFormat="false" ht="15" hidden="false" customHeight="false" outlineLevel="0" collapsed="false">
      <c r="A320" s="79" t="n">
        <v>44697</v>
      </c>
      <c r="B320" s="80" t="n">
        <v>0</v>
      </c>
    </row>
    <row r="321" customFormat="false" ht="15" hidden="false" customHeight="false" outlineLevel="0" collapsed="false">
      <c r="A321" s="79" t="n">
        <v>44698</v>
      </c>
      <c r="B321" s="80" t="n">
        <v>0</v>
      </c>
    </row>
    <row r="322" customFormat="false" ht="15" hidden="false" customHeight="false" outlineLevel="0" collapsed="false">
      <c r="A322" s="79" t="n">
        <v>44699</v>
      </c>
      <c r="B322" s="80" t="n">
        <v>0</v>
      </c>
    </row>
    <row r="323" customFormat="false" ht="15" hidden="false" customHeight="false" outlineLevel="0" collapsed="false">
      <c r="A323" s="79" t="n">
        <v>44700</v>
      </c>
      <c r="B323" s="80" t="n">
        <v>0</v>
      </c>
    </row>
    <row r="324" customFormat="false" ht="15" hidden="false" customHeight="false" outlineLevel="0" collapsed="false">
      <c r="A324" s="79" t="n">
        <v>44701</v>
      </c>
      <c r="B324" s="80" t="n">
        <v>0</v>
      </c>
    </row>
    <row r="325" customFormat="false" ht="15" hidden="false" customHeight="false" outlineLevel="0" collapsed="false">
      <c r="A325" s="79" t="n">
        <v>44702</v>
      </c>
      <c r="B325" s="80" t="n">
        <v>0</v>
      </c>
    </row>
    <row r="326" customFormat="false" ht="15" hidden="false" customHeight="false" outlineLevel="0" collapsed="false">
      <c r="A326" s="79" t="n">
        <v>44703</v>
      </c>
      <c r="B326" s="80" t="n">
        <v>0</v>
      </c>
    </row>
    <row r="327" customFormat="false" ht="15" hidden="false" customHeight="false" outlineLevel="0" collapsed="false">
      <c r="A327" s="79" t="n">
        <v>44704</v>
      </c>
      <c r="B327" s="80" t="n">
        <v>0</v>
      </c>
    </row>
    <row r="328" customFormat="false" ht="15" hidden="false" customHeight="false" outlineLevel="0" collapsed="false">
      <c r="A328" s="79" t="n">
        <v>44705</v>
      </c>
      <c r="B328" s="80" t="n">
        <v>0</v>
      </c>
    </row>
    <row r="329" customFormat="false" ht="15" hidden="false" customHeight="false" outlineLevel="0" collapsed="false">
      <c r="A329" s="79" t="n">
        <v>44706</v>
      </c>
      <c r="B329" s="80" t="n">
        <v>0</v>
      </c>
    </row>
    <row r="330" customFormat="false" ht="15" hidden="false" customHeight="false" outlineLevel="0" collapsed="false">
      <c r="A330" s="79" t="n">
        <v>44707</v>
      </c>
      <c r="B330" s="80" t="n">
        <v>0</v>
      </c>
    </row>
    <row r="331" customFormat="false" ht="15" hidden="false" customHeight="false" outlineLevel="0" collapsed="false">
      <c r="A331" s="79" t="n">
        <v>44708</v>
      </c>
      <c r="B331" s="80" t="n">
        <v>0</v>
      </c>
    </row>
    <row r="332" customFormat="false" ht="15" hidden="false" customHeight="false" outlineLevel="0" collapsed="false">
      <c r="A332" s="79" t="n">
        <v>44709</v>
      </c>
      <c r="B332" s="80" t="n">
        <v>0</v>
      </c>
    </row>
    <row r="333" customFormat="false" ht="15" hidden="false" customHeight="false" outlineLevel="0" collapsed="false">
      <c r="A333" s="79" t="n">
        <v>44710</v>
      </c>
      <c r="B333" s="80" t="n">
        <v>0</v>
      </c>
    </row>
    <row r="334" customFormat="false" ht="15" hidden="false" customHeight="false" outlineLevel="0" collapsed="false">
      <c r="A334" s="79" t="n">
        <v>44711</v>
      </c>
      <c r="B334" s="80" t="n">
        <v>0</v>
      </c>
    </row>
    <row r="335" customFormat="false" ht="15" hidden="false" customHeight="false" outlineLevel="0" collapsed="false">
      <c r="A335" s="79" t="n">
        <v>44712</v>
      </c>
      <c r="B335" s="80" t="n">
        <v>0</v>
      </c>
    </row>
    <row r="336" customFormat="false" ht="15" hidden="false" customHeight="false" outlineLevel="0" collapsed="false">
      <c r="A336" s="79" t="n">
        <v>44713</v>
      </c>
      <c r="B336" s="80" t="n">
        <v>0</v>
      </c>
    </row>
    <row r="337" customFormat="false" ht="15" hidden="false" customHeight="false" outlineLevel="0" collapsed="false">
      <c r="A337" s="79" t="n">
        <v>44714</v>
      </c>
      <c r="B337" s="80" t="n">
        <v>0</v>
      </c>
    </row>
    <row r="338" customFormat="false" ht="15" hidden="false" customHeight="false" outlineLevel="0" collapsed="false">
      <c r="A338" s="79" t="n">
        <v>44715</v>
      </c>
      <c r="B338" s="80" t="n">
        <v>0</v>
      </c>
    </row>
    <row r="339" customFormat="false" ht="15" hidden="false" customHeight="false" outlineLevel="0" collapsed="false">
      <c r="A339" s="79" t="n">
        <v>44716</v>
      </c>
      <c r="B339" s="80" t="n">
        <v>0</v>
      </c>
    </row>
    <row r="340" customFormat="false" ht="15" hidden="false" customHeight="false" outlineLevel="0" collapsed="false">
      <c r="A340" s="79" t="n">
        <v>44717</v>
      </c>
      <c r="B340" s="80" t="n">
        <v>0</v>
      </c>
    </row>
    <row r="341" customFormat="false" ht="15" hidden="false" customHeight="false" outlineLevel="0" collapsed="false">
      <c r="A341" s="79" t="n">
        <v>44718</v>
      </c>
      <c r="B341" s="80" t="n">
        <v>0</v>
      </c>
    </row>
    <row r="342" customFormat="false" ht="15" hidden="false" customHeight="false" outlineLevel="0" collapsed="false">
      <c r="A342" s="79" t="n">
        <v>44719</v>
      </c>
      <c r="B342" s="80" t="n">
        <v>0</v>
      </c>
    </row>
    <row r="343" customFormat="false" ht="15" hidden="false" customHeight="false" outlineLevel="0" collapsed="false">
      <c r="A343" s="79" t="n">
        <v>44720</v>
      </c>
      <c r="B343" s="80" t="n">
        <v>0</v>
      </c>
    </row>
    <row r="344" customFormat="false" ht="15" hidden="false" customHeight="false" outlineLevel="0" collapsed="false">
      <c r="A344" s="79" t="n">
        <v>44721</v>
      </c>
      <c r="B344" s="80" t="n">
        <v>0</v>
      </c>
    </row>
    <row r="345" customFormat="false" ht="15" hidden="false" customHeight="false" outlineLevel="0" collapsed="false">
      <c r="A345" s="79" t="n">
        <v>44722</v>
      </c>
      <c r="B345" s="80" t="n">
        <v>0</v>
      </c>
    </row>
    <row r="346" customFormat="false" ht="15" hidden="false" customHeight="false" outlineLevel="0" collapsed="false">
      <c r="A346" s="79" t="n">
        <v>44723</v>
      </c>
      <c r="B346" s="80" t="n">
        <v>0</v>
      </c>
    </row>
    <row r="347" customFormat="false" ht="15" hidden="false" customHeight="false" outlineLevel="0" collapsed="false">
      <c r="A347" s="79" t="n">
        <v>44724</v>
      </c>
      <c r="B347" s="80" t="n">
        <v>0</v>
      </c>
    </row>
    <row r="348" customFormat="false" ht="15" hidden="false" customHeight="false" outlineLevel="0" collapsed="false">
      <c r="A348" s="79" t="n">
        <v>44725</v>
      </c>
      <c r="B348" s="80" t="n">
        <v>0</v>
      </c>
    </row>
    <row r="349" customFormat="false" ht="15" hidden="false" customHeight="false" outlineLevel="0" collapsed="false">
      <c r="A349" s="79" t="n">
        <v>44726</v>
      </c>
      <c r="B349" s="80" t="n">
        <v>0</v>
      </c>
    </row>
    <row r="350" customFormat="false" ht="15" hidden="false" customHeight="false" outlineLevel="0" collapsed="false">
      <c r="A350" s="79" t="n">
        <v>44727</v>
      </c>
      <c r="B350" s="80" t="n">
        <v>0</v>
      </c>
    </row>
    <row r="351" customFormat="false" ht="15" hidden="false" customHeight="false" outlineLevel="0" collapsed="false">
      <c r="A351" s="79" t="n">
        <v>44728</v>
      </c>
      <c r="B351" s="80" t="n">
        <v>0</v>
      </c>
    </row>
    <row r="352" customFormat="false" ht="15" hidden="false" customHeight="false" outlineLevel="0" collapsed="false">
      <c r="A352" s="79" t="n">
        <v>44729</v>
      </c>
      <c r="B352" s="80" t="n">
        <v>0</v>
      </c>
    </row>
    <row r="353" customFormat="false" ht="15" hidden="false" customHeight="false" outlineLevel="0" collapsed="false">
      <c r="A353" s="79" t="n">
        <v>44730</v>
      </c>
      <c r="B353" s="80" t="n">
        <v>0</v>
      </c>
    </row>
    <row r="354" customFormat="false" ht="15" hidden="false" customHeight="false" outlineLevel="0" collapsed="false">
      <c r="A354" s="79" t="n">
        <v>44731</v>
      </c>
      <c r="B354" s="80" t="n">
        <v>0</v>
      </c>
    </row>
    <row r="355" customFormat="false" ht="15" hidden="false" customHeight="false" outlineLevel="0" collapsed="false">
      <c r="A355" s="79" t="n">
        <v>44732</v>
      </c>
      <c r="B355" s="80" t="n">
        <v>0</v>
      </c>
    </row>
    <row r="356" customFormat="false" ht="15" hidden="false" customHeight="false" outlineLevel="0" collapsed="false">
      <c r="A356" s="79" t="n">
        <v>44733</v>
      </c>
      <c r="B356" s="80" t="n">
        <v>0</v>
      </c>
    </row>
    <row r="357" customFormat="false" ht="15" hidden="false" customHeight="false" outlineLevel="0" collapsed="false">
      <c r="A357" s="79" t="n">
        <v>44734</v>
      </c>
      <c r="B357" s="80" t="n">
        <v>0</v>
      </c>
    </row>
    <row r="358" customFormat="false" ht="15" hidden="false" customHeight="false" outlineLevel="0" collapsed="false">
      <c r="A358" s="79" t="n">
        <v>44735</v>
      </c>
      <c r="B358" s="80" t="n">
        <v>0</v>
      </c>
    </row>
    <row r="359" customFormat="false" ht="15" hidden="false" customHeight="false" outlineLevel="0" collapsed="false">
      <c r="A359" s="79" t="n">
        <v>44736</v>
      </c>
      <c r="B359" s="80" t="n">
        <v>0</v>
      </c>
    </row>
    <row r="360" customFormat="false" ht="15" hidden="false" customHeight="false" outlineLevel="0" collapsed="false">
      <c r="A360" s="79" t="n">
        <v>44737</v>
      </c>
      <c r="B360" s="80" t="n">
        <v>0</v>
      </c>
    </row>
    <row r="361" customFormat="false" ht="15" hidden="false" customHeight="false" outlineLevel="0" collapsed="false">
      <c r="A361" s="79" t="n">
        <v>44738</v>
      </c>
      <c r="B361" s="80" t="n">
        <v>0</v>
      </c>
    </row>
    <row r="362" customFormat="false" ht="15" hidden="false" customHeight="false" outlineLevel="0" collapsed="false">
      <c r="A362" s="79" t="n">
        <v>44739</v>
      </c>
      <c r="B362" s="80" t="n">
        <v>0</v>
      </c>
    </row>
    <row r="363" customFormat="false" ht="15" hidden="false" customHeight="false" outlineLevel="0" collapsed="false">
      <c r="A363" s="79" t="n">
        <v>44740</v>
      </c>
      <c r="B363" s="80" t="n">
        <v>0</v>
      </c>
    </row>
    <row r="364" customFormat="false" ht="15" hidden="false" customHeight="false" outlineLevel="0" collapsed="false">
      <c r="A364" s="79" t="n">
        <v>44741</v>
      </c>
      <c r="B364" s="80" t="n">
        <v>0</v>
      </c>
    </row>
    <row r="365" customFormat="false" ht="15" hidden="false" customHeight="false" outlineLevel="0" collapsed="false">
      <c r="A365" s="79" t="n">
        <v>44742</v>
      </c>
      <c r="B365" s="80" t="n">
        <v>0</v>
      </c>
    </row>
    <row r="366" customFormat="false" ht="15" hidden="false" customHeight="false" outlineLevel="0" collapsed="false">
      <c r="A366" s="79" t="n">
        <v>44743</v>
      </c>
      <c r="B366" s="80" t="n">
        <v>0</v>
      </c>
    </row>
    <row r="367" customFormat="false" ht="15" hidden="false" customHeight="false" outlineLevel="0" collapsed="false">
      <c r="A367" s="79" t="n">
        <v>44744</v>
      </c>
      <c r="B367" s="80" t="n">
        <v>0</v>
      </c>
    </row>
    <row r="368" customFormat="false" ht="15" hidden="false" customHeight="false" outlineLevel="0" collapsed="false">
      <c r="A368" s="79" t="n">
        <v>44745</v>
      </c>
      <c r="B368" s="80" t="n">
        <v>0</v>
      </c>
    </row>
    <row r="369" customFormat="false" ht="15" hidden="false" customHeight="false" outlineLevel="0" collapsed="false">
      <c r="A369" s="79" t="n">
        <v>44746</v>
      </c>
      <c r="B369" s="80" t="n">
        <v>0</v>
      </c>
    </row>
    <row r="370" customFormat="false" ht="15" hidden="false" customHeight="false" outlineLevel="0" collapsed="false">
      <c r="A370" s="79" t="n">
        <v>44747</v>
      </c>
      <c r="B370" s="80" t="n">
        <v>0</v>
      </c>
    </row>
    <row r="371" customFormat="false" ht="15" hidden="false" customHeight="false" outlineLevel="0" collapsed="false">
      <c r="A371" s="79" t="n">
        <v>44748</v>
      </c>
      <c r="B371" s="80" t="n">
        <v>0</v>
      </c>
    </row>
    <row r="372" customFormat="false" ht="15" hidden="false" customHeight="false" outlineLevel="0" collapsed="false">
      <c r="A372" s="79" t="n">
        <v>44749</v>
      </c>
      <c r="B372" s="80" t="n">
        <v>0</v>
      </c>
    </row>
    <row r="373" customFormat="false" ht="15" hidden="false" customHeight="false" outlineLevel="0" collapsed="false">
      <c r="A373" s="79" t="n">
        <v>44750</v>
      </c>
      <c r="B373" s="80" t="n">
        <v>0</v>
      </c>
    </row>
    <row r="374" customFormat="false" ht="15" hidden="false" customHeight="false" outlineLevel="0" collapsed="false">
      <c r="A374" s="79" t="n">
        <v>44751</v>
      </c>
      <c r="B374" s="80" t="n">
        <v>0</v>
      </c>
    </row>
    <row r="375" customFormat="false" ht="15" hidden="false" customHeight="false" outlineLevel="0" collapsed="false">
      <c r="A375" s="79" t="n">
        <v>44752</v>
      </c>
      <c r="B375" s="80" t="n">
        <v>0</v>
      </c>
    </row>
    <row r="376" customFormat="false" ht="15" hidden="false" customHeight="false" outlineLevel="0" collapsed="false">
      <c r="A376" s="79" t="n">
        <v>44753</v>
      </c>
      <c r="B376" s="80" t="n">
        <v>0</v>
      </c>
    </row>
    <row r="377" customFormat="false" ht="15" hidden="false" customHeight="false" outlineLevel="0" collapsed="false">
      <c r="A377" s="79" t="n">
        <v>44754</v>
      </c>
      <c r="B377" s="80" t="n">
        <v>42</v>
      </c>
    </row>
    <row r="378" customFormat="false" ht="15" hidden="false" customHeight="false" outlineLevel="0" collapsed="false">
      <c r="A378" s="79" t="n">
        <v>44755</v>
      </c>
      <c r="B378" s="80" t="n">
        <v>14</v>
      </c>
    </row>
    <row r="379" customFormat="false" ht="15" hidden="false" customHeight="false" outlineLevel="0" collapsed="false">
      <c r="A379" s="79" t="n">
        <v>44756</v>
      </c>
      <c r="B379" s="80" t="n">
        <v>18</v>
      </c>
    </row>
    <row r="380" customFormat="false" ht="15" hidden="false" customHeight="false" outlineLevel="0" collapsed="false">
      <c r="A380" s="79" t="n">
        <v>44757</v>
      </c>
      <c r="B380" s="80" t="n">
        <v>14</v>
      </c>
    </row>
    <row r="381" customFormat="false" ht="15" hidden="false" customHeight="false" outlineLevel="0" collapsed="false">
      <c r="A381" s="79" t="n">
        <v>44758</v>
      </c>
      <c r="B381" s="80" t="n">
        <v>7</v>
      </c>
    </row>
    <row r="382" customFormat="false" ht="15" hidden="false" customHeight="false" outlineLevel="0" collapsed="false">
      <c r="A382" s="79" t="n">
        <v>44759</v>
      </c>
      <c r="B382" s="80" t="n">
        <v>2</v>
      </c>
    </row>
    <row r="383" customFormat="false" ht="15" hidden="false" customHeight="false" outlineLevel="0" collapsed="false">
      <c r="A383" s="79" t="n">
        <v>44760</v>
      </c>
      <c r="B383" s="80" t="n">
        <v>4</v>
      </c>
    </row>
    <row r="384" customFormat="false" ht="15" hidden="false" customHeight="false" outlineLevel="0" collapsed="false">
      <c r="A384" s="79" t="n">
        <v>44761</v>
      </c>
      <c r="B384" s="80" t="n">
        <v>3</v>
      </c>
    </row>
    <row r="385" customFormat="false" ht="15" hidden="false" customHeight="false" outlineLevel="0" collapsed="false">
      <c r="A385" s="79" t="n">
        <v>44762</v>
      </c>
      <c r="B385" s="80" t="n">
        <v>0</v>
      </c>
    </row>
    <row r="386" customFormat="false" ht="15" hidden="false" customHeight="false" outlineLevel="0" collapsed="false">
      <c r="A386" s="79" t="n">
        <v>44763</v>
      </c>
      <c r="B386" s="80" t="n">
        <v>0</v>
      </c>
    </row>
    <row r="387" customFormat="false" ht="15" hidden="false" customHeight="false" outlineLevel="0" collapsed="false">
      <c r="A387" s="79" t="n">
        <v>44764</v>
      </c>
      <c r="B387" s="80" t="n">
        <v>0</v>
      </c>
    </row>
    <row r="388" customFormat="false" ht="15" hidden="false" customHeight="false" outlineLevel="0" collapsed="false">
      <c r="A388" s="79" t="n">
        <v>44765</v>
      </c>
      <c r="B388" s="80" t="n">
        <v>8</v>
      </c>
    </row>
    <row r="389" customFormat="false" ht="15" hidden="false" customHeight="false" outlineLevel="0" collapsed="false">
      <c r="A389" s="79" t="n">
        <v>44766</v>
      </c>
      <c r="B389" s="80" t="n">
        <v>3</v>
      </c>
    </row>
    <row r="390" customFormat="false" ht="15" hidden="false" customHeight="false" outlineLevel="0" collapsed="false">
      <c r="A390" s="79" t="n">
        <v>44767</v>
      </c>
      <c r="B390" s="80" t="n">
        <v>3</v>
      </c>
    </row>
    <row r="391" customFormat="false" ht="15" hidden="false" customHeight="false" outlineLevel="0" collapsed="false">
      <c r="A391" s="79" t="n">
        <v>44768</v>
      </c>
      <c r="B391" s="80" t="n">
        <v>0</v>
      </c>
    </row>
    <row r="392" customFormat="false" ht="15" hidden="false" customHeight="false" outlineLevel="0" collapsed="false">
      <c r="A392" s="79" t="n">
        <v>44769</v>
      </c>
      <c r="B392" s="80" t="n">
        <v>1</v>
      </c>
    </row>
    <row r="393" customFormat="false" ht="15" hidden="false" customHeight="false" outlineLevel="0" collapsed="false">
      <c r="A393" s="79" t="n">
        <v>44770</v>
      </c>
      <c r="B393" s="80" t="n">
        <v>1</v>
      </c>
    </row>
    <row r="394" customFormat="false" ht="15" hidden="false" customHeight="false" outlineLevel="0" collapsed="false">
      <c r="A394" s="79" t="n">
        <v>44771</v>
      </c>
      <c r="B394" s="80" t="n">
        <v>0</v>
      </c>
    </row>
    <row r="395" customFormat="false" ht="15" hidden="false" customHeight="false" outlineLevel="0" collapsed="false">
      <c r="A395" s="79" t="n">
        <v>44772</v>
      </c>
      <c r="B395" s="80" t="n">
        <v>3</v>
      </c>
    </row>
    <row r="396" customFormat="false" ht="15" hidden="false" customHeight="false" outlineLevel="0" collapsed="false">
      <c r="A396" s="79" t="n">
        <v>44773</v>
      </c>
      <c r="B396" s="80" t="n">
        <v>0</v>
      </c>
    </row>
    <row r="397" customFormat="false" ht="15" hidden="false" customHeight="false" outlineLevel="0" collapsed="false">
      <c r="A397" s="79" t="n">
        <v>44774</v>
      </c>
      <c r="B397" s="80" t="n">
        <v>0</v>
      </c>
    </row>
    <row r="398" customFormat="false" ht="15" hidden="false" customHeight="false" outlineLevel="0" collapsed="false">
      <c r="A398" s="79" t="n">
        <v>44775</v>
      </c>
      <c r="B398" s="80" t="n">
        <v>1</v>
      </c>
    </row>
    <row r="399" customFormat="false" ht="15" hidden="false" customHeight="false" outlineLevel="0" collapsed="false">
      <c r="A399" s="79" t="n">
        <v>44776</v>
      </c>
      <c r="B399" s="80" t="n">
        <v>0</v>
      </c>
    </row>
    <row r="400" customFormat="false" ht="15" hidden="false" customHeight="false" outlineLevel="0" collapsed="false">
      <c r="A400" s="79" t="n">
        <v>44777</v>
      </c>
      <c r="B400" s="80" t="n">
        <v>0</v>
      </c>
    </row>
    <row r="401" customFormat="false" ht="15" hidden="false" customHeight="false" outlineLevel="0" collapsed="false">
      <c r="A401" s="79" t="n">
        <v>44778</v>
      </c>
      <c r="B401" s="80" t="n">
        <v>0</v>
      </c>
    </row>
    <row r="402" customFormat="false" ht="15" hidden="false" customHeight="false" outlineLevel="0" collapsed="false">
      <c r="A402" s="79" t="n">
        <v>44779</v>
      </c>
      <c r="B402" s="80" t="n">
        <v>1</v>
      </c>
    </row>
    <row r="403" customFormat="false" ht="15" hidden="false" customHeight="false" outlineLevel="0" collapsed="false">
      <c r="A403" s="79" t="n">
        <v>44780</v>
      </c>
      <c r="B403" s="80" t="n">
        <v>0</v>
      </c>
    </row>
    <row r="404" customFormat="false" ht="15" hidden="false" customHeight="false" outlineLevel="0" collapsed="false">
      <c r="A404" s="79" t="n">
        <v>44781</v>
      </c>
      <c r="B404" s="80" t="n">
        <v>0</v>
      </c>
    </row>
    <row r="405" customFormat="false" ht="15" hidden="false" customHeight="false" outlineLevel="0" collapsed="false">
      <c r="A405" s="79" t="n">
        <v>44782</v>
      </c>
      <c r="B405" s="80" t="n">
        <v>3</v>
      </c>
    </row>
    <row r="406" customFormat="false" ht="15" hidden="false" customHeight="false" outlineLevel="0" collapsed="false">
      <c r="A406" s="79" t="n">
        <v>44783</v>
      </c>
      <c r="B406" s="80" t="n">
        <v>0</v>
      </c>
    </row>
    <row r="407" customFormat="false" ht="15" hidden="false" customHeight="false" outlineLevel="0" collapsed="false">
      <c r="A407" s="79" t="n">
        <v>44784</v>
      </c>
      <c r="B407" s="80" t="n">
        <v>0</v>
      </c>
    </row>
    <row r="408" customFormat="false" ht="15" hidden="false" customHeight="false" outlineLevel="0" collapsed="false">
      <c r="A408" s="79" t="n">
        <v>44785</v>
      </c>
      <c r="B408" s="80" t="n">
        <v>6</v>
      </c>
    </row>
    <row r="409" customFormat="false" ht="15" hidden="false" customHeight="false" outlineLevel="0" collapsed="false">
      <c r="A409" s="79" t="n">
        <v>44786</v>
      </c>
      <c r="B409" s="80" t="n">
        <v>0</v>
      </c>
    </row>
    <row r="410" customFormat="false" ht="15" hidden="false" customHeight="false" outlineLevel="0" collapsed="false">
      <c r="A410" s="79" t="n">
        <v>44787</v>
      </c>
      <c r="B410" s="80" t="n">
        <v>13</v>
      </c>
    </row>
    <row r="411" customFormat="false" ht="15" hidden="false" customHeight="false" outlineLevel="0" collapsed="false">
      <c r="A411" s="79" t="n">
        <v>44788</v>
      </c>
      <c r="B411" s="80" t="n">
        <v>0</v>
      </c>
    </row>
    <row r="412" customFormat="false" ht="15" hidden="false" customHeight="false" outlineLevel="0" collapsed="false">
      <c r="A412" s="79" t="n">
        <v>44789</v>
      </c>
      <c r="B412" s="80" t="n">
        <v>1</v>
      </c>
    </row>
    <row r="413" customFormat="false" ht="15" hidden="false" customHeight="false" outlineLevel="0" collapsed="false">
      <c r="A413" s="79" t="n">
        <v>44790</v>
      </c>
      <c r="B413" s="80" t="n">
        <v>3</v>
      </c>
    </row>
    <row r="414" customFormat="false" ht="15" hidden="false" customHeight="false" outlineLevel="0" collapsed="false">
      <c r="A414" s="79" t="n">
        <v>44791</v>
      </c>
      <c r="B414" s="80" t="n">
        <v>0</v>
      </c>
    </row>
    <row r="415" customFormat="false" ht="15" hidden="false" customHeight="false" outlineLevel="0" collapsed="false">
      <c r="A415" s="79" t="n">
        <v>44792</v>
      </c>
      <c r="B415" s="80" t="n">
        <v>0</v>
      </c>
    </row>
    <row r="416" customFormat="false" ht="15" hidden="false" customHeight="false" outlineLevel="0" collapsed="false">
      <c r="A416" s="79" t="n">
        <v>44793</v>
      </c>
      <c r="B416" s="80" t="n">
        <v>0</v>
      </c>
    </row>
    <row r="417" customFormat="false" ht="15" hidden="false" customHeight="false" outlineLevel="0" collapsed="false">
      <c r="A417" s="79" t="n">
        <v>44794</v>
      </c>
      <c r="B417" s="80" t="n">
        <v>1</v>
      </c>
    </row>
    <row r="418" customFormat="false" ht="15" hidden="false" customHeight="false" outlineLevel="0" collapsed="false">
      <c r="A418" s="79" t="n">
        <v>44795</v>
      </c>
      <c r="B418" s="80" t="n">
        <v>0</v>
      </c>
    </row>
    <row r="419" customFormat="false" ht="15" hidden="false" customHeight="false" outlineLevel="0" collapsed="false">
      <c r="A419" s="79" t="n">
        <v>44796</v>
      </c>
      <c r="B419" s="80" t="n">
        <v>0</v>
      </c>
    </row>
    <row r="420" customFormat="false" ht="15" hidden="false" customHeight="false" outlineLevel="0" collapsed="false">
      <c r="A420" s="79" t="n">
        <v>44797</v>
      </c>
      <c r="B420" s="80" t="n">
        <v>4</v>
      </c>
    </row>
    <row r="421" customFormat="false" ht="15" hidden="false" customHeight="false" outlineLevel="0" collapsed="false">
      <c r="A421" s="79" t="n">
        <v>44798</v>
      </c>
      <c r="B421" s="80" t="n">
        <v>0</v>
      </c>
    </row>
    <row r="422" customFormat="false" ht="15" hidden="false" customHeight="false" outlineLevel="0" collapsed="false">
      <c r="A422" s="79" t="n">
        <v>44799</v>
      </c>
      <c r="B422" s="80" t="n">
        <v>0</v>
      </c>
    </row>
    <row r="423" customFormat="false" ht="15" hidden="false" customHeight="false" outlineLevel="0" collapsed="false">
      <c r="A423" s="79" t="n">
        <v>44800</v>
      </c>
      <c r="B423" s="80" t="n">
        <v>0</v>
      </c>
    </row>
    <row r="424" customFormat="false" ht="15" hidden="false" customHeight="false" outlineLevel="0" collapsed="false">
      <c r="A424" s="79" t="n">
        <v>44801</v>
      </c>
      <c r="B424" s="80" t="n">
        <v>1</v>
      </c>
    </row>
    <row r="425" customFormat="false" ht="15" hidden="false" customHeight="false" outlineLevel="0" collapsed="false">
      <c r="A425" s="79" t="n">
        <v>44802</v>
      </c>
      <c r="B425" s="80" t="n">
        <v>0</v>
      </c>
    </row>
    <row r="426" customFormat="false" ht="15" hidden="false" customHeight="false" outlineLevel="0" collapsed="false">
      <c r="A426" s="79" t="n">
        <v>44803</v>
      </c>
      <c r="B426" s="80" t="n">
        <v>2</v>
      </c>
    </row>
    <row r="427" customFormat="false" ht="15" hidden="false" customHeight="false" outlineLevel="0" collapsed="false">
      <c r="A427" s="79" t="n">
        <v>44804</v>
      </c>
      <c r="B427" s="80" t="n">
        <v>0</v>
      </c>
    </row>
    <row r="428" customFormat="false" ht="15" hidden="false" customHeight="false" outlineLevel="0" collapsed="false">
      <c r="A428" s="79" t="n">
        <v>44805</v>
      </c>
      <c r="B428" s="80" t="n">
        <v>0</v>
      </c>
    </row>
    <row r="429" customFormat="false" ht="15" hidden="false" customHeight="false" outlineLevel="0" collapsed="false">
      <c r="A429" s="79" t="n">
        <v>44806</v>
      </c>
      <c r="B429" s="80" t="n">
        <v>0</v>
      </c>
    </row>
    <row r="430" customFormat="false" ht="15" hidden="false" customHeight="false" outlineLevel="0" collapsed="false">
      <c r="A430" s="79" t="n">
        <v>44807</v>
      </c>
      <c r="B430" s="80" t="n">
        <v>1</v>
      </c>
    </row>
    <row r="431" customFormat="false" ht="15" hidden="false" customHeight="false" outlineLevel="0" collapsed="false">
      <c r="A431" s="79" t="n">
        <v>44808</v>
      </c>
      <c r="B431" s="80" t="n">
        <v>0</v>
      </c>
    </row>
    <row r="432" customFormat="false" ht="15" hidden="false" customHeight="false" outlineLevel="0" collapsed="false">
      <c r="A432" s="79" t="n">
        <v>44809</v>
      </c>
      <c r="B432" s="80" t="n">
        <v>0</v>
      </c>
    </row>
    <row r="433" customFormat="false" ht="15" hidden="false" customHeight="false" outlineLevel="0" collapsed="false">
      <c r="A433" s="79" t="n">
        <v>44810</v>
      </c>
      <c r="B433" s="80" t="n">
        <v>0</v>
      </c>
    </row>
    <row r="434" customFormat="false" ht="15" hidden="false" customHeight="false" outlineLevel="0" collapsed="false">
      <c r="A434" s="79" t="n">
        <v>44811</v>
      </c>
      <c r="B434" s="80" t="n">
        <v>0</v>
      </c>
    </row>
    <row r="435" customFormat="false" ht="15" hidden="false" customHeight="false" outlineLevel="0" collapsed="false">
      <c r="A435" s="79" t="n">
        <v>44812</v>
      </c>
      <c r="B435" s="80" t="n">
        <v>15</v>
      </c>
    </row>
    <row r="436" customFormat="false" ht="15" hidden="false" customHeight="false" outlineLevel="0" collapsed="false">
      <c r="A436" s="79" t="n">
        <v>44813</v>
      </c>
      <c r="B436" s="80" t="n">
        <v>0</v>
      </c>
    </row>
    <row r="437" customFormat="false" ht="15" hidden="false" customHeight="false" outlineLevel="0" collapsed="false">
      <c r="A437" s="79" t="n">
        <v>44814</v>
      </c>
      <c r="B437" s="80" t="n">
        <v>0</v>
      </c>
    </row>
    <row r="438" customFormat="false" ht="15" hidden="false" customHeight="false" outlineLevel="0" collapsed="false">
      <c r="A438" s="79" t="n">
        <v>44815</v>
      </c>
      <c r="B438" s="80" t="n">
        <v>0</v>
      </c>
    </row>
    <row r="439" customFormat="false" ht="15" hidden="false" customHeight="false" outlineLevel="0" collapsed="false">
      <c r="A439" s="79" t="n">
        <v>44816</v>
      </c>
      <c r="B439" s="80" t="n">
        <v>1</v>
      </c>
    </row>
    <row r="440" customFormat="false" ht="15" hidden="false" customHeight="false" outlineLevel="0" collapsed="false">
      <c r="A440" s="79" t="n">
        <v>44817</v>
      </c>
      <c r="B440" s="80" t="n">
        <v>2</v>
      </c>
    </row>
    <row r="441" customFormat="false" ht="15" hidden="false" customHeight="false" outlineLevel="0" collapsed="false">
      <c r="A441" s="79" t="n">
        <v>44818</v>
      </c>
      <c r="B441" s="80" t="n">
        <v>1</v>
      </c>
    </row>
    <row r="442" customFormat="false" ht="15" hidden="false" customHeight="false" outlineLevel="0" collapsed="false">
      <c r="A442" s="79" t="n">
        <v>44819</v>
      </c>
      <c r="B442" s="80" t="n">
        <v>4</v>
      </c>
    </row>
    <row r="443" customFormat="false" ht="15" hidden="false" customHeight="false" outlineLevel="0" collapsed="false">
      <c r="A443" s="79" t="n">
        <v>44820</v>
      </c>
      <c r="B443" s="80" t="n">
        <v>5</v>
      </c>
    </row>
    <row r="444" customFormat="false" ht="15" hidden="false" customHeight="false" outlineLevel="0" collapsed="false">
      <c r="A444" s="79" t="n">
        <v>44821</v>
      </c>
      <c r="B444" s="80" t="n">
        <v>8</v>
      </c>
    </row>
    <row r="445" customFormat="false" ht="15" hidden="false" customHeight="false" outlineLevel="0" collapsed="false">
      <c r="A445" s="79" t="n">
        <v>44822</v>
      </c>
      <c r="B445" s="80" t="n">
        <v>1</v>
      </c>
    </row>
    <row r="446" customFormat="false" ht="15" hidden="false" customHeight="false" outlineLevel="0" collapsed="false">
      <c r="A446" s="79" t="n">
        <v>44823</v>
      </c>
      <c r="B446" s="80" t="n">
        <v>9</v>
      </c>
    </row>
    <row r="447" customFormat="false" ht="15" hidden="false" customHeight="false" outlineLevel="0" collapsed="false">
      <c r="A447" s="79" t="n">
        <v>44824</v>
      </c>
      <c r="B447" s="80" t="n">
        <v>0</v>
      </c>
    </row>
    <row r="448" customFormat="false" ht="15" hidden="false" customHeight="false" outlineLevel="0" collapsed="false">
      <c r="A448" s="79" t="n">
        <v>44825</v>
      </c>
      <c r="B448" s="80" t="n">
        <v>9</v>
      </c>
    </row>
    <row r="449" customFormat="false" ht="15" hidden="false" customHeight="false" outlineLevel="0" collapsed="false">
      <c r="A449" s="79" t="n">
        <v>44826</v>
      </c>
      <c r="B449" s="80" t="n">
        <v>3</v>
      </c>
    </row>
    <row r="450" customFormat="false" ht="15" hidden="false" customHeight="false" outlineLevel="0" collapsed="false">
      <c r="A450" s="79" t="n">
        <v>44827</v>
      </c>
      <c r="B450" s="80" t="n">
        <v>2</v>
      </c>
    </row>
    <row r="451" customFormat="false" ht="15" hidden="false" customHeight="false" outlineLevel="0" collapsed="false">
      <c r="A451" s="79" t="n">
        <v>44828</v>
      </c>
      <c r="B451" s="80" t="n">
        <v>1</v>
      </c>
    </row>
    <row r="452" customFormat="false" ht="15" hidden="false" customHeight="false" outlineLevel="0" collapsed="false">
      <c r="A452" s="79" t="n">
        <v>44829</v>
      </c>
      <c r="B452" s="80" t="n">
        <v>1</v>
      </c>
    </row>
    <row r="453" customFormat="false" ht="15" hidden="false" customHeight="false" outlineLevel="0" collapsed="false">
      <c r="A453" s="79" t="n">
        <v>44830</v>
      </c>
      <c r="B453" s="80" t="n">
        <v>0</v>
      </c>
    </row>
    <row r="454" customFormat="false" ht="15" hidden="false" customHeight="false" outlineLevel="0" collapsed="false">
      <c r="A454" s="79" t="n">
        <v>44831</v>
      </c>
      <c r="B454" s="80" t="n">
        <v>4</v>
      </c>
    </row>
    <row r="455" customFormat="false" ht="15" hidden="false" customHeight="false" outlineLevel="0" collapsed="false">
      <c r="A455" s="79" t="n">
        <v>44832</v>
      </c>
      <c r="B455" s="80" t="n">
        <v>1</v>
      </c>
    </row>
    <row r="456" customFormat="false" ht="15" hidden="false" customHeight="false" outlineLevel="0" collapsed="false">
      <c r="A456" s="79" t="n">
        <v>44833</v>
      </c>
      <c r="B456" s="80" t="n">
        <v>1</v>
      </c>
    </row>
    <row r="457" customFormat="false" ht="15" hidden="false" customHeight="false" outlineLevel="0" collapsed="false">
      <c r="A457" s="79" t="n">
        <v>44834</v>
      </c>
      <c r="B457" s="80" t="n">
        <v>15</v>
      </c>
    </row>
    <row r="458" customFormat="false" ht="15" hidden="false" customHeight="false" outlineLevel="0" collapsed="false">
      <c r="A458" s="79" t="n">
        <v>44835</v>
      </c>
      <c r="B458" s="80" t="n">
        <v>1</v>
      </c>
    </row>
    <row r="459" customFormat="false" ht="15" hidden="false" customHeight="false" outlineLevel="0" collapsed="false">
      <c r="A459" s="79" t="n">
        <v>44836</v>
      </c>
      <c r="B459" s="80" t="n">
        <v>3</v>
      </c>
    </row>
    <row r="460" customFormat="false" ht="15" hidden="false" customHeight="false" outlineLevel="0" collapsed="false">
      <c r="A460" s="79" t="n">
        <v>44837</v>
      </c>
      <c r="B460" s="80" t="n">
        <v>0</v>
      </c>
    </row>
    <row r="461" customFormat="false" ht="15" hidden="false" customHeight="false" outlineLevel="0" collapsed="false">
      <c r="A461" s="79" t="n">
        <v>44838</v>
      </c>
      <c r="B461" s="80" t="n">
        <v>0</v>
      </c>
    </row>
    <row r="462" customFormat="false" ht="15" hidden="false" customHeight="false" outlineLevel="0" collapsed="false">
      <c r="A462" s="79" t="n">
        <v>44839</v>
      </c>
      <c r="B462" s="80" t="n">
        <v>1</v>
      </c>
    </row>
    <row r="463" customFormat="false" ht="15" hidden="false" customHeight="false" outlineLevel="0" collapsed="false">
      <c r="A463" s="79" t="n">
        <v>44840</v>
      </c>
      <c r="B463" s="80" t="n">
        <v>2</v>
      </c>
    </row>
    <row r="464" customFormat="false" ht="15" hidden="false" customHeight="false" outlineLevel="0" collapsed="false">
      <c r="A464" s="79" t="n">
        <v>44841</v>
      </c>
      <c r="B464" s="80" t="n">
        <v>5</v>
      </c>
    </row>
    <row r="465" customFormat="false" ht="15" hidden="false" customHeight="false" outlineLevel="0" collapsed="false">
      <c r="A465" s="79" t="n">
        <v>44842</v>
      </c>
      <c r="B465" s="80" t="n">
        <v>4</v>
      </c>
    </row>
    <row r="466" customFormat="false" ht="15" hidden="false" customHeight="false" outlineLevel="0" collapsed="false">
      <c r="A466" s="79" t="n">
        <v>44843</v>
      </c>
      <c r="B466" s="80" t="n">
        <v>1</v>
      </c>
    </row>
    <row r="467" customFormat="false" ht="15" hidden="false" customHeight="false" outlineLevel="0" collapsed="false">
      <c r="A467" s="79" t="n">
        <v>44844</v>
      </c>
      <c r="B467" s="80" t="n">
        <v>3</v>
      </c>
    </row>
    <row r="468" customFormat="false" ht="15" hidden="false" customHeight="false" outlineLevel="0" collapsed="false">
      <c r="A468" s="79" t="n">
        <v>44845</v>
      </c>
      <c r="B468" s="80" t="n">
        <v>2</v>
      </c>
    </row>
    <row r="469" customFormat="false" ht="15" hidden="false" customHeight="false" outlineLevel="0" collapsed="false">
      <c r="A469" s="79" t="n">
        <v>44846</v>
      </c>
      <c r="B469" s="80" t="n">
        <v>3</v>
      </c>
    </row>
    <row r="470" customFormat="false" ht="15" hidden="false" customHeight="false" outlineLevel="0" collapsed="false">
      <c r="A470" s="79" t="n">
        <v>44847</v>
      </c>
      <c r="B470" s="80" t="n">
        <v>2</v>
      </c>
    </row>
    <row r="471" customFormat="false" ht="15" hidden="false" customHeight="false" outlineLevel="0" collapsed="false">
      <c r="A471" s="79" t="n">
        <v>44848</v>
      </c>
      <c r="B471" s="80" t="n">
        <v>5</v>
      </c>
    </row>
    <row r="472" customFormat="false" ht="15" hidden="false" customHeight="false" outlineLevel="0" collapsed="false">
      <c r="A472" s="79" t="n">
        <v>44849</v>
      </c>
      <c r="B472" s="80" t="n">
        <v>3</v>
      </c>
    </row>
    <row r="473" customFormat="false" ht="15" hidden="false" customHeight="false" outlineLevel="0" collapsed="false">
      <c r="A473" s="79" t="n">
        <v>44850</v>
      </c>
      <c r="B473" s="80" t="n">
        <v>1</v>
      </c>
    </row>
    <row r="474" customFormat="false" ht="15" hidden="false" customHeight="false" outlineLevel="0" collapsed="false">
      <c r="A474" s="79" t="n">
        <v>44851</v>
      </c>
      <c r="B474" s="80" t="n">
        <v>2</v>
      </c>
    </row>
    <row r="475" customFormat="false" ht="15" hidden="false" customHeight="false" outlineLevel="0" collapsed="false">
      <c r="A475" s="79" t="n">
        <v>44852</v>
      </c>
      <c r="B475" s="80" t="n">
        <v>1</v>
      </c>
    </row>
    <row r="476" customFormat="false" ht="15" hidden="false" customHeight="false" outlineLevel="0" collapsed="false">
      <c r="A476" s="79" t="n">
        <v>44853</v>
      </c>
      <c r="B476" s="80" t="n">
        <v>2</v>
      </c>
    </row>
    <row r="477" customFormat="false" ht="15" hidden="false" customHeight="false" outlineLevel="0" collapsed="false">
      <c r="A477" s="79" t="n">
        <v>44854</v>
      </c>
      <c r="B477" s="80" t="n">
        <v>2</v>
      </c>
    </row>
    <row r="478" customFormat="false" ht="15" hidden="false" customHeight="false" outlineLevel="0" collapsed="false">
      <c r="A478" s="79" t="n">
        <v>44855</v>
      </c>
      <c r="B478" s="80" t="n">
        <v>1</v>
      </c>
    </row>
    <row r="479" customFormat="false" ht="15" hidden="false" customHeight="false" outlineLevel="0" collapsed="false">
      <c r="A479" s="79" t="n">
        <v>44856</v>
      </c>
      <c r="B479" s="80" t="n">
        <v>0</v>
      </c>
    </row>
    <row r="480" customFormat="false" ht="15" hidden="false" customHeight="false" outlineLevel="0" collapsed="false">
      <c r="A480" s="79" t="n">
        <v>44857</v>
      </c>
      <c r="B480" s="80" t="n">
        <v>0</v>
      </c>
    </row>
    <row r="481" customFormat="false" ht="15" hidden="false" customHeight="false" outlineLevel="0" collapsed="false">
      <c r="A481" s="79" t="n">
        <v>44858</v>
      </c>
      <c r="B481" s="80" t="n">
        <v>1</v>
      </c>
    </row>
    <row r="482" customFormat="false" ht="15" hidden="false" customHeight="false" outlineLevel="0" collapsed="false">
      <c r="A482" s="79" t="n">
        <v>44859</v>
      </c>
      <c r="B482" s="80" t="n">
        <v>0</v>
      </c>
    </row>
    <row r="483" customFormat="false" ht="15" hidden="false" customHeight="false" outlineLevel="0" collapsed="false">
      <c r="A483" s="79" t="n">
        <v>44860</v>
      </c>
      <c r="B483" s="80" t="n">
        <v>1</v>
      </c>
    </row>
    <row r="484" customFormat="false" ht="15" hidden="false" customHeight="false" outlineLevel="0" collapsed="false">
      <c r="A484" s="79" t="n">
        <v>44861</v>
      </c>
      <c r="B484" s="80" t="n">
        <v>1</v>
      </c>
    </row>
    <row r="485" customFormat="false" ht="15" hidden="false" customHeight="false" outlineLevel="0" collapsed="false">
      <c r="A485" s="79" t="n">
        <v>44862</v>
      </c>
      <c r="B485" s="80" t="n">
        <v>2</v>
      </c>
    </row>
    <row r="486" customFormat="false" ht="15" hidden="false" customHeight="false" outlineLevel="0" collapsed="false">
      <c r="A486" s="79" t="n">
        <v>44863</v>
      </c>
      <c r="B486" s="80" t="n">
        <v>1</v>
      </c>
    </row>
    <row r="487" customFormat="false" ht="15" hidden="false" customHeight="false" outlineLevel="0" collapsed="false">
      <c r="A487" s="79" t="n">
        <v>44864</v>
      </c>
      <c r="B487" s="80" t="n">
        <v>2</v>
      </c>
    </row>
    <row r="488" customFormat="false" ht="15" hidden="false" customHeight="false" outlineLevel="0" collapsed="false">
      <c r="A488" s="79" t="n">
        <v>44865</v>
      </c>
      <c r="B488" s="80" t="n">
        <v>1</v>
      </c>
    </row>
    <row r="489" customFormat="false" ht="15" hidden="false" customHeight="false" outlineLevel="0" collapsed="false">
      <c r="A489" s="79" t="n">
        <v>44866</v>
      </c>
      <c r="B489" s="80" t="n">
        <v>143</v>
      </c>
    </row>
    <row r="490" customFormat="false" ht="15" hidden="false" customHeight="false" outlineLevel="0" collapsed="false">
      <c r="A490" s="79" t="n">
        <v>44867</v>
      </c>
      <c r="B490" s="80" t="n">
        <v>8</v>
      </c>
    </row>
    <row r="491" customFormat="false" ht="15" hidden="false" customHeight="false" outlineLevel="0" collapsed="false">
      <c r="A491" s="79" t="n">
        <v>44868</v>
      </c>
      <c r="B491" s="80" t="n">
        <v>31</v>
      </c>
    </row>
    <row r="492" customFormat="false" ht="15" hidden="false" customHeight="false" outlineLevel="0" collapsed="false">
      <c r="A492" s="79" t="n">
        <v>44869</v>
      </c>
      <c r="B492" s="80" t="n">
        <v>9</v>
      </c>
    </row>
    <row r="493" customFormat="false" ht="15" hidden="false" customHeight="false" outlineLevel="0" collapsed="false">
      <c r="A493" s="79" t="n">
        <v>44870</v>
      </c>
      <c r="B493" s="80" t="n">
        <v>11</v>
      </c>
    </row>
    <row r="494" customFormat="false" ht="15" hidden="false" customHeight="false" outlineLevel="0" collapsed="false">
      <c r="A494" s="79" t="n">
        <v>44871</v>
      </c>
      <c r="B494" s="80" t="n">
        <v>1</v>
      </c>
    </row>
    <row r="495" customFormat="false" ht="15" hidden="false" customHeight="false" outlineLevel="0" collapsed="false">
      <c r="A495" s="79" t="n">
        <v>44872</v>
      </c>
      <c r="B495" s="80" t="n">
        <v>6</v>
      </c>
    </row>
    <row r="496" customFormat="false" ht="15" hidden="false" customHeight="false" outlineLevel="0" collapsed="false">
      <c r="A496" s="79" t="n">
        <v>44873</v>
      </c>
      <c r="B496" s="80" t="n">
        <v>311</v>
      </c>
    </row>
    <row r="497" customFormat="false" ht="15" hidden="false" customHeight="false" outlineLevel="0" collapsed="false">
      <c r="A497" s="79" t="n">
        <v>44874</v>
      </c>
      <c r="B497" s="80" t="n">
        <v>4</v>
      </c>
    </row>
    <row r="498" customFormat="false" ht="15" hidden="false" customHeight="false" outlineLevel="0" collapsed="false">
      <c r="A498" s="79" t="n">
        <v>44875</v>
      </c>
      <c r="B498" s="80" t="n">
        <v>96</v>
      </c>
    </row>
    <row r="499" customFormat="false" ht="15" hidden="false" customHeight="false" outlineLevel="0" collapsed="false">
      <c r="A499" s="79" t="n">
        <v>44876</v>
      </c>
      <c r="B499" s="80" t="n">
        <v>13</v>
      </c>
    </row>
    <row r="500" customFormat="false" ht="15" hidden="false" customHeight="false" outlineLevel="0" collapsed="false">
      <c r="A500" s="79" t="n">
        <v>44877</v>
      </c>
      <c r="B500" s="80" t="n">
        <v>17</v>
      </c>
    </row>
    <row r="501" customFormat="false" ht="15" hidden="false" customHeight="false" outlineLevel="0" collapsed="false">
      <c r="A501" s="79" t="n">
        <v>44878</v>
      </c>
      <c r="B501" s="80" t="n">
        <v>7</v>
      </c>
    </row>
    <row r="502" customFormat="false" ht="15" hidden="false" customHeight="false" outlineLevel="0" collapsed="false">
      <c r="A502" s="79" t="n">
        <v>44879</v>
      </c>
      <c r="B502" s="80" t="n">
        <v>3</v>
      </c>
    </row>
    <row r="503" customFormat="false" ht="15" hidden="false" customHeight="false" outlineLevel="0" collapsed="false">
      <c r="A503" s="79" t="n">
        <v>44880</v>
      </c>
      <c r="B503" s="80" t="n">
        <v>8</v>
      </c>
    </row>
    <row r="504" customFormat="false" ht="15" hidden="false" customHeight="false" outlineLevel="0" collapsed="false">
      <c r="A504" s="79" t="n">
        <v>44881</v>
      </c>
      <c r="B504" s="80" t="n">
        <v>7</v>
      </c>
    </row>
    <row r="505" customFormat="false" ht="15" hidden="false" customHeight="false" outlineLevel="0" collapsed="false">
      <c r="A505" s="79" t="n">
        <v>44882</v>
      </c>
      <c r="B505" s="80" t="n">
        <v>6</v>
      </c>
    </row>
    <row r="506" customFormat="false" ht="15" hidden="false" customHeight="false" outlineLevel="0" collapsed="false">
      <c r="A506" s="79" t="n">
        <v>44883</v>
      </c>
      <c r="B506" s="80" t="n">
        <v>14</v>
      </c>
    </row>
    <row r="507" customFormat="false" ht="15" hidden="false" customHeight="false" outlineLevel="0" collapsed="false">
      <c r="A507" s="79" t="n">
        <v>44884</v>
      </c>
      <c r="B507" s="80" t="n">
        <v>39</v>
      </c>
    </row>
    <row r="508" customFormat="false" ht="15" hidden="false" customHeight="false" outlineLevel="0" collapsed="false">
      <c r="A508" s="79" t="n">
        <v>44885</v>
      </c>
      <c r="B508" s="80" t="n">
        <v>2</v>
      </c>
    </row>
    <row r="509" customFormat="false" ht="15" hidden="false" customHeight="false" outlineLevel="0" collapsed="false">
      <c r="A509" s="79" t="n">
        <v>44886</v>
      </c>
      <c r="B509" s="80" t="n">
        <v>172</v>
      </c>
    </row>
    <row r="510" customFormat="false" ht="15" hidden="false" customHeight="false" outlineLevel="0" collapsed="false">
      <c r="A510" s="79" t="n">
        <v>44887</v>
      </c>
      <c r="B510" s="80" t="n">
        <v>8</v>
      </c>
    </row>
    <row r="511" customFormat="false" ht="15" hidden="false" customHeight="false" outlineLevel="0" collapsed="false">
      <c r="A511" s="79" t="n">
        <v>44888</v>
      </c>
      <c r="B511" s="80" t="n">
        <v>44</v>
      </c>
    </row>
    <row r="512" customFormat="false" ht="15" hidden="false" customHeight="false" outlineLevel="0" collapsed="false">
      <c r="A512" s="79" t="n">
        <v>44889</v>
      </c>
      <c r="B512" s="80" t="n">
        <v>7</v>
      </c>
    </row>
    <row r="513" customFormat="false" ht="15" hidden="false" customHeight="false" outlineLevel="0" collapsed="false">
      <c r="A513" s="79" t="n">
        <v>44890</v>
      </c>
      <c r="B513" s="80" t="n">
        <v>114</v>
      </c>
    </row>
    <row r="514" customFormat="false" ht="15" hidden="false" customHeight="false" outlineLevel="0" collapsed="false">
      <c r="A514" s="79" t="n">
        <v>44891</v>
      </c>
      <c r="B514" s="80" t="n">
        <v>36</v>
      </c>
    </row>
    <row r="515" customFormat="false" ht="15" hidden="false" customHeight="false" outlineLevel="0" collapsed="false">
      <c r="A515" s="79" t="n">
        <v>44892</v>
      </c>
      <c r="B515" s="80" t="n">
        <v>10</v>
      </c>
    </row>
    <row r="516" customFormat="false" ht="15" hidden="false" customHeight="false" outlineLevel="0" collapsed="false">
      <c r="A516" s="79" t="n">
        <v>44893</v>
      </c>
      <c r="B516" s="80" t="n">
        <v>46</v>
      </c>
    </row>
    <row r="517" customFormat="false" ht="15" hidden="false" customHeight="false" outlineLevel="0" collapsed="false">
      <c r="A517" s="79" t="n">
        <v>44894</v>
      </c>
      <c r="B517" s="80" t="n">
        <v>20</v>
      </c>
    </row>
    <row r="518" customFormat="false" ht="15" hidden="false" customHeight="false" outlineLevel="0" collapsed="false">
      <c r="A518" s="79" t="n">
        <v>44895</v>
      </c>
      <c r="B518" s="80" t="n">
        <v>9</v>
      </c>
    </row>
    <row r="519" customFormat="false" ht="15" hidden="false" customHeight="false" outlineLevel="0" collapsed="false">
      <c r="A519" s="79" t="n">
        <v>44896</v>
      </c>
      <c r="B519" s="80" t="n">
        <v>14</v>
      </c>
    </row>
    <row r="520" customFormat="false" ht="15" hidden="false" customHeight="false" outlineLevel="0" collapsed="false">
      <c r="A520" s="79" t="n">
        <v>44897</v>
      </c>
      <c r="B520" s="80" t="n">
        <v>602</v>
      </c>
    </row>
    <row r="521" customFormat="false" ht="15" hidden="false" customHeight="false" outlineLevel="0" collapsed="false">
      <c r="A521" s="79" t="n">
        <v>44898</v>
      </c>
      <c r="B521" s="80" t="n">
        <v>11</v>
      </c>
    </row>
    <row r="522" customFormat="false" ht="15" hidden="false" customHeight="false" outlineLevel="0" collapsed="false">
      <c r="A522" s="79" t="n">
        <v>44899</v>
      </c>
      <c r="B522" s="80" t="n">
        <v>9</v>
      </c>
    </row>
    <row r="523" customFormat="false" ht="15" hidden="false" customHeight="false" outlineLevel="0" collapsed="false">
      <c r="A523" s="79" t="n">
        <v>44900</v>
      </c>
      <c r="B523" s="80" t="n">
        <v>16</v>
      </c>
    </row>
    <row r="524" customFormat="false" ht="15" hidden="false" customHeight="false" outlineLevel="0" collapsed="false">
      <c r="A524" s="79" t="n">
        <v>44901</v>
      </c>
      <c r="B524" s="80" t="n">
        <v>1595</v>
      </c>
    </row>
    <row r="525" customFormat="false" ht="15" hidden="false" customHeight="false" outlineLevel="0" collapsed="false">
      <c r="A525" s="79" t="n">
        <v>44902</v>
      </c>
      <c r="B525" s="80" t="n">
        <v>11</v>
      </c>
    </row>
    <row r="526" customFormat="false" ht="15" hidden="false" customHeight="false" outlineLevel="0" collapsed="false">
      <c r="A526" s="79" t="n">
        <v>44903</v>
      </c>
      <c r="B526" s="80" t="n">
        <v>48</v>
      </c>
    </row>
    <row r="527" customFormat="false" ht="15" hidden="false" customHeight="false" outlineLevel="0" collapsed="false">
      <c r="A527" s="79" t="n">
        <v>44904</v>
      </c>
      <c r="B527" s="80" t="n">
        <v>15</v>
      </c>
    </row>
    <row r="528" customFormat="false" ht="15" hidden="false" customHeight="false" outlineLevel="0" collapsed="false">
      <c r="A528" s="79" t="n">
        <v>44905</v>
      </c>
      <c r="B528" s="80" t="n">
        <v>104</v>
      </c>
    </row>
    <row r="529" customFormat="false" ht="15" hidden="false" customHeight="false" outlineLevel="0" collapsed="false">
      <c r="A529" s="79" t="n">
        <v>44906</v>
      </c>
      <c r="B529" s="80" t="n">
        <v>62</v>
      </c>
    </row>
    <row r="530" customFormat="false" ht="15" hidden="false" customHeight="false" outlineLevel="0" collapsed="false">
      <c r="A530" s="79" t="n">
        <v>44907</v>
      </c>
      <c r="B530" s="80" t="n">
        <v>39</v>
      </c>
    </row>
    <row r="531" customFormat="false" ht="15" hidden="false" customHeight="false" outlineLevel="0" collapsed="false">
      <c r="A531" s="79" t="n">
        <v>44908</v>
      </c>
      <c r="B531" s="80" t="n">
        <v>19</v>
      </c>
    </row>
    <row r="532" customFormat="false" ht="15" hidden="false" customHeight="false" outlineLevel="0" collapsed="false">
      <c r="A532" s="79" t="n">
        <v>44909</v>
      </c>
      <c r="B532" s="80" t="n">
        <v>37</v>
      </c>
    </row>
    <row r="533" customFormat="false" ht="15" hidden="false" customHeight="false" outlineLevel="0" collapsed="false">
      <c r="A533" s="79" t="n">
        <v>44910</v>
      </c>
      <c r="B533" s="80" t="n">
        <v>24</v>
      </c>
    </row>
    <row r="534" customFormat="false" ht="15" hidden="false" customHeight="false" outlineLevel="0" collapsed="false">
      <c r="A534" s="79" t="n">
        <v>44911</v>
      </c>
      <c r="B534" s="80" t="n">
        <v>145</v>
      </c>
    </row>
    <row r="535" customFormat="false" ht="15" hidden="false" customHeight="false" outlineLevel="0" collapsed="false">
      <c r="A535" s="79" t="n">
        <v>44912</v>
      </c>
      <c r="B535" s="80" t="n">
        <v>24</v>
      </c>
    </row>
    <row r="536" customFormat="false" ht="15" hidden="false" customHeight="false" outlineLevel="0" collapsed="false">
      <c r="A536" s="79" t="n">
        <v>44913</v>
      </c>
      <c r="B536" s="80" t="n">
        <v>11</v>
      </c>
    </row>
    <row r="537" customFormat="false" ht="15" hidden="false" customHeight="false" outlineLevel="0" collapsed="false">
      <c r="A537" s="79" t="n">
        <v>44914</v>
      </c>
      <c r="B537" s="80" t="n">
        <v>30</v>
      </c>
    </row>
    <row r="538" customFormat="false" ht="15" hidden="false" customHeight="false" outlineLevel="0" collapsed="false">
      <c r="A538" s="79" t="n">
        <v>44915</v>
      </c>
      <c r="B538" s="80" t="n">
        <v>88</v>
      </c>
    </row>
    <row r="539" customFormat="false" ht="15" hidden="false" customHeight="false" outlineLevel="0" collapsed="false">
      <c r="A539" s="79" t="n">
        <v>44916</v>
      </c>
      <c r="B539" s="80" t="n">
        <v>9</v>
      </c>
    </row>
    <row r="540" customFormat="false" ht="15" hidden="false" customHeight="false" outlineLevel="0" collapsed="false">
      <c r="A540" s="79" t="n">
        <v>44917</v>
      </c>
      <c r="B540" s="80" t="n">
        <v>8</v>
      </c>
    </row>
    <row r="541" customFormat="false" ht="15" hidden="false" customHeight="false" outlineLevel="0" collapsed="false">
      <c r="A541" s="79" t="n">
        <v>44918</v>
      </c>
      <c r="B541" s="80" t="n">
        <v>3</v>
      </c>
    </row>
    <row r="542" customFormat="false" ht="15" hidden="false" customHeight="false" outlineLevel="0" collapsed="false">
      <c r="A542" s="79" t="n">
        <v>44919</v>
      </c>
      <c r="B542" s="80" t="n">
        <v>6</v>
      </c>
    </row>
    <row r="543" customFormat="false" ht="15" hidden="false" customHeight="false" outlineLevel="0" collapsed="false">
      <c r="A543" s="79" t="n">
        <v>44920</v>
      </c>
      <c r="B543" s="80" t="n">
        <v>47</v>
      </c>
    </row>
    <row r="544" customFormat="false" ht="15" hidden="false" customHeight="false" outlineLevel="0" collapsed="false">
      <c r="A544" s="79" t="n">
        <v>44921</v>
      </c>
      <c r="B544" s="80" t="n">
        <v>6</v>
      </c>
    </row>
    <row r="545" customFormat="false" ht="15" hidden="false" customHeight="false" outlineLevel="0" collapsed="false">
      <c r="A545" s="79" t="n">
        <v>44922</v>
      </c>
      <c r="B545" s="80" t="n">
        <v>1</v>
      </c>
    </row>
    <row r="546" customFormat="false" ht="15" hidden="false" customHeight="false" outlineLevel="0" collapsed="false">
      <c r="A546" s="79" t="n">
        <v>44923</v>
      </c>
      <c r="B546" s="80" t="n">
        <v>28</v>
      </c>
    </row>
    <row r="547" customFormat="false" ht="15" hidden="false" customHeight="false" outlineLevel="0" collapsed="false">
      <c r="A547" s="79" t="n">
        <v>44924</v>
      </c>
      <c r="B547" s="80" t="n">
        <v>54</v>
      </c>
    </row>
    <row r="548" customFormat="false" ht="15" hidden="false" customHeight="false" outlineLevel="0" collapsed="false">
      <c r="A548" s="79" t="n">
        <v>44925</v>
      </c>
      <c r="B548" s="80" t="n">
        <v>72</v>
      </c>
    </row>
    <row r="549" customFormat="false" ht="15" hidden="false" customHeight="false" outlineLevel="0" collapsed="false">
      <c r="A549" s="79" t="n">
        <v>44926</v>
      </c>
      <c r="B549" s="80" t="n">
        <v>55</v>
      </c>
    </row>
    <row r="550" customFormat="false" ht="15" hidden="false" customHeight="false" outlineLevel="0" collapsed="false">
      <c r="A550" s="79" t="n">
        <v>44927</v>
      </c>
      <c r="B550" s="80" t="n">
        <v>39</v>
      </c>
    </row>
    <row r="551" customFormat="false" ht="15" hidden="false" customHeight="false" outlineLevel="0" collapsed="false">
      <c r="A551" s="79" t="n">
        <v>44928</v>
      </c>
      <c r="B551" s="80" t="n">
        <v>20</v>
      </c>
    </row>
    <row r="552" customFormat="false" ht="15" hidden="false" customHeight="false" outlineLevel="0" collapsed="false">
      <c r="A552" s="79" t="n">
        <v>44929</v>
      </c>
      <c r="B552" s="80" t="n">
        <v>72</v>
      </c>
    </row>
    <row r="553" customFormat="false" ht="15" hidden="false" customHeight="false" outlineLevel="0" collapsed="false">
      <c r="A553" s="79" t="n">
        <v>44930</v>
      </c>
      <c r="B553" s="80" t="n">
        <v>21</v>
      </c>
    </row>
    <row r="554" customFormat="false" ht="15" hidden="false" customHeight="false" outlineLevel="0" collapsed="false">
      <c r="A554" s="79" t="n">
        <v>44931</v>
      </c>
      <c r="B554" s="80" t="n">
        <v>6</v>
      </c>
    </row>
    <row r="555" customFormat="false" ht="15" hidden="false" customHeight="false" outlineLevel="0" collapsed="false">
      <c r="A555" s="79" t="n">
        <v>44932</v>
      </c>
      <c r="B555" s="80" t="n">
        <v>22</v>
      </c>
    </row>
    <row r="556" customFormat="false" ht="15" hidden="false" customHeight="false" outlineLevel="0" collapsed="false">
      <c r="A556" s="79" t="n">
        <v>44933</v>
      </c>
      <c r="B556" s="80" t="n">
        <v>9</v>
      </c>
    </row>
    <row r="557" customFormat="false" ht="15" hidden="false" customHeight="false" outlineLevel="0" collapsed="false">
      <c r="A557" s="79" t="n">
        <v>44934</v>
      </c>
      <c r="B557" s="80" t="n">
        <v>10</v>
      </c>
    </row>
    <row r="558" customFormat="false" ht="15" hidden="false" customHeight="false" outlineLevel="0" collapsed="false">
      <c r="A558" s="79" t="n">
        <v>44935</v>
      </c>
      <c r="B558" s="80" t="n">
        <v>8</v>
      </c>
    </row>
    <row r="559" customFormat="false" ht="15" hidden="false" customHeight="false" outlineLevel="0" collapsed="false">
      <c r="A559" s="79" t="n">
        <v>44936</v>
      </c>
      <c r="B559" s="80" t="n">
        <v>9</v>
      </c>
    </row>
    <row r="560" customFormat="false" ht="15" hidden="false" customHeight="false" outlineLevel="0" collapsed="false">
      <c r="A560" s="79" t="n">
        <v>44937</v>
      </c>
      <c r="B560" s="80" t="n">
        <v>2</v>
      </c>
    </row>
    <row r="561" customFormat="false" ht="15" hidden="false" customHeight="false" outlineLevel="0" collapsed="false">
      <c r="A561" s="79" t="n">
        <v>44938</v>
      </c>
      <c r="B561" s="80" t="n">
        <v>9</v>
      </c>
    </row>
    <row r="562" customFormat="false" ht="15" hidden="false" customHeight="false" outlineLevel="0" collapsed="false">
      <c r="A562" s="79" t="n">
        <v>44939</v>
      </c>
      <c r="B562" s="80" t="n">
        <v>9</v>
      </c>
    </row>
    <row r="563" customFormat="false" ht="15" hidden="false" customHeight="false" outlineLevel="0" collapsed="false">
      <c r="A563" s="79" t="n">
        <v>44940</v>
      </c>
      <c r="B563" s="80" t="n">
        <v>15</v>
      </c>
    </row>
    <row r="564" customFormat="false" ht="15" hidden="false" customHeight="false" outlineLevel="0" collapsed="false">
      <c r="A564" s="79" t="n">
        <v>44941</v>
      </c>
      <c r="B564" s="80" t="n">
        <v>2</v>
      </c>
    </row>
    <row r="565" customFormat="false" ht="15" hidden="false" customHeight="false" outlineLevel="0" collapsed="false">
      <c r="A565" s="79" t="n">
        <v>44942</v>
      </c>
      <c r="B565" s="80" t="n">
        <v>2</v>
      </c>
    </row>
    <row r="566" customFormat="false" ht="15" hidden="false" customHeight="false" outlineLevel="0" collapsed="false">
      <c r="A566" s="79" t="n">
        <v>44943</v>
      </c>
      <c r="B566" s="80" t="n">
        <v>6</v>
      </c>
    </row>
    <row r="567" customFormat="false" ht="15" hidden="false" customHeight="false" outlineLevel="0" collapsed="false">
      <c r="A567" s="79" t="n">
        <v>44944</v>
      </c>
      <c r="B567" s="80" t="n">
        <v>6</v>
      </c>
    </row>
    <row r="568" customFormat="false" ht="15" hidden="false" customHeight="false" outlineLevel="0" collapsed="false">
      <c r="A568" s="79" t="n">
        <v>44945</v>
      </c>
      <c r="B568" s="80" t="n">
        <v>181</v>
      </c>
    </row>
    <row r="569" customFormat="false" ht="15" hidden="false" customHeight="false" outlineLevel="0" collapsed="false">
      <c r="A569" s="79" t="n">
        <v>44946</v>
      </c>
      <c r="B569" s="80" t="n">
        <v>59</v>
      </c>
    </row>
    <row r="570" customFormat="false" ht="15" hidden="false" customHeight="false" outlineLevel="0" collapsed="false">
      <c r="A570" s="79" t="n">
        <v>44947</v>
      </c>
      <c r="B570" s="80" t="n">
        <v>117</v>
      </c>
    </row>
    <row r="571" customFormat="false" ht="15" hidden="false" customHeight="false" outlineLevel="0" collapsed="false">
      <c r="A571" s="79" t="n">
        <v>44948</v>
      </c>
      <c r="B571" s="80" t="n">
        <v>3</v>
      </c>
    </row>
    <row r="572" customFormat="false" ht="15" hidden="false" customHeight="false" outlineLevel="0" collapsed="false">
      <c r="A572" s="79" t="n">
        <v>44949</v>
      </c>
      <c r="B572" s="80" t="n">
        <v>3</v>
      </c>
    </row>
    <row r="573" customFormat="false" ht="15" hidden="false" customHeight="false" outlineLevel="0" collapsed="false">
      <c r="A573" s="79" t="n">
        <v>44950</v>
      </c>
      <c r="B573" s="80" t="n">
        <v>4</v>
      </c>
    </row>
    <row r="574" customFormat="false" ht="15" hidden="false" customHeight="false" outlineLevel="0" collapsed="false">
      <c r="A574" s="79" t="n">
        <v>44951</v>
      </c>
      <c r="B574" s="80" t="n">
        <v>2</v>
      </c>
    </row>
    <row r="575" customFormat="false" ht="15" hidden="false" customHeight="false" outlineLevel="0" collapsed="false">
      <c r="A575" s="79" t="n">
        <v>44952</v>
      </c>
      <c r="B575" s="80" t="n">
        <v>3</v>
      </c>
    </row>
    <row r="576" customFormat="false" ht="15" hidden="false" customHeight="false" outlineLevel="0" collapsed="false">
      <c r="A576" s="79" t="n">
        <v>44953</v>
      </c>
      <c r="B576" s="80" t="n">
        <v>3</v>
      </c>
    </row>
    <row r="577" customFormat="false" ht="15" hidden="false" customHeight="false" outlineLevel="0" collapsed="false">
      <c r="A577" s="79" t="n">
        <v>44954</v>
      </c>
      <c r="B577" s="80" t="n">
        <v>1</v>
      </c>
    </row>
    <row r="578" customFormat="false" ht="15" hidden="false" customHeight="false" outlineLevel="0" collapsed="false">
      <c r="A578" s="79" t="n">
        <v>44955</v>
      </c>
      <c r="B578" s="80" t="n">
        <v>87</v>
      </c>
    </row>
    <row r="579" customFormat="false" ht="15" hidden="false" customHeight="false" outlineLevel="0" collapsed="false">
      <c r="A579" s="79" t="n">
        <v>44956</v>
      </c>
      <c r="B579" s="80" t="n">
        <v>92</v>
      </c>
    </row>
    <row r="580" customFormat="false" ht="15" hidden="false" customHeight="false" outlineLevel="0" collapsed="false">
      <c r="A580" s="79" t="n">
        <v>44957</v>
      </c>
      <c r="B580" s="80" t="n">
        <v>18</v>
      </c>
    </row>
    <row r="581" customFormat="false" ht="15" hidden="false" customHeight="false" outlineLevel="0" collapsed="false">
      <c r="A581" s="79" t="n">
        <v>44958</v>
      </c>
      <c r="B581" s="80" t="n">
        <v>47</v>
      </c>
    </row>
    <row r="582" customFormat="false" ht="15" hidden="false" customHeight="false" outlineLevel="0" collapsed="false">
      <c r="A582" s="79" t="n">
        <v>44959</v>
      </c>
      <c r="B582" s="80" t="n">
        <v>20</v>
      </c>
    </row>
    <row r="583" customFormat="false" ht="15" hidden="false" customHeight="false" outlineLevel="0" collapsed="false">
      <c r="A583" s="79" t="n">
        <v>44960</v>
      </c>
      <c r="B583" s="80" t="n">
        <v>61</v>
      </c>
    </row>
    <row r="584" customFormat="false" ht="15" hidden="false" customHeight="false" outlineLevel="0" collapsed="false">
      <c r="A584" s="79" t="n">
        <v>44961</v>
      </c>
      <c r="B584" s="80" t="n">
        <v>53</v>
      </c>
    </row>
    <row r="585" customFormat="false" ht="15" hidden="false" customHeight="false" outlineLevel="0" collapsed="false">
      <c r="A585" s="79" t="n">
        <v>44962</v>
      </c>
      <c r="B585" s="80" t="n">
        <v>69</v>
      </c>
    </row>
    <row r="586" customFormat="false" ht="15" hidden="false" customHeight="false" outlineLevel="0" collapsed="false">
      <c r="A586" s="79" t="n">
        <v>44963</v>
      </c>
      <c r="B586" s="80" t="n">
        <v>26</v>
      </c>
    </row>
    <row r="587" customFormat="false" ht="15" hidden="false" customHeight="false" outlineLevel="0" collapsed="false">
      <c r="A587" s="79" t="n">
        <v>44964</v>
      </c>
      <c r="B587" s="80" t="n">
        <v>35</v>
      </c>
    </row>
    <row r="588" customFormat="false" ht="15" hidden="false" customHeight="false" outlineLevel="0" collapsed="false">
      <c r="A588" s="79" t="n">
        <v>44965</v>
      </c>
      <c r="B588" s="80" t="n">
        <v>37</v>
      </c>
    </row>
    <row r="589" customFormat="false" ht="15" hidden="false" customHeight="false" outlineLevel="0" collapsed="false">
      <c r="A589" s="79" t="n">
        <v>44966</v>
      </c>
      <c r="B589" s="80" t="n">
        <v>26</v>
      </c>
    </row>
    <row r="590" customFormat="false" ht="15" hidden="false" customHeight="false" outlineLevel="0" collapsed="false">
      <c r="A590" s="79" t="n">
        <v>44967</v>
      </c>
      <c r="B590" s="80" t="n">
        <v>13</v>
      </c>
    </row>
    <row r="591" customFormat="false" ht="15" hidden="false" customHeight="false" outlineLevel="0" collapsed="false">
      <c r="A591" s="79" t="n">
        <v>44968</v>
      </c>
      <c r="B591" s="80" t="n">
        <v>19</v>
      </c>
    </row>
    <row r="592" customFormat="false" ht="15" hidden="false" customHeight="false" outlineLevel="0" collapsed="false">
      <c r="A592" s="79" t="n">
        <v>44969</v>
      </c>
      <c r="B592" s="80" t="n">
        <v>53</v>
      </c>
    </row>
    <row r="593" customFormat="false" ht="15" hidden="false" customHeight="false" outlineLevel="0" collapsed="false">
      <c r="A593" s="79" t="n">
        <v>44970</v>
      </c>
      <c r="B593" s="80" t="n">
        <v>10</v>
      </c>
    </row>
    <row r="594" customFormat="false" ht="15" hidden="false" customHeight="false" outlineLevel="0" collapsed="false">
      <c r="A594" s="79" t="n">
        <v>44971</v>
      </c>
      <c r="B594" s="80" t="n">
        <v>10</v>
      </c>
    </row>
    <row r="595" customFormat="false" ht="15" hidden="false" customHeight="false" outlineLevel="0" collapsed="false">
      <c r="A595" s="79" t="n">
        <v>44972</v>
      </c>
      <c r="B595" s="80" t="n">
        <v>41</v>
      </c>
    </row>
    <row r="596" customFormat="false" ht="15" hidden="false" customHeight="false" outlineLevel="0" collapsed="false">
      <c r="A596" s="79" t="n">
        <v>44973</v>
      </c>
      <c r="B596" s="80" t="n">
        <v>42</v>
      </c>
    </row>
    <row r="597" customFormat="false" ht="15" hidden="false" customHeight="false" outlineLevel="0" collapsed="false">
      <c r="A597" s="79" t="n">
        <v>44974</v>
      </c>
      <c r="B597" s="80" t="n">
        <v>57</v>
      </c>
    </row>
    <row r="598" customFormat="false" ht="15" hidden="false" customHeight="false" outlineLevel="0" collapsed="false">
      <c r="A598" s="79" t="n">
        <v>44975</v>
      </c>
      <c r="B598" s="80" t="n">
        <v>58</v>
      </c>
    </row>
    <row r="599" customFormat="false" ht="15" hidden="false" customHeight="false" outlineLevel="0" collapsed="false">
      <c r="A599" s="79" t="n">
        <v>44976</v>
      </c>
      <c r="B599" s="80" t="n">
        <v>19</v>
      </c>
    </row>
    <row r="600" customFormat="false" ht="15" hidden="false" customHeight="false" outlineLevel="0" collapsed="false">
      <c r="A600" s="79" t="n">
        <v>44977</v>
      </c>
      <c r="B600" s="80" t="n">
        <v>19</v>
      </c>
    </row>
    <row r="601" customFormat="false" ht="15" hidden="false" customHeight="false" outlineLevel="0" collapsed="false">
      <c r="A601" s="79" t="n">
        <v>44978</v>
      </c>
      <c r="B601" s="80" t="n">
        <v>16</v>
      </c>
    </row>
    <row r="602" customFormat="false" ht="15" hidden="false" customHeight="false" outlineLevel="0" collapsed="false">
      <c r="A602" s="79" t="n">
        <v>44979</v>
      </c>
      <c r="B602" s="80" t="n">
        <v>2</v>
      </c>
    </row>
    <row r="603" customFormat="false" ht="15" hidden="false" customHeight="false" outlineLevel="0" collapsed="false">
      <c r="A603" s="79" t="n">
        <v>44980</v>
      </c>
      <c r="B603" s="80" t="n">
        <v>14</v>
      </c>
    </row>
    <row r="604" customFormat="false" ht="15" hidden="false" customHeight="false" outlineLevel="0" collapsed="false">
      <c r="A604" s="79" t="n">
        <v>44981</v>
      </c>
      <c r="B604" s="80" t="n">
        <v>4</v>
      </c>
    </row>
    <row r="605" customFormat="false" ht="15" hidden="false" customHeight="false" outlineLevel="0" collapsed="false">
      <c r="A605" s="79" t="n">
        <v>44982</v>
      </c>
      <c r="B605" s="80" t="n">
        <v>8</v>
      </c>
    </row>
    <row r="606" customFormat="false" ht="15" hidden="false" customHeight="false" outlineLevel="0" collapsed="false">
      <c r="A606" s="79" t="n">
        <v>44983</v>
      </c>
      <c r="B606" s="80" t="n">
        <v>41</v>
      </c>
    </row>
    <row r="607" customFormat="false" ht="15" hidden="false" customHeight="false" outlineLevel="0" collapsed="false">
      <c r="A607" s="79" t="n">
        <v>44984</v>
      </c>
      <c r="B607" s="80" t="n">
        <v>28</v>
      </c>
    </row>
    <row r="608" customFormat="false" ht="15" hidden="false" customHeight="false" outlineLevel="0" collapsed="false">
      <c r="A608" s="79" t="n">
        <v>44985</v>
      </c>
      <c r="B608" s="80" t="n">
        <v>16</v>
      </c>
    </row>
    <row r="609" customFormat="false" ht="15" hidden="false" customHeight="false" outlineLevel="0" collapsed="false">
      <c r="A609" s="79" t="n">
        <v>44986</v>
      </c>
      <c r="B609" s="80" t="n">
        <v>30</v>
      </c>
    </row>
    <row r="610" customFormat="false" ht="15" hidden="false" customHeight="false" outlineLevel="0" collapsed="false">
      <c r="A610" s="79" t="n">
        <v>44987</v>
      </c>
      <c r="B610" s="80" t="n">
        <v>43</v>
      </c>
    </row>
    <row r="611" customFormat="false" ht="15" hidden="false" customHeight="false" outlineLevel="0" collapsed="false">
      <c r="A611" s="79" t="n">
        <v>44988</v>
      </c>
      <c r="B611" s="80" t="n">
        <v>18</v>
      </c>
    </row>
    <row r="612" customFormat="false" ht="15" hidden="false" customHeight="false" outlineLevel="0" collapsed="false">
      <c r="A612" s="79" t="n">
        <v>44989</v>
      </c>
      <c r="B612" s="80" t="n">
        <v>164</v>
      </c>
    </row>
    <row r="613" customFormat="false" ht="15" hidden="false" customHeight="false" outlineLevel="0" collapsed="false">
      <c r="A613" s="79" t="n">
        <v>44990</v>
      </c>
      <c r="B613" s="80" t="n">
        <v>15</v>
      </c>
    </row>
    <row r="614" customFormat="false" ht="15" hidden="false" customHeight="false" outlineLevel="0" collapsed="false">
      <c r="A614" s="79" t="n">
        <v>44991</v>
      </c>
      <c r="B614" s="80" t="n">
        <v>7</v>
      </c>
    </row>
    <row r="615" customFormat="false" ht="15" hidden="false" customHeight="false" outlineLevel="0" collapsed="false">
      <c r="A615" s="79" t="n">
        <v>44992</v>
      </c>
      <c r="B615" s="80" t="n">
        <v>15</v>
      </c>
    </row>
    <row r="616" customFormat="false" ht="15" hidden="false" customHeight="false" outlineLevel="0" collapsed="false">
      <c r="A616" s="79" t="n">
        <v>44993</v>
      </c>
      <c r="B616" s="80" t="n">
        <v>95</v>
      </c>
    </row>
    <row r="617" customFormat="false" ht="15" hidden="false" customHeight="false" outlineLevel="0" collapsed="false">
      <c r="A617" s="79" t="n">
        <v>44994</v>
      </c>
      <c r="B617" s="80" t="n">
        <v>24</v>
      </c>
    </row>
    <row r="618" customFormat="false" ht="15" hidden="false" customHeight="false" outlineLevel="0" collapsed="false">
      <c r="A618" s="79" t="n">
        <v>44995</v>
      </c>
      <c r="B618" s="80" t="n">
        <v>7</v>
      </c>
    </row>
    <row r="619" customFormat="false" ht="15" hidden="false" customHeight="false" outlineLevel="0" collapsed="false">
      <c r="A619" s="79" t="n">
        <v>44996</v>
      </c>
      <c r="B619" s="80" t="n">
        <v>5</v>
      </c>
    </row>
    <row r="620" customFormat="false" ht="15" hidden="false" customHeight="false" outlineLevel="0" collapsed="false">
      <c r="A620" s="79" t="n">
        <v>44997</v>
      </c>
      <c r="B620" s="80" t="n">
        <v>70</v>
      </c>
    </row>
    <row r="621" customFormat="false" ht="15" hidden="false" customHeight="false" outlineLevel="0" collapsed="false">
      <c r="A621" s="79" t="n">
        <v>44998</v>
      </c>
      <c r="B621" s="80" t="n">
        <v>59</v>
      </c>
    </row>
    <row r="622" customFormat="false" ht="15" hidden="false" customHeight="false" outlineLevel="0" collapsed="false">
      <c r="A622" s="79" t="n">
        <v>44999</v>
      </c>
      <c r="B622" s="80" t="n">
        <v>8</v>
      </c>
    </row>
    <row r="623" customFormat="false" ht="15" hidden="false" customHeight="false" outlineLevel="0" collapsed="false">
      <c r="A623" s="79" t="n">
        <v>45000</v>
      </c>
      <c r="B623" s="80" t="n">
        <v>10</v>
      </c>
    </row>
    <row r="624" customFormat="false" ht="15" hidden="false" customHeight="false" outlineLevel="0" collapsed="false">
      <c r="A624" s="79" t="n">
        <v>45001</v>
      </c>
      <c r="B624" s="80" t="n">
        <v>4</v>
      </c>
    </row>
    <row r="625" customFormat="false" ht="15" hidden="false" customHeight="false" outlineLevel="0" collapsed="false">
      <c r="A625" s="79" t="n">
        <v>45002</v>
      </c>
      <c r="B625" s="80" t="n">
        <v>4</v>
      </c>
    </row>
    <row r="626" customFormat="false" ht="15" hidden="false" customHeight="false" outlineLevel="0" collapsed="false">
      <c r="A626" s="79" t="n">
        <v>45003</v>
      </c>
      <c r="B626" s="80" t="n">
        <v>4</v>
      </c>
    </row>
    <row r="627" customFormat="false" ht="15" hidden="false" customHeight="false" outlineLevel="0" collapsed="false">
      <c r="A627" s="79" t="n">
        <v>45004</v>
      </c>
      <c r="B627" s="80" t="n">
        <v>2</v>
      </c>
    </row>
    <row r="628" customFormat="false" ht="15" hidden="false" customHeight="false" outlineLevel="0" collapsed="false">
      <c r="A628" s="79" t="n">
        <v>45005</v>
      </c>
      <c r="B628" s="80" t="n">
        <v>4</v>
      </c>
    </row>
    <row r="629" customFormat="false" ht="15" hidden="false" customHeight="false" outlineLevel="0" collapsed="false">
      <c r="A629" s="79" t="n">
        <v>45006</v>
      </c>
      <c r="B629" s="80" t="n">
        <v>14</v>
      </c>
    </row>
    <row r="630" customFormat="false" ht="15" hidden="false" customHeight="false" outlineLevel="0" collapsed="false">
      <c r="A630" s="79" t="n">
        <v>45007</v>
      </c>
      <c r="B630" s="80" t="n">
        <v>1</v>
      </c>
    </row>
    <row r="631" customFormat="false" ht="15" hidden="false" customHeight="false" outlineLevel="0" collapsed="false">
      <c r="A631" s="79" t="n">
        <v>45008</v>
      </c>
      <c r="B631" s="80" t="n">
        <v>1</v>
      </c>
    </row>
    <row r="632" customFormat="false" ht="15" hidden="false" customHeight="false" outlineLevel="0" collapsed="false">
      <c r="A632" s="79" t="n">
        <v>45009</v>
      </c>
      <c r="B632" s="80" t="n">
        <v>5</v>
      </c>
    </row>
    <row r="633" customFormat="false" ht="15" hidden="false" customHeight="false" outlineLevel="0" collapsed="false">
      <c r="A633" s="79" t="n">
        <v>45010</v>
      </c>
      <c r="B633" s="80" t="n">
        <v>4</v>
      </c>
    </row>
    <row r="634" customFormat="false" ht="15" hidden="false" customHeight="false" outlineLevel="0" collapsed="false">
      <c r="A634" s="79" t="n">
        <v>45011</v>
      </c>
      <c r="B634" s="80" t="n">
        <v>40</v>
      </c>
    </row>
    <row r="635" customFormat="false" ht="15" hidden="false" customHeight="false" outlineLevel="0" collapsed="false">
      <c r="A635" s="79" t="n">
        <v>45012</v>
      </c>
      <c r="B635" s="80" t="n">
        <v>36</v>
      </c>
    </row>
    <row r="636" customFormat="false" ht="15" hidden="false" customHeight="false" outlineLevel="0" collapsed="false">
      <c r="A636" s="79" t="n">
        <v>45013</v>
      </c>
      <c r="B636" s="80" t="n">
        <v>1</v>
      </c>
    </row>
    <row r="637" customFormat="false" ht="15" hidden="false" customHeight="false" outlineLevel="0" collapsed="false">
      <c r="A637" s="79" t="n">
        <v>45014</v>
      </c>
      <c r="B637" s="80" t="n">
        <v>8</v>
      </c>
    </row>
    <row r="638" customFormat="false" ht="15" hidden="false" customHeight="false" outlineLevel="0" collapsed="false">
      <c r="A638" s="79" t="n">
        <v>45015</v>
      </c>
      <c r="B638" s="80" t="n">
        <v>8</v>
      </c>
    </row>
    <row r="639" customFormat="false" ht="15" hidden="false" customHeight="false" outlineLevel="0" collapsed="false">
      <c r="A639" s="79" t="n">
        <v>45016</v>
      </c>
      <c r="B639" s="80" t="n">
        <v>25</v>
      </c>
    </row>
    <row r="640" customFormat="false" ht="15" hidden="false" customHeight="false" outlineLevel="0" collapsed="false">
      <c r="A640" s="79" t="n">
        <v>45017</v>
      </c>
      <c r="B640" s="80" t="n">
        <v>4</v>
      </c>
    </row>
    <row r="641" customFormat="false" ht="15" hidden="false" customHeight="false" outlineLevel="0" collapsed="false">
      <c r="A641" s="79" t="n">
        <v>45018</v>
      </c>
      <c r="B641" s="80" t="n">
        <v>57</v>
      </c>
    </row>
    <row r="642" customFormat="false" ht="15" hidden="false" customHeight="false" outlineLevel="0" collapsed="false">
      <c r="A642" s="79" t="n">
        <v>45019</v>
      </c>
      <c r="B642" s="80" t="n">
        <v>69</v>
      </c>
    </row>
    <row r="643" customFormat="false" ht="15" hidden="false" customHeight="false" outlineLevel="0" collapsed="false">
      <c r="A643" s="79" t="n">
        <v>45020</v>
      </c>
      <c r="B643" s="80" t="n">
        <v>91</v>
      </c>
    </row>
    <row r="644" customFormat="false" ht="15" hidden="false" customHeight="false" outlineLevel="0" collapsed="false">
      <c r="A644" s="79" t="n">
        <v>45021</v>
      </c>
      <c r="B644" s="80" t="n">
        <v>46</v>
      </c>
    </row>
    <row r="645" customFormat="false" ht="15" hidden="false" customHeight="false" outlineLevel="0" collapsed="false">
      <c r="A645" s="79" t="n">
        <v>45022</v>
      </c>
      <c r="B645" s="80" t="n">
        <v>81</v>
      </c>
    </row>
    <row r="646" customFormat="false" ht="15" hidden="false" customHeight="false" outlineLevel="0" collapsed="false">
      <c r="A646" s="79" t="n">
        <v>45023</v>
      </c>
      <c r="B646" s="80" t="n">
        <v>61</v>
      </c>
    </row>
    <row r="647" customFormat="false" ht="15" hidden="false" customHeight="false" outlineLevel="0" collapsed="false">
      <c r="A647" s="79" t="n">
        <v>45024</v>
      </c>
      <c r="B647" s="80" t="n">
        <v>118</v>
      </c>
    </row>
    <row r="648" customFormat="false" ht="15" hidden="false" customHeight="false" outlineLevel="0" collapsed="false">
      <c r="A648" s="79" t="n">
        <v>45025</v>
      </c>
      <c r="B648" s="80" t="n">
        <v>28</v>
      </c>
    </row>
    <row r="649" customFormat="false" ht="15" hidden="false" customHeight="false" outlineLevel="0" collapsed="false">
      <c r="A649" s="79" t="n">
        <v>45026</v>
      </c>
      <c r="B649" s="80" t="n">
        <v>21</v>
      </c>
    </row>
    <row r="650" customFormat="false" ht="15" hidden="false" customHeight="false" outlineLevel="0" collapsed="false">
      <c r="A650" s="79" t="n">
        <v>45027</v>
      </c>
      <c r="B650" s="80" t="n">
        <v>26</v>
      </c>
    </row>
    <row r="651" customFormat="false" ht="15" hidden="false" customHeight="false" outlineLevel="0" collapsed="false">
      <c r="A651" s="79" t="n">
        <v>45028</v>
      </c>
      <c r="B651" s="80" t="n">
        <v>11</v>
      </c>
    </row>
    <row r="652" customFormat="false" ht="15" hidden="false" customHeight="false" outlineLevel="0" collapsed="false">
      <c r="A652" s="79" t="n">
        <v>45029</v>
      </c>
      <c r="B652" s="80" t="n">
        <v>3</v>
      </c>
    </row>
    <row r="653" customFormat="false" ht="15" hidden="false" customHeight="false" outlineLevel="0" collapsed="false">
      <c r="A653" s="79" t="n">
        <v>45030</v>
      </c>
      <c r="B653" s="80" t="n">
        <v>2</v>
      </c>
    </row>
    <row r="654" customFormat="false" ht="15" hidden="false" customHeight="false" outlineLevel="0" collapsed="false">
      <c r="A654" s="79" t="n">
        <v>45031</v>
      </c>
      <c r="B654" s="80" t="n">
        <v>6</v>
      </c>
    </row>
    <row r="655" customFormat="false" ht="15" hidden="false" customHeight="false" outlineLevel="0" collapsed="false">
      <c r="A655" s="79" t="n">
        <v>45032</v>
      </c>
      <c r="B655" s="80" t="n">
        <v>1</v>
      </c>
    </row>
    <row r="656" customFormat="false" ht="15" hidden="false" customHeight="false" outlineLevel="0" collapsed="false">
      <c r="A656" s="79" t="n">
        <v>45033</v>
      </c>
      <c r="B656" s="80" t="n">
        <v>4</v>
      </c>
    </row>
    <row r="657" customFormat="false" ht="15" hidden="false" customHeight="false" outlineLevel="0" collapsed="false">
      <c r="A657" s="79" t="n">
        <v>45034</v>
      </c>
      <c r="B657" s="80" t="n">
        <v>1</v>
      </c>
    </row>
    <row r="658" customFormat="false" ht="15" hidden="false" customHeight="false" outlineLevel="0" collapsed="false">
      <c r="A658" s="79" t="n">
        <v>45035</v>
      </c>
      <c r="B658" s="80" t="n">
        <v>0</v>
      </c>
    </row>
    <row r="659" customFormat="false" ht="15" hidden="false" customHeight="false" outlineLevel="0" collapsed="false">
      <c r="A659" s="79" t="n">
        <v>45036</v>
      </c>
      <c r="B659" s="80" t="n">
        <v>3</v>
      </c>
    </row>
    <row r="660" customFormat="false" ht="15" hidden="false" customHeight="false" outlineLevel="0" collapsed="false">
      <c r="A660" s="79" t="n">
        <v>45037</v>
      </c>
      <c r="B660" s="80" t="n">
        <v>5</v>
      </c>
    </row>
    <row r="661" customFormat="false" ht="15" hidden="false" customHeight="false" outlineLevel="0" collapsed="false">
      <c r="A661" s="79" t="n">
        <v>45038</v>
      </c>
      <c r="B661" s="80" t="n">
        <v>1</v>
      </c>
    </row>
    <row r="662" customFormat="false" ht="15" hidden="false" customHeight="false" outlineLevel="0" collapsed="false">
      <c r="A662" s="79" t="n">
        <v>45039</v>
      </c>
      <c r="B662" s="80" t="n">
        <v>4</v>
      </c>
    </row>
    <row r="663" customFormat="false" ht="15" hidden="false" customHeight="false" outlineLevel="0" collapsed="false">
      <c r="A663" s="79" t="n">
        <v>45040</v>
      </c>
      <c r="B663" s="80" t="n">
        <v>1</v>
      </c>
    </row>
    <row r="664" customFormat="false" ht="15" hidden="false" customHeight="false" outlineLevel="0" collapsed="false">
      <c r="A664" s="79" t="n">
        <v>45041</v>
      </c>
      <c r="B664" s="80" t="n">
        <v>3</v>
      </c>
    </row>
    <row r="665" customFormat="false" ht="15" hidden="false" customHeight="false" outlineLevel="0" collapsed="false">
      <c r="A665" s="79" t="n">
        <v>45042</v>
      </c>
      <c r="B665" s="80" t="n">
        <v>1</v>
      </c>
    </row>
    <row r="666" customFormat="false" ht="15" hidden="false" customHeight="false" outlineLevel="0" collapsed="false">
      <c r="A666" s="79" t="n">
        <v>45043</v>
      </c>
      <c r="B666" s="80" t="n">
        <v>4</v>
      </c>
    </row>
    <row r="667" customFormat="false" ht="15" hidden="false" customHeight="false" outlineLevel="0" collapsed="false">
      <c r="A667" s="79" t="n">
        <v>45044</v>
      </c>
      <c r="B667" s="80" t="n">
        <v>9</v>
      </c>
    </row>
    <row r="668" customFormat="false" ht="15" hidden="false" customHeight="false" outlineLevel="0" collapsed="false">
      <c r="A668" s="79" t="n">
        <v>45045</v>
      </c>
      <c r="B668" s="80" t="n">
        <v>8</v>
      </c>
    </row>
    <row r="669" customFormat="false" ht="15" hidden="false" customHeight="false" outlineLevel="0" collapsed="false">
      <c r="A669" s="79" t="n">
        <v>45046</v>
      </c>
      <c r="B669" s="80" t="n">
        <v>6</v>
      </c>
    </row>
    <row r="670" customFormat="false" ht="15" hidden="false" customHeight="false" outlineLevel="0" collapsed="false">
      <c r="A670" s="79" t="n">
        <v>45047</v>
      </c>
      <c r="B670" s="80" t="n">
        <v>2</v>
      </c>
    </row>
    <row r="671" customFormat="false" ht="15" hidden="false" customHeight="false" outlineLevel="0" collapsed="false">
      <c r="A671" s="79" t="n">
        <v>45048</v>
      </c>
      <c r="B671" s="80" t="n">
        <v>1</v>
      </c>
    </row>
    <row r="672" customFormat="false" ht="15" hidden="false" customHeight="false" outlineLevel="0" collapsed="false">
      <c r="A672" s="79" t="n">
        <v>45049</v>
      </c>
      <c r="B672" s="80" t="n">
        <v>2</v>
      </c>
    </row>
    <row r="673" customFormat="false" ht="15" hidden="false" customHeight="false" outlineLevel="0" collapsed="false">
      <c r="A673" s="79" t="n">
        <v>45050</v>
      </c>
      <c r="B673" s="80" t="n">
        <v>7</v>
      </c>
    </row>
    <row r="674" customFormat="false" ht="15" hidden="false" customHeight="false" outlineLevel="0" collapsed="false">
      <c r="A674" s="79" t="n">
        <v>45051</v>
      </c>
      <c r="B674" s="80" t="n">
        <v>6</v>
      </c>
    </row>
    <row r="675" customFormat="false" ht="15" hidden="false" customHeight="false" outlineLevel="0" collapsed="false">
      <c r="A675" s="79" t="n">
        <v>45052</v>
      </c>
      <c r="B675" s="80" t="n">
        <v>6</v>
      </c>
    </row>
    <row r="676" customFormat="false" ht="15" hidden="false" customHeight="false" outlineLevel="0" collapsed="false">
      <c r="A676" s="79" t="n">
        <v>45053</v>
      </c>
      <c r="B676" s="80" t="n">
        <v>6</v>
      </c>
    </row>
    <row r="677" customFormat="false" ht="15" hidden="false" customHeight="false" outlineLevel="0" collapsed="false">
      <c r="A677" s="79" t="n">
        <v>45054</v>
      </c>
      <c r="B677" s="80" t="n">
        <v>2</v>
      </c>
    </row>
    <row r="678" customFormat="false" ht="15" hidden="false" customHeight="false" outlineLevel="0" collapsed="false">
      <c r="A678" s="79" t="n">
        <v>45055</v>
      </c>
      <c r="B678" s="80" t="n">
        <v>5</v>
      </c>
    </row>
    <row r="679" customFormat="false" ht="15" hidden="false" customHeight="false" outlineLevel="0" collapsed="false">
      <c r="A679" s="79" t="n">
        <v>45056</v>
      </c>
      <c r="B679" s="80" t="n">
        <v>2</v>
      </c>
    </row>
    <row r="680" customFormat="false" ht="15" hidden="false" customHeight="false" outlineLevel="0" collapsed="false">
      <c r="A680" s="79" t="n">
        <v>45057</v>
      </c>
      <c r="B680" s="80" t="n">
        <v>2</v>
      </c>
    </row>
    <row r="681" customFormat="false" ht="15" hidden="false" customHeight="false" outlineLevel="0" collapsed="false">
      <c r="A681" s="79" t="n">
        <v>45058</v>
      </c>
      <c r="B681" s="80" t="n">
        <v>5</v>
      </c>
    </row>
    <row r="682" customFormat="false" ht="15" hidden="false" customHeight="false" outlineLevel="0" collapsed="false">
      <c r="A682" s="79" t="n">
        <v>45059</v>
      </c>
      <c r="B682" s="80" t="n">
        <v>2</v>
      </c>
    </row>
    <row r="683" customFormat="false" ht="15" hidden="false" customHeight="false" outlineLevel="0" collapsed="false">
      <c r="A683" s="79" t="n">
        <v>45060</v>
      </c>
      <c r="B683" s="80" t="n">
        <v>15</v>
      </c>
    </row>
    <row r="684" customFormat="false" ht="15" hidden="false" customHeight="false" outlineLevel="0" collapsed="false">
      <c r="A684" s="79" t="n">
        <v>45061</v>
      </c>
      <c r="B684" s="80" t="n">
        <v>35</v>
      </c>
    </row>
    <row r="685" customFormat="false" ht="15" hidden="false" customHeight="false" outlineLevel="0" collapsed="false">
      <c r="A685" s="79" t="n">
        <v>45062</v>
      </c>
      <c r="B685" s="80" t="n">
        <v>48</v>
      </c>
    </row>
    <row r="686" customFormat="false" ht="15" hidden="false" customHeight="false" outlineLevel="0" collapsed="false">
      <c r="A686" s="79" t="n">
        <v>45063</v>
      </c>
      <c r="B686" s="80" t="n">
        <v>30</v>
      </c>
    </row>
    <row r="687" customFormat="false" ht="15" hidden="false" customHeight="false" outlineLevel="0" collapsed="false">
      <c r="A687" s="79" t="n">
        <v>45064</v>
      </c>
      <c r="B687" s="80" t="n">
        <v>163</v>
      </c>
    </row>
    <row r="688" customFormat="false" ht="15" hidden="false" customHeight="false" outlineLevel="0" collapsed="false">
      <c r="A688" s="79" t="n">
        <v>45065</v>
      </c>
      <c r="B688" s="80" t="n">
        <v>9</v>
      </c>
    </row>
    <row r="689" customFormat="false" ht="15" hidden="false" customHeight="false" outlineLevel="0" collapsed="false">
      <c r="A689" s="79" t="n">
        <v>45066</v>
      </c>
      <c r="B689" s="80" t="n">
        <v>15</v>
      </c>
    </row>
    <row r="690" customFormat="false" ht="15" hidden="false" customHeight="false" outlineLevel="0" collapsed="false">
      <c r="A690" s="79" t="n">
        <v>45067</v>
      </c>
      <c r="B690" s="80" t="n">
        <v>9</v>
      </c>
    </row>
    <row r="691" customFormat="false" ht="15" hidden="false" customHeight="false" outlineLevel="0" collapsed="false">
      <c r="A691" s="79" t="n">
        <v>45068</v>
      </c>
      <c r="B691" s="80" t="n">
        <v>11</v>
      </c>
    </row>
    <row r="692" customFormat="false" ht="15" hidden="false" customHeight="false" outlineLevel="0" collapsed="false">
      <c r="A692" s="79" t="n">
        <v>45069</v>
      </c>
      <c r="B692" s="80" t="n">
        <v>8</v>
      </c>
    </row>
    <row r="693" customFormat="false" ht="15" hidden="false" customHeight="false" outlineLevel="0" collapsed="false">
      <c r="A693" s="79" t="n">
        <v>45070</v>
      </c>
      <c r="B693" s="80" t="n">
        <v>4</v>
      </c>
    </row>
    <row r="694" customFormat="false" ht="15" hidden="false" customHeight="false" outlineLevel="0" collapsed="false">
      <c r="A694" s="79" t="n">
        <v>45071</v>
      </c>
      <c r="B694" s="80" t="n">
        <v>8</v>
      </c>
    </row>
    <row r="695" customFormat="false" ht="15" hidden="false" customHeight="false" outlineLevel="0" collapsed="false">
      <c r="A695" s="79" t="n">
        <v>45072</v>
      </c>
      <c r="B695" s="80" t="n">
        <v>14</v>
      </c>
    </row>
    <row r="696" customFormat="false" ht="15" hidden="false" customHeight="false" outlineLevel="0" collapsed="false">
      <c r="A696" s="79" t="n">
        <v>45073</v>
      </c>
      <c r="B696" s="80" t="n">
        <v>13</v>
      </c>
    </row>
    <row r="697" customFormat="false" ht="15" hidden="false" customHeight="false" outlineLevel="0" collapsed="false">
      <c r="A697" s="79" t="n">
        <v>45074</v>
      </c>
      <c r="B697" s="80" t="n">
        <v>10</v>
      </c>
    </row>
    <row r="698" customFormat="false" ht="15" hidden="false" customHeight="false" outlineLevel="0" collapsed="false">
      <c r="A698" s="79" t="n">
        <v>45075</v>
      </c>
      <c r="B698" s="80" t="n">
        <v>6</v>
      </c>
    </row>
    <row r="699" customFormat="false" ht="15" hidden="false" customHeight="false" outlineLevel="0" collapsed="false">
      <c r="A699" s="79" t="n">
        <v>45076</v>
      </c>
      <c r="B699" s="80" t="n">
        <v>1</v>
      </c>
    </row>
    <row r="700" customFormat="false" ht="15" hidden="false" customHeight="false" outlineLevel="0" collapsed="false">
      <c r="A700" s="79" t="n">
        <v>45077</v>
      </c>
      <c r="B700" s="80" t="n">
        <v>6</v>
      </c>
    </row>
    <row r="701" customFormat="false" ht="15" hidden="false" customHeight="false" outlineLevel="0" collapsed="false">
      <c r="A701" s="79" t="n">
        <v>45078</v>
      </c>
      <c r="B701" s="80" t="n">
        <v>3</v>
      </c>
    </row>
    <row r="702" customFormat="false" ht="15" hidden="false" customHeight="false" outlineLevel="0" collapsed="false">
      <c r="A702" s="79" t="n">
        <v>45079</v>
      </c>
      <c r="B702" s="80" t="n">
        <v>3</v>
      </c>
    </row>
    <row r="703" customFormat="false" ht="15" hidden="false" customHeight="false" outlineLevel="0" collapsed="false">
      <c r="A703" s="79" t="n">
        <v>45080</v>
      </c>
      <c r="B703" s="80" t="n">
        <v>9</v>
      </c>
    </row>
    <row r="704" customFormat="false" ht="15" hidden="false" customHeight="false" outlineLevel="0" collapsed="false">
      <c r="A704" s="79" t="n">
        <v>45081</v>
      </c>
      <c r="B704" s="80" t="n">
        <v>4</v>
      </c>
    </row>
    <row r="705" customFormat="false" ht="15" hidden="false" customHeight="false" outlineLevel="0" collapsed="false">
      <c r="A705" s="79" t="n">
        <v>45082</v>
      </c>
      <c r="B705" s="80" t="n">
        <v>2</v>
      </c>
    </row>
    <row r="706" customFormat="false" ht="15" hidden="false" customHeight="false" outlineLevel="0" collapsed="false">
      <c r="A706" s="79" t="n">
        <v>45083</v>
      </c>
      <c r="B706" s="80" t="n">
        <v>1</v>
      </c>
    </row>
    <row r="707" customFormat="false" ht="15" hidden="false" customHeight="false" outlineLevel="0" collapsed="false">
      <c r="A707" s="79" t="n">
        <v>45084</v>
      </c>
      <c r="B707" s="80" t="n">
        <v>5</v>
      </c>
    </row>
    <row r="708" customFormat="false" ht="15" hidden="false" customHeight="false" outlineLevel="0" collapsed="false">
      <c r="A708" s="79" t="n">
        <v>45085</v>
      </c>
      <c r="B708" s="80" t="n">
        <v>4</v>
      </c>
    </row>
    <row r="709" customFormat="false" ht="15" hidden="false" customHeight="false" outlineLevel="0" collapsed="false">
      <c r="A709" s="79" t="n">
        <v>45086</v>
      </c>
      <c r="B709" s="80" t="n">
        <v>7</v>
      </c>
    </row>
    <row r="710" customFormat="false" ht="15" hidden="false" customHeight="false" outlineLevel="0" collapsed="false">
      <c r="A710" s="79" t="n">
        <v>45087</v>
      </c>
      <c r="B710" s="80" t="n">
        <v>3</v>
      </c>
    </row>
    <row r="711" customFormat="false" ht="15" hidden="false" customHeight="false" outlineLevel="0" collapsed="false">
      <c r="A711" s="79" t="n">
        <v>45088</v>
      </c>
      <c r="B711" s="80" t="n">
        <v>1</v>
      </c>
    </row>
    <row r="712" customFormat="false" ht="15" hidden="false" customHeight="false" outlineLevel="0" collapsed="false">
      <c r="A712" s="79" t="n">
        <v>45089</v>
      </c>
      <c r="B712" s="80" t="n">
        <v>0</v>
      </c>
    </row>
    <row r="713" customFormat="false" ht="15" hidden="false" customHeight="false" outlineLevel="0" collapsed="false">
      <c r="A713" s="79" t="n">
        <v>45090</v>
      </c>
      <c r="B713" s="80" t="n">
        <v>2</v>
      </c>
    </row>
    <row r="714" customFormat="false" ht="15" hidden="false" customHeight="false" outlineLevel="0" collapsed="false">
      <c r="A714" s="79" t="n">
        <v>45091</v>
      </c>
      <c r="B714" s="80" t="n">
        <v>1</v>
      </c>
    </row>
    <row r="715" customFormat="false" ht="15" hidden="false" customHeight="false" outlineLevel="0" collapsed="false">
      <c r="A715" s="79" t="n">
        <v>45092</v>
      </c>
      <c r="B715" s="80" t="n">
        <v>5</v>
      </c>
    </row>
    <row r="716" customFormat="false" ht="15" hidden="false" customHeight="false" outlineLevel="0" collapsed="false">
      <c r="A716" s="79" t="n">
        <v>45093</v>
      </c>
      <c r="B716" s="80" t="n">
        <v>2</v>
      </c>
    </row>
    <row r="717" customFormat="false" ht="15" hidden="false" customHeight="false" outlineLevel="0" collapsed="false">
      <c r="A717" s="79" t="n">
        <v>45094</v>
      </c>
      <c r="B717" s="80" t="n">
        <v>3</v>
      </c>
    </row>
    <row r="718" customFormat="false" ht="15" hidden="false" customHeight="false" outlineLevel="0" collapsed="false">
      <c r="A718" s="79" t="n">
        <v>45095</v>
      </c>
      <c r="B718" s="80" t="n">
        <v>2</v>
      </c>
    </row>
    <row r="719" customFormat="false" ht="15" hidden="false" customHeight="false" outlineLevel="0" collapsed="false">
      <c r="A719" s="79" t="n">
        <v>45096</v>
      </c>
      <c r="B719" s="80" t="n">
        <v>2</v>
      </c>
    </row>
    <row r="720" customFormat="false" ht="15" hidden="false" customHeight="false" outlineLevel="0" collapsed="false">
      <c r="A720" s="79" t="n">
        <v>45097</v>
      </c>
      <c r="B720" s="80" t="n">
        <v>7</v>
      </c>
    </row>
    <row r="721" customFormat="false" ht="15" hidden="false" customHeight="false" outlineLevel="0" collapsed="false">
      <c r="A721" s="79" t="n">
        <v>45098</v>
      </c>
      <c r="B721" s="80" t="n">
        <v>2</v>
      </c>
    </row>
    <row r="722" customFormat="false" ht="15" hidden="false" customHeight="false" outlineLevel="0" collapsed="false">
      <c r="A722" s="79" t="n">
        <v>45099</v>
      </c>
      <c r="B722" s="80" t="n">
        <v>2</v>
      </c>
    </row>
    <row r="723" customFormat="false" ht="15" hidden="false" customHeight="false" outlineLevel="0" collapsed="false">
      <c r="A723" s="79" t="n">
        <v>45100</v>
      </c>
      <c r="B723" s="80" t="n">
        <v>1</v>
      </c>
    </row>
    <row r="724" customFormat="false" ht="15" hidden="false" customHeight="false" outlineLevel="0" collapsed="false">
      <c r="A724" s="79" t="n">
        <v>45101</v>
      </c>
      <c r="B724" s="80" t="n">
        <v>1</v>
      </c>
    </row>
    <row r="725" customFormat="false" ht="15" hidden="false" customHeight="false" outlineLevel="0" collapsed="false">
      <c r="A725" s="79" t="n">
        <v>45102</v>
      </c>
      <c r="B725" s="80" t="n">
        <v>1</v>
      </c>
    </row>
    <row r="726" customFormat="false" ht="15" hidden="false" customHeight="false" outlineLevel="0" collapsed="false">
      <c r="A726" s="79" t="n">
        <v>45103</v>
      </c>
      <c r="B726" s="80" t="n">
        <v>4</v>
      </c>
    </row>
    <row r="727" customFormat="false" ht="15" hidden="false" customHeight="false" outlineLevel="0" collapsed="false">
      <c r="A727" s="79" t="n">
        <v>45104</v>
      </c>
      <c r="B727" s="80" t="n">
        <v>0</v>
      </c>
    </row>
    <row r="728" customFormat="false" ht="15" hidden="false" customHeight="false" outlineLevel="0" collapsed="false">
      <c r="A728" s="79" t="n">
        <v>45105</v>
      </c>
      <c r="B728" s="80" t="n">
        <v>5</v>
      </c>
    </row>
    <row r="729" customFormat="false" ht="15" hidden="false" customHeight="false" outlineLevel="0" collapsed="false">
      <c r="A729" s="79" t="n">
        <v>45106</v>
      </c>
      <c r="B729" s="80" t="n">
        <v>3</v>
      </c>
    </row>
    <row r="730" customFormat="false" ht="15" hidden="false" customHeight="false" outlineLevel="0" collapsed="false">
      <c r="A730" s="79" t="n">
        <v>45107</v>
      </c>
      <c r="B730" s="80" t="n">
        <v>4</v>
      </c>
    </row>
    <row r="731" customFormat="false" ht="15" hidden="false" customHeight="false" outlineLevel="0" collapsed="false">
      <c r="A731" s="79" t="n">
        <v>45108</v>
      </c>
      <c r="B731" s="80" t="n">
        <v>5</v>
      </c>
    </row>
    <row r="732" customFormat="false" ht="15" hidden="false" customHeight="false" outlineLevel="0" collapsed="false">
      <c r="A732" s="79" t="n">
        <v>45109</v>
      </c>
      <c r="B732" s="80" t="n">
        <v>20</v>
      </c>
    </row>
    <row r="733" customFormat="false" ht="15" hidden="false" customHeight="false" outlineLevel="0" collapsed="false">
      <c r="A733" s="79" t="n">
        <v>45110</v>
      </c>
      <c r="B733" s="80" t="n">
        <v>4</v>
      </c>
    </row>
    <row r="734" customFormat="false" ht="15" hidden="false" customHeight="false" outlineLevel="0" collapsed="false">
      <c r="A734" s="79" t="n">
        <v>45111</v>
      </c>
      <c r="B734" s="80" t="n">
        <v>3</v>
      </c>
    </row>
    <row r="735" customFormat="false" ht="15" hidden="false" customHeight="false" outlineLevel="0" collapsed="false">
      <c r="A735" s="79" t="n">
        <v>45112</v>
      </c>
      <c r="B735" s="80" t="n">
        <v>4</v>
      </c>
    </row>
    <row r="736" customFormat="false" ht="15" hidden="false" customHeight="false" outlineLevel="0" collapsed="false">
      <c r="A736" s="79" t="n">
        <v>45113</v>
      </c>
      <c r="B736" s="80" t="n">
        <v>0</v>
      </c>
    </row>
    <row r="737" customFormat="false" ht="15" hidden="false" customHeight="false" outlineLevel="0" collapsed="false">
      <c r="A737" s="79" t="n">
        <v>45114</v>
      </c>
      <c r="B737" s="80" t="n">
        <v>4</v>
      </c>
    </row>
    <row r="738" customFormat="false" ht="15" hidden="false" customHeight="false" outlineLevel="0" collapsed="false">
      <c r="A738" s="79" t="n">
        <v>45115</v>
      </c>
      <c r="B738" s="80" t="n">
        <v>2</v>
      </c>
    </row>
    <row r="739" customFormat="false" ht="15" hidden="false" customHeight="false" outlineLevel="0" collapsed="false">
      <c r="A739" s="79" t="n">
        <v>45116</v>
      </c>
      <c r="B739" s="80" t="n">
        <v>2</v>
      </c>
    </row>
    <row r="740" customFormat="false" ht="15" hidden="false" customHeight="false" outlineLevel="0" collapsed="false">
      <c r="A740" s="79" t="n">
        <v>45117</v>
      </c>
      <c r="B740" s="80" t="n">
        <v>8</v>
      </c>
    </row>
    <row r="741" customFormat="false" ht="15" hidden="false" customHeight="false" outlineLevel="0" collapsed="false">
      <c r="A741" s="79" t="n">
        <v>45118</v>
      </c>
      <c r="B741" s="80" t="n">
        <v>5</v>
      </c>
    </row>
    <row r="742" customFormat="false" ht="15" hidden="false" customHeight="false" outlineLevel="0" collapsed="false">
      <c r="A742" s="79" t="n">
        <v>45119</v>
      </c>
      <c r="B742" s="80" t="n">
        <v>4</v>
      </c>
    </row>
    <row r="743" customFormat="false" ht="15" hidden="false" customHeight="false" outlineLevel="0" collapsed="false">
      <c r="A743" s="79" t="n">
        <v>45120</v>
      </c>
      <c r="B743" s="80" t="n">
        <v>9</v>
      </c>
    </row>
    <row r="744" customFormat="false" ht="15" hidden="false" customHeight="false" outlineLevel="0" collapsed="false">
      <c r="A744" s="79" t="n">
        <v>45121</v>
      </c>
      <c r="B744" s="80" t="n">
        <v>5</v>
      </c>
    </row>
    <row r="745" customFormat="false" ht="15" hidden="false" customHeight="false" outlineLevel="0" collapsed="false">
      <c r="A745" s="79" t="n">
        <v>45122</v>
      </c>
      <c r="B745" s="80" t="n">
        <v>1</v>
      </c>
    </row>
    <row r="746" customFormat="false" ht="15" hidden="false" customHeight="false" outlineLevel="0" collapsed="false">
      <c r="A746" s="79" t="n">
        <v>45123</v>
      </c>
      <c r="B746" s="80" t="n">
        <v>1</v>
      </c>
    </row>
    <row r="747" customFormat="false" ht="15" hidden="false" customHeight="false" outlineLevel="0" collapsed="false">
      <c r="A747" s="79" t="n">
        <v>45124</v>
      </c>
      <c r="B747" s="80" t="n">
        <v>2</v>
      </c>
    </row>
    <row r="748" customFormat="false" ht="15" hidden="false" customHeight="false" outlineLevel="0" collapsed="false">
      <c r="A748" s="79" t="n">
        <v>45125</v>
      </c>
      <c r="B748" s="80" t="n">
        <v>5</v>
      </c>
    </row>
    <row r="749" customFormat="false" ht="15" hidden="false" customHeight="false" outlineLevel="0" collapsed="false">
      <c r="A749" s="79" t="n">
        <v>45126</v>
      </c>
      <c r="B749" s="80" t="n">
        <v>2</v>
      </c>
    </row>
    <row r="750" customFormat="false" ht="15" hidden="false" customHeight="false" outlineLevel="0" collapsed="false">
      <c r="A750" s="79" t="n">
        <v>45127</v>
      </c>
      <c r="B750" s="80" t="n">
        <v>6</v>
      </c>
    </row>
    <row r="751" customFormat="false" ht="15" hidden="false" customHeight="false" outlineLevel="0" collapsed="false">
      <c r="A751" s="79" t="n">
        <v>45128</v>
      </c>
      <c r="B751" s="80" t="n">
        <v>6</v>
      </c>
    </row>
    <row r="752" customFormat="false" ht="15" hidden="false" customHeight="false" outlineLevel="0" collapsed="false">
      <c r="A752" s="79" t="n">
        <v>45129</v>
      </c>
      <c r="B752" s="80" t="n">
        <v>1</v>
      </c>
    </row>
    <row r="753" customFormat="false" ht="15" hidden="false" customHeight="false" outlineLevel="0" collapsed="false">
      <c r="A753" s="79" t="n">
        <v>45130</v>
      </c>
      <c r="B753" s="80" t="n">
        <v>4</v>
      </c>
    </row>
    <row r="754" customFormat="false" ht="15" hidden="false" customHeight="false" outlineLevel="0" collapsed="false">
      <c r="A754" s="79" t="n">
        <v>45131</v>
      </c>
      <c r="B754" s="80" t="n">
        <v>1</v>
      </c>
    </row>
    <row r="755" customFormat="false" ht="15" hidden="false" customHeight="false" outlineLevel="0" collapsed="false">
      <c r="A755" s="79" t="n">
        <v>45132</v>
      </c>
      <c r="B755" s="80" t="n">
        <v>0</v>
      </c>
    </row>
    <row r="756" customFormat="false" ht="15" hidden="false" customHeight="false" outlineLevel="0" collapsed="false">
      <c r="A756" s="79" t="n">
        <v>45133</v>
      </c>
      <c r="B756" s="80" t="n">
        <v>4</v>
      </c>
    </row>
    <row r="757" customFormat="false" ht="15" hidden="false" customHeight="false" outlineLevel="0" collapsed="false">
      <c r="A757" s="79" t="n">
        <v>45134</v>
      </c>
      <c r="B757" s="80" t="n">
        <v>1</v>
      </c>
    </row>
    <row r="758" customFormat="false" ht="15" hidden="false" customHeight="false" outlineLevel="0" collapsed="false">
      <c r="A758" s="79" t="n">
        <v>45135</v>
      </c>
      <c r="B758" s="80" t="n">
        <v>4</v>
      </c>
    </row>
    <row r="759" customFormat="false" ht="15" hidden="false" customHeight="false" outlineLevel="0" collapsed="false">
      <c r="A759" s="79" t="n">
        <v>45136</v>
      </c>
      <c r="B759" s="80" t="n">
        <v>7</v>
      </c>
    </row>
    <row r="760" customFormat="false" ht="15" hidden="false" customHeight="false" outlineLevel="0" collapsed="false">
      <c r="A760" s="79" t="n">
        <v>45137</v>
      </c>
      <c r="B760" s="80" t="n">
        <v>15</v>
      </c>
    </row>
    <row r="761" customFormat="false" ht="15" hidden="false" customHeight="false" outlineLevel="0" collapsed="false">
      <c r="A761" s="79" t="n">
        <v>45138</v>
      </c>
      <c r="B761" s="80" t="n">
        <v>13</v>
      </c>
    </row>
    <row r="762" customFormat="false" ht="15" hidden="false" customHeight="false" outlineLevel="0" collapsed="false">
      <c r="A762" s="79" t="n">
        <v>45139</v>
      </c>
      <c r="B762" s="80" t="n">
        <v>17</v>
      </c>
    </row>
    <row r="763" customFormat="false" ht="15" hidden="false" customHeight="false" outlineLevel="0" collapsed="false">
      <c r="A763" s="79" t="n">
        <v>45140</v>
      </c>
      <c r="B763" s="80" t="n">
        <v>10</v>
      </c>
    </row>
    <row r="764" customFormat="false" ht="15" hidden="false" customHeight="false" outlineLevel="0" collapsed="false">
      <c r="A764" s="79" t="n">
        <v>45141</v>
      </c>
      <c r="B764" s="80" t="n">
        <v>3</v>
      </c>
    </row>
    <row r="765" customFormat="false" ht="15" hidden="false" customHeight="false" outlineLevel="0" collapsed="false">
      <c r="A765" s="79" t="n">
        <v>45142</v>
      </c>
      <c r="B765" s="80" t="n">
        <v>11</v>
      </c>
    </row>
    <row r="766" customFormat="false" ht="15" hidden="false" customHeight="false" outlineLevel="0" collapsed="false">
      <c r="A766" s="79" t="n">
        <v>45143</v>
      </c>
      <c r="B766" s="80" t="n">
        <v>2</v>
      </c>
    </row>
    <row r="767" customFormat="false" ht="15" hidden="false" customHeight="false" outlineLevel="0" collapsed="false">
      <c r="A767" s="79" t="n">
        <v>45144</v>
      </c>
      <c r="B767" s="80" t="n">
        <v>19</v>
      </c>
    </row>
    <row r="768" customFormat="false" ht="15" hidden="false" customHeight="false" outlineLevel="0" collapsed="false">
      <c r="A768" s="79" t="n">
        <v>45145</v>
      </c>
      <c r="B768" s="80" t="n">
        <v>2</v>
      </c>
    </row>
    <row r="769" customFormat="false" ht="15" hidden="false" customHeight="false" outlineLevel="0" collapsed="false">
      <c r="A769" s="79" t="n">
        <v>45146</v>
      </c>
      <c r="B769" s="80" t="n">
        <v>1</v>
      </c>
    </row>
    <row r="770" customFormat="false" ht="15" hidden="false" customHeight="false" outlineLevel="0" collapsed="false">
      <c r="A770" s="79" t="n">
        <v>45147</v>
      </c>
      <c r="B770" s="80" t="n">
        <v>7</v>
      </c>
    </row>
    <row r="771" customFormat="false" ht="15" hidden="false" customHeight="false" outlineLevel="0" collapsed="false">
      <c r="A771" s="79" t="n">
        <v>45148</v>
      </c>
      <c r="B771" s="80" t="n">
        <v>6</v>
      </c>
    </row>
    <row r="772" customFormat="false" ht="15" hidden="false" customHeight="false" outlineLevel="0" collapsed="false">
      <c r="A772" s="79" t="n">
        <v>45149</v>
      </c>
      <c r="B772" s="80" t="n">
        <v>8</v>
      </c>
    </row>
    <row r="773" customFormat="false" ht="15" hidden="false" customHeight="false" outlineLevel="0" collapsed="false">
      <c r="A773" s="79" t="n">
        <v>45150</v>
      </c>
      <c r="B773" s="80" t="n">
        <v>45</v>
      </c>
    </row>
    <row r="774" customFormat="false" ht="15" hidden="false" customHeight="false" outlineLevel="0" collapsed="false">
      <c r="A774" s="79" t="n">
        <v>45151</v>
      </c>
      <c r="B774" s="80" t="n">
        <v>0</v>
      </c>
    </row>
    <row r="775" customFormat="false" ht="15" hidden="false" customHeight="false" outlineLevel="0" collapsed="false">
      <c r="A775" s="79" t="n">
        <v>45152</v>
      </c>
      <c r="B775" s="80" t="n">
        <v>1</v>
      </c>
    </row>
    <row r="776" customFormat="false" ht="15" hidden="false" customHeight="false" outlineLevel="0" collapsed="false">
      <c r="A776" s="79" t="n">
        <v>45153</v>
      </c>
      <c r="B776" s="80" t="n">
        <v>0</v>
      </c>
    </row>
    <row r="777" customFormat="false" ht="15" hidden="false" customHeight="false" outlineLevel="0" collapsed="false">
      <c r="A777" s="79" t="n">
        <v>45154</v>
      </c>
      <c r="B777" s="80" t="n">
        <v>4</v>
      </c>
    </row>
    <row r="778" customFormat="false" ht="15" hidden="false" customHeight="false" outlineLevel="0" collapsed="false">
      <c r="A778" s="79" t="n">
        <v>45155</v>
      </c>
      <c r="B778" s="80" t="n">
        <v>2</v>
      </c>
    </row>
    <row r="779" customFormat="false" ht="15" hidden="false" customHeight="false" outlineLevel="0" collapsed="false">
      <c r="A779" s="79" t="n">
        <v>45156</v>
      </c>
      <c r="B779" s="80" t="n">
        <v>2</v>
      </c>
    </row>
    <row r="780" customFormat="false" ht="15" hidden="false" customHeight="false" outlineLevel="0" collapsed="false">
      <c r="A780" s="79" t="n">
        <v>45157</v>
      </c>
      <c r="B780" s="80" t="n">
        <v>5</v>
      </c>
    </row>
    <row r="781" customFormat="false" ht="15" hidden="false" customHeight="false" outlineLevel="0" collapsed="false">
      <c r="A781" s="79" t="n">
        <v>45158</v>
      </c>
      <c r="B781" s="80" t="n">
        <v>1</v>
      </c>
    </row>
    <row r="782" customFormat="false" ht="15" hidden="false" customHeight="false" outlineLevel="0" collapsed="false">
      <c r="A782" s="79" t="n">
        <v>45159</v>
      </c>
      <c r="B782" s="80" t="n">
        <v>1</v>
      </c>
    </row>
    <row r="783" customFormat="false" ht="15" hidden="false" customHeight="false" outlineLevel="0" collapsed="false">
      <c r="A783" s="79" t="n">
        <v>45160</v>
      </c>
      <c r="B783" s="80" t="n">
        <v>3</v>
      </c>
    </row>
    <row r="784" customFormat="false" ht="15" hidden="false" customHeight="false" outlineLevel="0" collapsed="false">
      <c r="A784" s="79" t="n">
        <v>45161</v>
      </c>
      <c r="B784" s="80" t="n">
        <v>6</v>
      </c>
    </row>
    <row r="785" customFormat="false" ht="15" hidden="false" customHeight="false" outlineLevel="0" collapsed="false">
      <c r="A785" s="79" t="n">
        <v>45162</v>
      </c>
      <c r="B785" s="80" t="n">
        <v>3</v>
      </c>
    </row>
    <row r="786" customFormat="false" ht="15" hidden="false" customHeight="false" outlineLevel="0" collapsed="false">
      <c r="A786" s="79" t="n">
        <v>45163</v>
      </c>
      <c r="B786" s="80" t="n">
        <v>1</v>
      </c>
    </row>
    <row r="787" customFormat="false" ht="15" hidden="false" customHeight="false" outlineLevel="0" collapsed="false">
      <c r="A787" s="79" t="n">
        <v>45164</v>
      </c>
      <c r="B787" s="80" t="n">
        <v>4</v>
      </c>
    </row>
    <row r="788" customFormat="false" ht="15" hidden="false" customHeight="false" outlineLevel="0" collapsed="false">
      <c r="A788" s="79" t="n">
        <v>45165</v>
      </c>
      <c r="B788" s="80" t="n">
        <v>3</v>
      </c>
    </row>
    <row r="789" customFormat="false" ht="15" hidden="false" customHeight="false" outlineLevel="0" collapsed="false">
      <c r="A789" s="79" t="n">
        <v>45166</v>
      </c>
      <c r="B789" s="80" t="n">
        <v>3</v>
      </c>
    </row>
    <row r="790" customFormat="false" ht="15" hidden="false" customHeight="false" outlineLevel="0" collapsed="false">
      <c r="A790" s="79" t="n">
        <v>45167</v>
      </c>
      <c r="B790" s="80" t="n">
        <v>1</v>
      </c>
    </row>
    <row r="791" customFormat="false" ht="15" hidden="false" customHeight="false" outlineLevel="0" collapsed="false">
      <c r="A791" s="79" t="n">
        <v>45168</v>
      </c>
      <c r="B791" s="80" t="n">
        <v>4</v>
      </c>
    </row>
    <row r="792" customFormat="false" ht="15" hidden="false" customHeight="false" outlineLevel="0" collapsed="false">
      <c r="A792" s="79" t="n">
        <v>45169</v>
      </c>
      <c r="B792" s="80" t="n">
        <v>1</v>
      </c>
    </row>
    <row r="793" customFormat="false" ht="15" hidden="false" customHeight="false" outlineLevel="0" collapsed="false">
      <c r="A793" s="79" t="n">
        <v>45170</v>
      </c>
      <c r="B793" s="80" t="n">
        <v>15</v>
      </c>
    </row>
    <row r="794" customFormat="false" ht="15" hidden="false" customHeight="false" outlineLevel="0" collapsed="false">
      <c r="A794" s="79" t="n">
        <v>45171</v>
      </c>
      <c r="B794" s="80" t="n">
        <v>1</v>
      </c>
    </row>
    <row r="795" customFormat="false" ht="15" hidden="false" customHeight="false" outlineLevel="0" collapsed="false">
      <c r="A795" s="79" t="n">
        <v>45172</v>
      </c>
      <c r="B795" s="80" t="n">
        <v>1</v>
      </c>
    </row>
    <row r="796" customFormat="false" ht="15" hidden="false" customHeight="false" outlineLevel="0" collapsed="false">
      <c r="A796" s="79" t="n">
        <v>45173</v>
      </c>
      <c r="B796" s="80" t="n">
        <v>9</v>
      </c>
    </row>
    <row r="797" customFormat="false" ht="15" hidden="false" customHeight="false" outlineLevel="0" collapsed="false">
      <c r="A797" s="79" t="n">
        <v>45174</v>
      </c>
      <c r="B797" s="80" t="n">
        <v>3</v>
      </c>
    </row>
    <row r="798" customFormat="false" ht="15" hidden="false" customHeight="false" outlineLevel="0" collapsed="false">
      <c r="A798" s="79" t="n">
        <v>45175</v>
      </c>
      <c r="B798" s="80" t="n">
        <v>0</v>
      </c>
    </row>
    <row r="799" customFormat="false" ht="15" hidden="false" customHeight="false" outlineLevel="0" collapsed="false">
      <c r="A799" s="79" t="n">
        <v>45176</v>
      </c>
      <c r="B799" s="80" t="n">
        <v>1</v>
      </c>
    </row>
    <row r="800" customFormat="false" ht="15" hidden="false" customHeight="false" outlineLevel="0" collapsed="false">
      <c r="A800" s="79" t="n">
        <v>45177</v>
      </c>
      <c r="B800" s="80" t="n">
        <v>0</v>
      </c>
    </row>
    <row r="801" customFormat="false" ht="15" hidden="false" customHeight="false" outlineLevel="0" collapsed="false">
      <c r="A801" s="79" t="n">
        <v>45178</v>
      </c>
      <c r="B801" s="80" t="n">
        <v>2</v>
      </c>
    </row>
    <row r="802" customFormat="false" ht="15" hidden="false" customHeight="false" outlineLevel="0" collapsed="false">
      <c r="A802" s="79" t="n">
        <v>45179</v>
      </c>
      <c r="B802" s="80" t="n">
        <v>0</v>
      </c>
    </row>
    <row r="803" customFormat="false" ht="15" hidden="false" customHeight="false" outlineLevel="0" collapsed="false">
      <c r="A803" s="79" t="n">
        <v>45180</v>
      </c>
      <c r="B803" s="80" t="n">
        <v>1</v>
      </c>
    </row>
    <row r="804" customFormat="false" ht="15" hidden="false" customHeight="false" outlineLevel="0" collapsed="false">
      <c r="A804" s="79" t="n">
        <v>45181</v>
      </c>
      <c r="B804" s="80" t="n">
        <v>1</v>
      </c>
    </row>
    <row r="805" customFormat="false" ht="15" hidden="false" customHeight="false" outlineLevel="0" collapsed="false">
      <c r="A805" s="79" t="n">
        <v>45182</v>
      </c>
      <c r="B805" s="80" t="n">
        <v>0</v>
      </c>
    </row>
    <row r="806" customFormat="false" ht="15" hidden="false" customHeight="false" outlineLevel="0" collapsed="false">
      <c r="A806" s="79" t="n">
        <v>45183</v>
      </c>
      <c r="B806" s="80" t="n">
        <v>3</v>
      </c>
    </row>
    <row r="807" customFormat="false" ht="15" hidden="false" customHeight="false" outlineLevel="0" collapsed="false">
      <c r="A807" s="79" t="n">
        <v>45184</v>
      </c>
      <c r="B807" s="80" t="n">
        <v>5</v>
      </c>
    </row>
    <row r="808" customFormat="false" ht="15" hidden="false" customHeight="false" outlineLevel="0" collapsed="false">
      <c r="A808" s="79" t="n">
        <v>45185</v>
      </c>
      <c r="B808" s="80" t="n">
        <v>7</v>
      </c>
    </row>
    <row r="809" customFormat="false" ht="15" hidden="false" customHeight="false" outlineLevel="0" collapsed="false">
      <c r="A809" s="79" t="n">
        <v>45186</v>
      </c>
      <c r="B809" s="80" t="n">
        <v>1</v>
      </c>
    </row>
    <row r="810" customFormat="false" ht="15" hidden="false" customHeight="false" outlineLevel="0" collapsed="false">
      <c r="A810" s="79" t="n">
        <v>45187</v>
      </c>
      <c r="B810" s="80" t="n">
        <v>2</v>
      </c>
    </row>
    <row r="811" customFormat="false" ht="15" hidden="false" customHeight="false" outlineLevel="0" collapsed="false">
      <c r="A811" s="79" t="n">
        <v>45188</v>
      </c>
      <c r="B811" s="80" t="n">
        <v>4</v>
      </c>
    </row>
    <row r="812" customFormat="false" ht="15" hidden="false" customHeight="false" outlineLevel="0" collapsed="false">
      <c r="A812" s="79" t="n">
        <v>45189</v>
      </c>
      <c r="B812" s="80" t="n">
        <v>1</v>
      </c>
    </row>
    <row r="813" customFormat="false" ht="15" hidden="false" customHeight="false" outlineLevel="0" collapsed="false">
      <c r="A813" s="79" t="n">
        <v>45190</v>
      </c>
      <c r="B813" s="80" t="n">
        <v>0</v>
      </c>
    </row>
    <row r="814" customFormat="false" ht="15" hidden="false" customHeight="false" outlineLevel="0" collapsed="false">
      <c r="A814" s="79" t="n">
        <v>45191</v>
      </c>
      <c r="B814" s="80" t="n">
        <v>4</v>
      </c>
    </row>
    <row r="815" customFormat="false" ht="15" hidden="false" customHeight="false" outlineLevel="0" collapsed="false">
      <c r="A815" s="79" t="n">
        <v>45192</v>
      </c>
      <c r="B815" s="80" t="n">
        <v>2</v>
      </c>
    </row>
    <row r="816" customFormat="false" ht="15" hidden="false" customHeight="false" outlineLevel="0" collapsed="false">
      <c r="A816" s="79" t="n">
        <v>45193</v>
      </c>
      <c r="B816" s="80" t="n">
        <v>2</v>
      </c>
    </row>
    <row r="817" customFormat="false" ht="15" hidden="false" customHeight="false" outlineLevel="0" collapsed="false">
      <c r="A817" s="79" t="n">
        <v>45194</v>
      </c>
      <c r="B817" s="80" t="n">
        <v>0</v>
      </c>
    </row>
    <row r="818" customFormat="false" ht="15" hidden="false" customHeight="false" outlineLevel="0" collapsed="false">
      <c r="A818" s="79" t="n">
        <v>45195</v>
      </c>
      <c r="B818" s="80" t="n">
        <v>0</v>
      </c>
    </row>
    <row r="819" customFormat="false" ht="15" hidden="false" customHeight="false" outlineLevel="0" collapsed="false">
      <c r="A819" s="79" t="n">
        <v>45196</v>
      </c>
      <c r="B819" s="80" t="n">
        <v>1</v>
      </c>
    </row>
    <row r="820" customFormat="false" ht="15" hidden="false" customHeight="false" outlineLevel="0" collapsed="false">
      <c r="A820" s="79" t="n">
        <v>45197</v>
      </c>
      <c r="B820" s="80" t="n">
        <v>3</v>
      </c>
    </row>
    <row r="821" customFormat="false" ht="15" hidden="false" customHeight="false" outlineLevel="0" collapsed="false">
      <c r="A821" s="79" t="n">
        <v>45198</v>
      </c>
      <c r="B821" s="80" t="n">
        <v>1</v>
      </c>
    </row>
    <row r="822" customFormat="false" ht="15" hidden="false" customHeight="false" outlineLevel="0" collapsed="false">
      <c r="A822" s="79" t="n">
        <v>45199</v>
      </c>
      <c r="B822" s="80" t="n">
        <v>1</v>
      </c>
    </row>
    <row r="823" customFormat="false" ht="15" hidden="false" customHeight="false" outlineLevel="0" collapsed="false">
      <c r="A823" s="79" t="n">
        <v>45200</v>
      </c>
      <c r="B823" s="80" t="n">
        <v>1</v>
      </c>
    </row>
    <row r="824" customFormat="false" ht="15" hidden="false" customHeight="false" outlineLevel="0" collapsed="false">
      <c r="A824" s="79" t="n">
        <v>45201</v>
      </c>
      <c r="B824" s="80" t="n">
        <v>0</v>
      </c>
    </row>
    <row r="825" customFormat="false" ht="15" hidden="false" customHeight="false" outlineLevel="0" collapsed="false">
      <c r="A825" s="79" t="n">
        <v>45202</v>
      </c>
      <c r="B825" s="80" t="n">
        <v>8</v>
      </c>
    </row>
    <row r="826" customFormat="false" ht="15" hidden="false" customHeight="false" outlineLevel="0" collapsed="false">
      <c r="A826" s="79" t="n">
        <v>45203</v>
      </c>
      <c r="B826" s="80" t="n">
        <v>0</v>
      </c>
    </row>
    <row r="827" customFormat="false" ht="15" hidden="false" customHeight="false" outlineLevel="0" collapsed="false">
      <c r="A827" s="79" t="n">
        <v>45204</v>
      </c>
      <c r="B827" s="80" t="n">
        <v>1</v>
      </c>
    </row>
    <row r="828" customFormat="false" ht="15" hidden="false" customHeight="false" outlineLevel="0" collapsed="false">
      <c r="A828" s="79" t="n">
        <v>45205</v>
      </c>
      <c r="B828" s="80" t="n">
        <v>1</v>
      </c>
    </row>
    <row r="829" customFormat="false" ht="15" hidden="false" customHeight="false" outlineLevel="0" collapsed="false">
      <c r="A829" s="79" t="n">
        <v>45206</v>
      </c>
      <c r="B829" s="80" t="n">
        <v>0</v>
      </c>
    </row>
    <row r="830" customFormat="false" ht="15" hidden="false" customHeight="false" outlineLevel="0" collapsed="false">
      <c r="A830" s="79" t="n">
        <v>45207</v>
      </c>
      <c r="B830" s="80" t="n">
        <v>1</v>
      </c>
    </row>
    <row r="831" customFormat="false" ht="15" hidden="false" customHeight="false" outlineLevel="0" collapsed="false">
      <c r="A831" s="79" t="n">
        <v>45208</v>
      </c>
      <c r="B831" s="80" t="n">
        <v>1</v>
      </c>
    </row>
    <row r="832" customFormat="false" ht="15" hidden="false" customHeight="false" outlineLevel="0" collapsed="false">
      <c r="A832" s="79" t="n">
        <v>45209</v>
      </c>
      <c r="B832" s="80" t="n">
        <v>12</v>
      </c>
    </row>
    <row r="833" customFormat="false" ht="15" hidden="false" customHeight="false" outlineLevel="0" collapsed="false">
      <c r="A833" s="79" t="n">
        <v>45210</v>
      </c>
      <c r="B833" s="80" t="n">
        <v>6</v>
      </c>
    </row>
    <row r="834" customFormat="false" ht="15" hidden="false" customHeight="false" outlineLevel="0" collapsed="false">
      <c r="A834" s="79" t="n">
        <v>45211</v>
      </c>
      <c r="B834" s="80" t="n">
        <v>19</v>
      </c>
    </row>
    <row r="835" customFormat="false" ht="15" hidden="false" customHeight="false" outlineLevel="0" collapsed="false">
      <c r="A835" s="79" t="n">
        <v>45212</v>
      </c>
      <c r="B835" s="80" t="n">
        <v>14</v>
      </c>
    </row>
    <row r="836" customFormat="false" ht="15" hidden="false" customHeight="false" outlineLevel="0" collapsed="false">
      <c r="A836" s="79" t="n">
        <v>45213</v>
      </c>
      <c r="B836" s="80" t="n">
        <v>11</v>
      </c>
    </row>
    <row r="837" customFormat="false" ht="15" hidden="false" customHeight="false" outlineLevel="0" collapsed="false">
      <c r="A837" s="79" t="n">
        <v>45214</v>
      </c>
      <c r="B837" s="80" t="n">
        <v>10</v>
      </c>
    </row>
    <row r="838" customFormat="false" ht="15" hidden="false" customHeight="false" outlineLevel="0" collapsed="false">
      <c r="A838" s="79" t="n">
        <v>45215</v>
      </c>
      <c r="B838" s="80" t="n">
        <v>9</v>
      </c>
    </row>
    <row r="839" customFormat="false" ht="15" hidden="false" customHeight="false" outlineLevel="0" collapsed="false">
      <c r="A839" s="79" t="n">
        <v>45216</v>
      </c>
      <c r="B839" s="80" t="n">
        <v>2</v>
      </c>
    </row>
    <row r="840" customFormat="false" ht="15" hidden="false" customHeight="false" outlineLevel="0" collapsed="false">
      <c r="A840" s="79" t="n">
        <v>45217</v>
      </c>
      <c r="B840" s="80" t="n">
        <v>2</v>
      </c>
    </row>
    <row r="841" customFormat="false" ht="15" hidden="false" customHeight="false" outlineLevel="0" collapsed="false">
      <c r="A841" s="79" t="n">
        <v>45218</v>
      </c>
      <c r="B841" s="80" t="n">
        <v>6</v>
      </c>
    </row>
    <row r="842" customFormat="false" ht="15" hidden="false" customHeight="false" outlineLevel="0" collapsed="false">
      <c r="A842" s="79" t="n">
        <v>45219</v>
      </c>
      <c r="B842" s="80" t="n">
        <v>36</v>
      </c>
    </row>
    <row r="843" customFormat="false" ht="15" hidden="false" customHeight="false" outlineLevel="0" collapsed="false">
      <c r="A843" s="79" t="n">
        <v>45220</v>
      </c>
      <c r="B843" s="80" t="n">
        <v>4</v>
      </c>
    </row>
    <row r="844" customFormat="false" ht="15" hidden="false" customHeight="false" outlineLevel="0" collapsed="false">
      <c r="A844" s="79" t="n">
        <v>45221</v>
      </c>
      <c r="B844" s="80" t="n">
        <v>14</v>
      </c>
    </row>
    <row r="845" customFormat="false" ht="15" hidden="false" customHeight="false" outlineLevel="0" collapsed="false">
      <c r="A845" s="79" t="n">
        <v>45222</v>
      </c>
      <c r="B845" s="80" t="n">
        <v>46</v>
      </c>
    </row>
    <row r="846" customFormat="false" ht="15" hidden="false" customHeight="false" outlineLevel="0" collapsed="false">
      <c r="A846" s="79" t="n">
        <v>45223</v>
      </c>
      <c r="B846" s="80" t="n">
        <v>74</v>
      </c>
    </row>
    <row r="847" customFormat="false" ht="15" hidden="false" customHeight="false" outlineLevel="0" collapsed="false">
      <c r="A847" s="79" t="n">
        <v>45224</v>
      </c>
      <c r="B847" s="80" t="n">
        <v>93</v>
      </c>
    </row>
    <row r="848" customFormat="false" ht="15" hidden="false" customHeight="false" outlineLevel="0" collapsed="false">
      <c r="A848" s="79" t="n">
        <v>45225</v>
      </c>
      <c r="B848" s="80" t="n">
        <v>34</v>
      </c>
    </row>
    <row r="849" customFormat="false" ht="15" hidden="false" customHeight="false" outlineLevel="0" collapsed="false">
      <c r="A849" s="79" t="n">
        <v>45226</v>
      </c>
      <c r="B849" s="80" t="n">
        <v>42</v>
      </c>
    </row>
    <row r="850" customFormat="false" ht="15" hidden="false" customHeight="false" outlineLevel="0" collapsed="false">
      <c r="A850" s="79" t="n">
        <v>45227</v>
      </c>
      <c r="B850" s="80" t="n">
        <v>9</v>
      </c>
    </row>
    <row r="851" customFormat="false" ht="15" hidden="false" customHeight="false" outlineLevel="0" collapsed="false">
      <c r="A851" s="79" t="n">
        <v>45228</v>
      </c>
      <c r="B851" s="80" t="n">
        <v>17</v>
      </c>
    </row>
    <row r="852" customFormat="false" ht="15" hidden="false" customHeight="false" outlineLevel="0" collapsed="false">
      <c r="A852" s="79" t="n">
        <v>45229</v>
      </c>
      <c r="B852" s="80" t="n">
        <v>8</v>
      </c>
    </row>
    <row r="853" customFormat="false" ht="15" hidden="false" customHeight="false" outlineLevel="0" collapsed="false">
      <c r="A853" s="79" t="n">
        <v>45230</v>
      </c>
      <c r="B853" s="80" t="n">
        <v>7</v>
      </c>
    </row>
    <row r="854" customFormat="false" ht="15" hidden="false" customHeight="false" outlineLevel="0" collapsed="false">
      <c r="A854" s="79" t="n">
        <v>45231</v>
      </c>
      <c r="B854" s="80" t="n">
        <v>15</v>
      </c>
    </row>
    <row r="855" customFormat="false" ht="15" hidden="false" customHeight="false" outlineLevel="0" collapsed="false">
      <c r="A855" s="79" t="n">
        <v>45232</v>
      </c>
      <c r="B855" s="80" t="n">
        <v>21</v>
      </c>
    </row>
    <row r="856" customFormat="false" ht="15" hidden="false" customHeight="false" outlineLevel="0" collapsed="false">
      <c r="A856" s="79" t="n">
        <v>45233</v>
      </c>
      <c r="B856" s="80" t="n">
        <v>10</v>
      </c>
    </row>
    <row r="857" customFormat="false" ht="15" hidden="false" customHeight="false" outlineLevel="0" collapsed="false">
      <c r="A857" s="79" t="n">
        <v>45234</v>
      </c>
      <c r="B857" s="80" t="n">
        <v>9</v>
      </c>
    </row>
    <row r="858" customFormat="false" ht="15" hidden="false" customHeight="false" outlineLevel="0" collapsed="false">
      <c r="A858" s="79" t="n">
        <v>45235</v>
      </c>
      <c r="B858" s="80" t="n">
        <v>6</v>
      </c>
    </row>
    <row r="859" customFormat="false" ht="15" hidden="false" customHeight="false" outlineLevel="0" collapsed="false">
      <c r="A859" s="79" t="n">
        <v>45236</v>
      </c>
      <c r="B859" s="80" t="n">
        <v>1</v>
      </c>
    </row>
    <row r="860" customFormat="false" ht="15" hidden="false" customHeight="false" outlineLevel="0" collapsed="false">
      <c r="A860" s="79" t="n">
        <v>45237</v>
      </c>
      <c r="B860" s="80" t="n">
        <v>4</v>
      </c>
    </row>
    <row r="861" customFormat="false" ht="15" hidden="false" customHeight="false" outlineLevel="0" collapsed="false">
      <c r="A861" s="79" t="n">
        <v>45238</v>
      </c>
      <c r="B861" s="80" t="n">
        <v>16</v>
      </c>
    </row>
    <row r="862" customFormat="false" ht="15" hidden="false" customHeight="false" outlineLevel="0" collapsed="false">
      <c r="A862" s="79" t="n">
        <v>45239</v>
      </c>
      <c r="B862" s="80" t="n">
        <v>8</v>
      </c>
    </row>
    <row r="863" customFormat="false" ht="15" hidden="false" customHeight="false" outlineLevel="0" collapsed="false">
      <c r="A863" s="79" t="n">
        <v>45240</v>
      </c>
      <c r="B863" s="80" t="n">
        <v>8</v>
      </c>
    </row>
    <row r="864" customFormat="false" ht="15" hidden="false" customHeight="false" outlineLevel="0" collapsed="false">
      <c r="A864" s="79" t="n">
        <v>45241</v>
      </c>
      <c r="B864" s="80" t="n">
        <v>7</v>
      </c>
    </row>
    <row r="865" customFormat="false" ht="15" hidden="false" customHeight="false" outlineLevel="0" collapsed="false">
      <c r="A865" s="79" t="n">
        <v>45242</v>
      </c>
      <c r="B865" s="80" t="n">
        <v>9</v>
      </c>
    </row>
    <row r="866" customFormat="false" ht="15" hidden="false" customHeight="false" outlineLevel="0" collapsed="false">
      <c r="A866" s="79" t="n">
        <v>45243</v>
      </c>
      <c r="B866" s="80" t="n">
        <v>19</v>
      </c>
    </row>
    <row r="867" customFormat="false" ht="15" hidden="false" customHeight="false" outlineLevel="0" collapsed="false">
      <c r="A867" s="79" t="n">
        <v>45244</v>
      </c>
      <c r="B867" s="80" t="n">
        <v>32</v>
      </c>
    </row>
    <row r="868" customFormat="false" ht="15" hidden="false" customHeight="false" outlineLevel="0" collapsed="false">
      <c r="A868" s="79" t="n">
        <v>45245</v>
      </c>
      <c r="B868" s="80" t="n">
        <v>20</v>
      </c>
    </row>
    <row r="869" customFormat="false" ht="15" hidden="false" customHeight="false" outlineLevel="0" collapsed="false">
      <c r="A869" s="79" t="n">
        <v>45246</v>
      </c>
      <c r="B869" s="80" t="n">
        <v>10</v>
      </c>
    </row>
    <row r="870" customFormat="false" ht="15" hidden="false" customHeight="false" outlineLevel="0" collapsed="false">
      <c r="A870" s="79" t="n">
        <v>45247</v>
      </c>
      <c r="B870" s="80" t="n">
        <v>10</v>
      </c>
    </row>
    <row r="871" customFormat="false" ht="15" hidden="false" customHeight="false" outlineLevel="0" collapsed="false">
      <c r="A871" s="79" t="n">
        <v>45248</v>
      </c>
      <c r="B871" s="80" t="n">
        <v>9</v>
      </c>
    </row>
    <row r="872" customFormat="false" ht="15" hidden="false" customHeight="false" outlineLevel="0" collapsed="false">
      <c r="A872" s="79" t="n">
        <v>45249</v>
      </c>
      <c r="B872" s="80" t="n">
        <v>111</v>
      </c>
    </row>
    <row r="873" customFormat="false" ht="15" hidden="false" customHeight="false" outlineLevel="0" collapsed="false">
      <c r="A873" s="79" t="n">
        <v>45250</v>
      </c>
      <c r="B873" s="80" t="n">
        <v>156</v>
      </c>
    </row>
    <row r="874" customFormat="false" ht="15" hidden="false" customHeight="false" outlineLevel="0" collapsed="false">
      <c r="A874" s="79" t="n">
        <v>45251</v>
      </c>
      <c r="B874" s="80" t="n">
        <v>5</v>
      </c>
    </row>
    <row r="875" customFormat="false" ht="15" hidden="false" customHeight="false" outlineLevel="0" collapsed="false">
      <c r="A875" s="79" t="n">
        <v>45252</v>
      </c>
      <c r="B875" s="80" t="n">
        <v>2</v>
      </c>
    </row>
    <row r="876" customFormat="false" ht="15" hidden="false" customHeight="false" outlineLevel="0" collapsed="false">
      <c r="A876" s="79" t="n">
        <v>45253</v>
      </c>
      <c r="B876" s="80" t="n">
        <v>7</v>
      </c>
    </row>
    <row r="877" customFormat="false" ht="15" hidden="false" customHeight="false" outlineLevel="0" collapsed="false">
      <c r="A877" s="79" t="n">
        <v>45254</v>
      </c>
      <c r="B877" s="80" t="n">
        <v>8</v>
      </c>
    </row>
    <row r="878" customFormat="false" ht="15" hidden="false" customHeight="false" outlineLevel="0" collapsed="false">
      <c r="A878" s="79" t="n">
        <v>45255</v>
      </c>
      <c r="B878" s="80" t="n">
        <v>7</v>
      </c>
    </row>
    <row r="879" customFormat="false" ht="15" hidden="false" customHeight="false" outlineLevel="0" collapsed="false">
      <c r="A879" s="79" t="n">
        <v>45256</v>
      </c>
      <c r="B879" s="80" t="n">
        <v>7</v>
      </c>
    </row>
    <row r="880" customFormat="false" ht="15" hidden="false" customHeight="false" outlineLevel="0" collapsed="false">
      <c r="A880" s="79" t="n">
        <v>45257</v>
      </c>
      <c r="B880" s="80" t="n">
        <v>6</v>
      </c>
    </row>
    <row r="881" customFormat="false" ht="15" hidden="false" customHeight="false" outlineLevel="0" collapsed="false">
      <c r="A881" s="79" t="n">
        <v>45258</v>
      </c>
      <c r="B881" s="80" t="n">
        <v>31</v>
      </c>
    </row>
    <row r="882" customFormat="false" ht="15" hidden="false" customHeight="false" outlineLevel="0" collapsed="false">
      <c r="A882" s="79" t="n">
        <v>45259</v>
      </c>
      <c r="B882" s="80" t="n">
        <v>18</v>
      </c>
    </row>
    <row r="883" customFormat="false" ht="15" hidden="false" customHeight="false" outlineLevel="0" collapsed="false">
      <c r="A883" s="79" t="n">
        <v>45260</v>
      </c>
      <c r="B883" s="80" t="n">
        <v>30</v>
      </c>
    </row>
    <row r="884" customFormat="false" ht="15" hidden="false" customHeight="false" outlineLevel="0" collapsed="false">
      <c r="A884" s="79" t="n">
        <v>45261</v>
      </c>
      <c r="B884" s="80" t="n">
        <v>11</v>
      </c>
    </row>
    <row r="885" customFormat="false" ht="15" hidden="false" customHeight="false" outlineLevel="0" collapsed="false">
      <c r="A885" s="79" t="n">
        <v>45262</v>
      </c>
      <c r="B885" s="80" t="n">
        <v>9</v>
      </c>
    </row>
    <row r="886" customFormat="false" ht="15" hidden="false" customHeight="false" outlineLevel="0" collapsed="false">
      <c r="A886" s="79" t="n">
        <v>45263</v>
      </c>
      <c r="B886" s="80" t="n">
        <v>7</v>
      </c>
    </row>
    <row r="887" customFormat="false" ht="15" hidden="false" customHeight="false" outlineLevel="0" collapsed="false">
      <c r="A887" s="79" t="n">
        <v>45264</v>
      </c>
      <c r="B887" s="80" t="n">
        <v>4</v>
      </c>
    </row>
    <row r="888" customFormat="false" ht="15" hidden="false" customHeight="false" outlineLevel="0" collapsed="false">
      <c r="A888" s="79" t="n">
        <v>45265</v>
      </c>
      <c r="B888" s="80" t="n">
        <v>1</v>
      </c>
    </row>
    <row r="889" customFormat="false" ht="15" hidden="false" customHeight="false" outlineLevel="0" collapsed="false">
      <c r="A889" s="79" t="n">
        <v>45266</v>
      </c>
      <c r="B889" s="80" t="n">
        <v>0</v>
      </c>
    </row>
    <row r="890" customFormat="false" ht="15" hidden="false" customHeight="false" outlineLevel="0" collapsed="false">
      <c r="A890" s="79" t="n">
        <v>45267</v>
      </c>
      <c r="B890" s="80" t="n">
        <v>5</v>
      </c>
    </row>
    <row r="891" customFormat="false" ht="15" hidden="false" customHeight="false" outlineLevel="0" collapsed="false">
      <c r="A891" s="79" t="n">
        <v>45268</v>
      </c>
      <c r="B891" s="80" t="n">
        <v>12</v>
      </c>
    </row>
    <row r="892" customFormat="false" ht="15" hidden="false" customHeight="false" outlineLevel="0" collapsed="false">
      <c r="A892" s="79" t="n">
        <v>45269</v>
      </c>
      <c r="B892" s="80" t="n">
        <v>14</v>
      </c>
    </row>
    <row r="893" customFormat="false" ht="15" hidden="false" customHeight="false" outlineLevel="0" collapsed="false">
      <c r="A893" s="79" t="n">
        <v>45270</v>
      </c>
      <c r="B893" s="80" t="n">
        <v>21</v>
      </c>
    </row>
    <row r="894" customFormat="false" ht="15" hidden="false" customHeight="false" outlineLevel="0" collapsed="false">
      <c r="A894" s="79" t="n">
        <v>45271</v>
      </c>
      <c r="B894" s="80" t="n">
        <v>2</v>
      </c>
    </row>
    <row r="895" customFormat="false" ht="15" hidden="false" customHeight="false" outlineLevel="0" collapsed="false">
      <c r="A895" s="79" t="n">
        <v>45272</v>
      </c>
      <c r="B895" s="80" t="n">
        <v>1</v>
      </c>
    </row>
    <row r="896" customFormat="false" ht="15" hidden="false" customHeight="false" outlineLevel="0" collapsed="false">
      <c r="A896" s="79" t="n">
        <v>45273</v>
      </c>
      <c r="B896" s="80" t="n">
        <v>2</v>
      </c>
    </row>
    <row r="897" customFormat="false" ht="15" hidden="false" customHeight="false" outlineLevel="0" collapsed="false">
      <c r="A897" s="79" t="n">
        <v>45274</v>
      </c>
      <c r="B897" s="80" t="n">
        <v>18</v>
      </c>
    </row>
    <row r="898" customFormat="false" ht="15" hidden="false" customHeight="false" outlineLevel="0" collapsed="false">
      <c r="A898" s="79" t="n">
        <v>45275</v>
      </c>
      <c r="B898" s="80" t="n">
        <v>8</v>
      </c>
    </row>
    <row r="899" customFormat="false" ht="15" hidden="false" customHeight="false" outlineLevel="0" collapsed="false">
      <c r="A899" s="79" t="n">
        <v>45276</v>
      </c>
      <c r="B899" s="80" t="n">
        <v>15</v>
      </c>
    </row>
    <row r="900" customFormat="false" ht="15" hidden="false" customHeight="false" outlineLevel="0" collapsed="false">
      <c r="A900" s="79" t="n">
        <v>45277</v>
      </c>
      <c r="B900" s="80" t="n">
        <v>3</v>
      </c>
    </row>
    <row r="901" customFormat="false" ht="15" hidden="false" customHeight="false" outlineLevel="0" collapsed="false">
      <c r="A901" s="79" t="n">
        <v>45278</v>
      </c>
      <c r="B901" s="80" t="n">
        <v>9</v>
      </c>
    </row>
    <row r="902" customFormat="false" ht="15" hidden="false" customHeight="false" outlineLevel="0" collapsed="false">
      <c r="A902" s="79" t="n">
        <v>45279</v>
      </c>
      <c r="B902" s="80" t="n">
        <v>12</v>
      </c>
    </row>
    <row r="903" customFormat="false" ht="15" hidden="false" customHeight="false" outlineLevel="0" collapsed="false">
      <c r="A903" s="79" t="n">
        <v>45280</v>
      </c>
      <c r="B903" s="80" t="n">
        <v>17</v>
      </c>
    </row>
    <row r="904" customFormat="false" ht="15" hidden="false" customHeight="false" outlineLevel="0" collapsed="false">
      <c r="A904" s="79" t="n">
        <v>45281</v>
      </c>
      <c r="B904" s="80" t="n">
        <v>20</v>
      </c>
    </row>
    <row r="905" customFormat="false" ht="15" hidden="false" customHeight="false" outlineLevel="0" collapsed="false">
      <c r="A905" s="79" t="n">
        <v>45282</v>
      </c>
      <c r="B905" s="80" t="n">
        <v>17</v>
      </c>
    </row>
    <row r="906" customFormat="false" ht="15" hidden="false" customHeight="false" outlineLevel="0" collapsed="false">
      <c r="A906" s="79" t="n">
        <v>45283</v>
      </c>
      <c r="B906" s="80" t="n">
        <v>11</v>
      </c>
    </row>
    <row r="907" customFormat="false" ht="15" hidden="false" customHeight="false" outlineLevel="0" collapsed="false">
      <c r="A907" s="79" t="n">
        <v>45284</v>
      </c>
      <c r="B907" s="80" t="n">
        <v>18</v>
      </c>
    </row>
    <row r="908" customFormat="false" ht="15" hidden="false" customHeight="false" outlineLevel="0" collapsed="false">
      <c r="A908" s="79" t="n">
        <v>45285</v>
      </c>
      <c r="B908" s="80" t="n">
        <v>15</v>
      </c>
    </row>
    <row r="909" customFormat="false" ht="15" hidden="false" customHeight="false" outlineLevel="0" collapsed="false">
      <c r="A909" s="79" t="n">
        <v>45286</v>
      </c>
      <c r="B909" s="80" t="n">
        <v>11</v>
      </c>
    </row>
    <row r="910" customFormat="false" ht="15" hidden="false" customHeight="false" outlineLevel="0" collapsed="false">
      <c r="A910" s="79" t="n">
        <v>45287</v>
      </c>
      <c r="B910" s="80" t="n">
        <v>11</v>
      </c>
    </row>
    <row r="911" customFormat="false" ht="15" hidden="false" customHeight="false" outlineLevel="0" collapsed="false">
      <c r="A911" s="79" t="n">
        <v>45288</v>
      </c>
      <c r="B911" s="80" t="n">
        <v>12</v>
      </c>
    </row>
    <row r="912" customFormat="false" ht="15" hidden="false" customHeight="false" outlineLevel="0" collapsed="false">
      <c r="A912" s="79" t="n">
        <v>45289</v>
      </c>
      <c r="B912" s="80" t="n">
        <v>15</v>
      </c>
    </row>
    <row r="913" customFormat="false" ht="15" hidden="false" customHeight="false" outlineLevel="0" collapsed="false">
      <c r="A913" s="79" t="n">
        <v>45290</v>
      </c>
      <c r="B913" s="80" t="n">
        <v>38</v>
      </c>
    </row>
    <row r="914" customFormat="false" ht="15" hidden="false" customHeight="false" outlineLevel="0" collapsed="false">
      <c r="A914" s="79" t="n">
        <v>45291</v>
      </c>
      <c r="B914" s="80" t="n">
        <v>18</v>
      </c>
    </row>
    <row r="915" customFormat="false" ht="15" hidden="false" customHeight="false" outlineLevel="0" collapsed="false">
      <c r="A915" s="79" t="n">
        <v>45292</v>
      </c>
      <c r="B915" s="80" t="n">
        <v>57</v>
      </c>
    </row>
    <row r="916" customFormat="false" ht="15" hidden="false" customHeight="false" outlineLevel="0" collapsed="false">
      <c r="A916" s="79" t="n">
        <v>45293</v>
      </c>
      <c r="B916" s="80" t="n">
        <v>101</v>
      </c>
    </row>
    <row r="917" customFormat="false" ht="15" hidden="false" customHeight="false" outlineLevel="0" collapsed="false">
      <c r="A917" s="79" t="n">
        <v>45294</v>
      </c>
      <c r="B917" s="80" t="n">
        <v>19</v>
      </c>
    </row>
    <row r="918" customFormat="false" ht="15" hidden="false" customHeight="false" outlineLevel="0" collapsed="false">
      <c r="A918" s="79" t="n">
        <v>45295</v>
      </c>
      <c r="B918" s="80" t="n">
        <v>21</v>
      </c>
    </row>
    <row r="919" customFormat="false" ht="15" hidden="false" customHeight="false" outlineLevel="0" collapsed="false">
      <c r="A919" s="79" t="n">
        <v>45296</v>
      </c>
      <c r="B919" s="80" t="n">
        <v>57</v>
      </c>
    </row>
    <row r="920" customFormat="false" ht="15" hidden="false" customHeight="false" outlineLevel="0" collapsed="false">
      <c r="A920" s="79" t="n">
        <v>45297</v>
      </c>
      <c r="B920" s="80" t="n">
        <v>28</v>
      </c>
    </row>
    <row r="921" customFormat="false" ht="15" hidden="false" customHeight="false" outlineLevel="0" collapsed="false">
      <c r="A921" s="79" t="n">
        <v>45298</v>
      </c>
      <c r="B921" s="80" t="n">
        <v>121</v>
      </c>
    </row>
    <row r="922" customFormat="false" ht="15" hidden="false" customHeight="false" outlineLevel="0" collapsed="false">
      <c r="A922" s="79" t="n">
        <v>45299</v>
      </c>
      <c r="B922" s="80" t="n">
        <v>9</v>
      </c>
    </row>
    <row r="923" customFormat="false" ht="15" hidden="false" customHeight="false" outlineLevel="0" collapsed="false">
      <c r="A923" s="79" t="n">
        <v>45300</v>
      </c>
      <c r="B923" s="80" t="n">
        <v>11</v>
      </c>
    </row>
    <row r="924" customFormat="false" ht="15" hidden="false" customHeight="false" outlineLevel="0" collapsed="false">
      <c r="A924" s="79" t="n">
        <v>45301</v>
      </c>
      <c r="B924" s="80" t="n">
        <v>17</v>
      </c>
    </row>
    <row r="925" customFormat="false" ht="15" hidden="false" customHeight="false" outlineLevel="0" collapsed="false">
      <c r="A925" s="79" t="n">
        <v>45302</v>
      </c>
      <c r="B925" s="80" t="n">
        <v>15</v>
      </c>
    </row>
    <row r="926" customFormat="false" ht="15" hidden="false" customHeight="false" outlineLevel="0" collapsed="false">
      <c r="A926" s="79" t="n">
        <v>45303</v>
      </c>
      <c r="B926" s="80" t="n">
        <v>18</v>
      </c>
    </row>
    <row r="927" customFormat="false" ht="15" hidden="false" customHeight="false" outlineLevel="0" collapsed="false">
      <c r="A927" s="79" t="n">
        <v>45304</v>
      </c>
      <c r="B927" s="80" t="n">
        <v>76</v>
      </c>
    </row>
    <row r="928" customFormat="false" ht="15" hidden="false" customHeight="false" outlineLevel="0" collapsed="false">
      <c r="A928" s="79" t="n">
        <v>45305</v>
      </c>
      <c r="B928" s="80" t="n">
        <v>18</v>
      </c>
    </row>
    <row r="929" customFormat="false" ht="15" hidden="false" customHeight="false" outlineLevel="0" collapsed="false">
      <c r="A929" s="79" t="n">
        <v>45306</v>
      </c>
      <c r="B929" s="80" t="n">
        <v>29</v>
      </c>
    </row>
    <row r="930" customFormat="false" ht="15" hidden="false" customHeight="false" outlineLevel="0" collapsed="false">
      <c r="A930" s="79" t="n">
        <v>45307</v>
      </c>
      <c r="B930" s="80" t="n">
        <v>24</v>
      </c>
    </row>
    <row r="931" customFormat="false" ht="15" hidden="false" customHeight="false" outlineLevel="0" collapsed="false">
      <c r="A931" s="79" t="n">
        <v>45308</v>
      </c>
      <c r="B931" s="80" t="n">
        <v>37</v>
      </c>
    </row>
    <row r="932" customFormat="false" ht="15" hidden="false" customHeight="false" outlineLevel="0" collapsed="false">
      <c r="A932" s="79" t="n">
        <v>45309</v>
      </c>
      <c r="B932" s="80" t="n">
        <v>17</v>
      </c>
    </row>
    <row r="933" customFormat="false" ht="15" hidden="false" customHeight="false" outlineLevel="0" collapsed="false">
      <c r="A933" s="79" t="n">
        <v>45310</v>
      </c>
      <c r="B933" s="80" t="n">
        <v>19</v>
      </c>
    </row>
    <row r="934" customFormat="false" ht="15" hidden="false" customHeight="false" outlineLevel="0" collapsed="false">
      <c r="A934" s="79" t="n">
        <v>45311</v>
      </c>
      <c r="B934" s="80" t="n">
        <v>19</v>
      </c>
    </row>
    <row r="935" customFormat="false" ht="15" hidden="false" customHeight="false" outlineLevel="0" collapsed="false">
      <c r="A935" s="79" t="n">
        <v>45312</v>
      </c>
      <c r="B935" s="80" t="n">
        <v>11</v>
      </c>
    </row>
    <row r="936" customFormat="false" ht="15" hidden="false" customHeight="false" outlineLevel="0" collapsed="false">
      <c r="A936" s="79" t="n">
        <v>45313</v>
      </c>
      <c r="B936" s="80" t="n">
        <v>21</v>
      </c>
    </row>
    <row r="937" customFormat="false" ht="15" hidden="false" customHeight="false" outlineLevel="0" collapsed="false">
      <c r="A937" s="79" t="n">
        <v>45314</v>
      </c>
      <c r="B937" s="80" t="n">
        <v>16</v>
      </c>
    </row>
    <row r="938" customFormat="false" ht="15" hidden="false" customHeight="false" outlineLevel="0" collapsed="false">
      <c r="A938" s="79" t="n">
        <v>45315</v>
      </c>
      <c r="B938" s="80" t="n">
        <v>8</v>
      </c>
    </row>
    <row r="939" customFormat="false" ht="15" hidden="false" customHeight="false" outlineLevel="0" collapsed="false">
      <c r="A939" s="79" t="n">
        <v>45316</v>
      </c>
      <c r="B939" s="80" t="n">
        <v>10</v>
      </c>
    </row>
    <row r="940" customFormat="false" ht="15" hidden="false" customHeight="false" outlineLevel="0" collapsed="false">
      <c r="A940" s="79" t="n">
        <v>45317</v>
      </c>
      <c r="B940" s="80" t="n">
        <v>13</v>
      </c>
    </row>
    <row r="941" customFormat="false" ht="15" hidden="false" customHeight="false" outlineLevel="0" collapsed="false">
      <c r="A941" s="79" t="n">
        <v>45318</v>
      </c>
      <c r="B941" s="80" t="n">
        <v>30</v>
      </c>
    </row>
    <row r="942" customFormat="false" ht="15" hidden="false" customHeight="false" outlineLevel="0" collapsed="false">
      <c r="A942" s="79" t="n">
        <v>45319</v>
      </c>
      <c r="B942" s="80" t="n">
        <v>52</v>
      </c>
    </row>
    <row r="943" customFormat="false" ht="15" hidden="false" customHeight="false" outlineLevel="0" collapsed="false">
      <c r="A943" s="79" t="n">
        <v>45320</v>
      </c>
      <c r="B943" s="80" t="n">
        <v>57</v>
      </c>
    </row>
    <row r="944" customFormat="false" ht="15" hidden="false" customHeight="false" outlineLevel="0" collapsed="false">
      <c r="A944" s="79" t="n">
        <v>45321</v>
      </c>
      <c r="B944" s="80" t="n">
        <v>42</v>
      </c>
    </row>
    <row r="945" customFormat="false" ht="15" hidden="false" customHeight="false" outlineLevel="0" collapsed="false">
      <c r="A945" s="79" t="n">
        <v>45322</v>
      </c>
      <c r="B945" s="80" t="n">
        <v>60</v>
      </c>
    </row>
    <row r="946" customFormat="false" ht="15" hidden="false" customHeight="false" outlineLevel="0" collapsed="false">
      <c r="A946" s="79" t="n">
        <v>45323</v>
      </c>
      <c r="B946" s="80" t="n">
        <v>96</v>
      </c>
    </row>
    <row r="947" customFormat="false" ht="15" hidden="false" customHeight="false" outlineLevel="0" collapsed="false">
      <c r="A947" s="79" t="n">
        <v>45324</v>
      </c>
      <c r="B947" s="80" t="n">
        <v>54</v>
      </c>
    </row>
    <row r="948" customFormat="false" ht="15" hidden="false" customHeight="false" outlineLevel="0" collapsed="false">
      <c r="A948" s="79" t="n">
        <v>45325</v>
      </c>
      <c r="B948" s="80" t="n">
        <v>96</v>
      </c>
    </row>
    <row r="949" customFormat="false" ht="15" hidden="false" customHeight="false" outlineLevel="0" collapsed="false">
      <c r="A949" s="79" t="n">
        <v>45326</v>
      </c>
      <c r="B949" s="80" t="n">
        <v>51</v>
      </c>
    </row>
    <row r="950" customFormat="false" ht="15" hidden="false" customHeight="false" outlineLevel="0" collapsed="false">
      <c r="A950" s="79" t="n">
        <v>45327</v>
      </c>
      <c r="B950" s="80" t="n">
        <v>33</v>
      </c>
    </row>
    <row r="951" customFormat="false" ht="15" hidden="false" customHeight="false" outlineLevel="0" collapsed="false">
      <c r="A951" s="79" t="n">
        <v>45328</v>
      </c>
      <c r="B951" s="80" t="n">
        <v>15</v>
      </c>
    </row>
    <row r="952" customFormat="false" ht="15" hidden="false" customHeight="false" outlineLevel="0" collapsed="false">
      <c r="A952" s="79" t="n">
        <v>45329</v>
      </c>
      <c r="B952" s="80" t="n">
        <v>57</v>
      </c>
    </row>
    <row r="953" customFormat="false" ht="15" hidden="false" customHeight="false" outlineLevel="0" collapsed="false">
      <c r="A953" s="79" t="n">
        <v>45330</v>
      </c>
      <c r="B953" s="80" t="n">
        <v>103</v>
      </c>
    </row>
    <row r="954" customFormat="false" ht="15" hidden="false" customHeight="false" outlineLevel="0" collapsed="false">
      <c r="A954" s="79" t="n">
        <v>45331</v>
      </c>
      <c r="B954" s="80" t="n">
        <v>55</v>
      </c>
    </row>
    <row r="955" customFormat="false" ht="15" hidden="false" customHeight="false" outlineLevel="0" collapsed="false">
      <c r="A955" s="79" t="n">
        <v>45332</v>
      </c>
      <c r="B955" s="80" t="n">
        <v>76</v>
      </c>
    </row>
    <row r="956" customFormat="false" ht="15" hidden="false" customHeight="false" outlineLevel="0" collapsed="false">
      <c r="A956" s="79" t="n">
        <v>45333</v>
      </c>
      <c r="B956" s="80" t="n">
        <v>161</v>
      </c>
    </row>
    <row r="957" customFormat="false" ht="15" hidden="false" customHeight="false" outlineLevel="0" collapsed="false">
      <c r="A957" s="79" t="n">
        <v>45334</v>
      </c>
      <c r="B957" s="80" t="n">
        <v>77</v>
      </c>
    </row>
    <row r="958" customFormat="false" ht="15" hidden="false" customHeight="false" outlineLevel="0" collapsed="false">
      <c r="A958" s="79" t="n">
        <v>45335</v>
      </c>
      <c r="B958" s="80" t="n">
        <v>90</v>
      </c>
    </row>
    <row r="959" customFormat="false" ht="15" hidden="false" customHeight="false" outlineLevel="0" collapsed="false">
      <c r="A959" s="79" t="n">
        <v>45336</v>
      </c>
      <c r="B959" s="80" t="n">
        <v>67</v>
      </c>
    </row>
    <row r="960" customFormat="false" ht="15" hidden="false" customHeight="false" outlineLevel="0" collapsed="false">
      <c r="A960" s="79" t="n">
        <v>45337</v>
      </c>
      <c r="B960" s="80" t="n">
        <v>65</v>
      </c>
    </row>
    <row r="961" customFormat="false" ht="15" hidden="false" customHeight="false" outlineLevel="0" collapsed="false">
      <c r="A961" s="79" t="n">
        <v>45338</v>
      </c>
      <c r="B961" s="80" t="n">
        <v>34</v>
      </c>
    </row>
    <row r="962" customFormat="false" ht="15" hidden="false" customHeight="false" outlineLevel="0" collapsed="false">
      <c r="A962" s="79" t="n">
        <v>45339</v>
      </c>
      <c r="B962" s="80" t="n">
        <v>37</v>
      </c>
    </row>
    <row r="963" customFormat="false" ht="15" hidden="false" customHeight="false" outlineLevel="0" collapsed="false">
      <c r="A963" s="79" t="n">
        <v>45340</v>
      </c>
      <c r="B963" s="80" t="n">
        <v>68</v>
      </c>
    </row>
    <row r="964" customFormat="false" ht="15" hidden="false" customHeight="false" outlineLevel="0" collapsed="false">
      <c r="A964" s="79" t="n">
        <v>45341</v>
      </c>
      <c r="B964" s="80" t="n">
        <v>76</v>
      </c>
    </row>
    <row r="965" customFormat="false" ht="15" hidden="false" customHeight="false" outlineLevel="0" collapsed="false">
      <c r="A965" s="79" t="n">
        <v>45342</v>
      </c>
      <c r="B965" s="80" t="n">
        <v>96</v>
      </c>
    </row>
    <row r="966" customFormat="false" ht="15" hidden="false" customHeight="false" outlineLevel="0" collapsed="false">
      <c r="A966" s="79" t="n">
        <v>45343</v>
      </c>
      <c r="B966" s="80" t="n">
        <v>158</v>
      </c>
    </row>
    <row r="967" customFormat="false" ht="15" hidden="false" customHeight="false" outlineLevel="0" collapsed="false">
      <c r="A967" s="79" t="n">
        <v>45344</v>
      </c>
      <c r="B967" s="80" t="n">
        <v>126</v>
      </c>
    </row>
    <row r="968" customFormat="false" ht="15" hidden="false" customHeight="false" outlineLevel="0" collapsed="false">
      <c r="A968" s="79" t="n">
        <v>45345</v>
      </c>
      <c r="B968" s="80" t="n">
        <v>88</v>
      </c>
    </row>
    <row r="969" customFormat="false" ht="15" hidden="false" customHeight="false" outlineLevel="0" collapsed="false">
      <c r="A969" s="79" t="n">
        <v>45346</v>
      </c>
      <c r="B969" s="80" t="n">
        <v>111</v>
      </c>
    </row>
    <row r="970" customFormat="false" ht="15" hidden="false" customHeight="false" outlineLevel="0" collapsed="false">
      <c r="A970" s="79" t="n">
        <v>45347</v>
      </c>
      <c r="B970" s="80" t="n">
        <v>142</v>
      </c>
    </row>
    <row r="971" customFormat="false" ht="15" hidden="false" customHeight="false" outlineLevel="0" collapsed="false">
      <c r="A971" s="79" t="n">
        <v>45348</v>
      </c>
      <c r="B971" s="80" t="n">
        <v>74</v>
      </c>
    </row>
    <row r="972" customFormat="false" ht="15" hidden="false" customHeight="false" outlineLevel="0" collapsed="false">
      <c r="A972" s="79" t="n">
        <v>45349</v>
      </c>
      <c r="B972" s="80" t="n">
        <v>104</v>
      </c>
    </row>
    <row r="973" customFormat="false" ht="15" hidden="false" customHeight="false" outlineLevel="0" collapsed="false">
      <c r="A973" s="79" t="n">
        <v>45350</v>
      </c>
      <c r="B973" s="80" t="n">
        <v>133</v>
      </c>
    </row>
    <row r="974" customFormat="false" ht="15" hidden="false" customHeight="false" outlineLevel="0" collapsed="false">
      <c r="A974" s="79" t="n">
        <v>45351</v>
      </c>
      <c r="B974" s="80" t="n">
        <v>67</v>
      </c>
    </row>
    <row r="975" customFormat="false" ht="15" hidden="false" customHeight="false" outlineLevel="0" collapsed="false">
      <c r="A975" s="79" t="n">
        <v>45352</v>
      </c>
      <c r="B975" s="80" t="n">
        <v>40</v>
      </c>
    </row>
    <row r="976" customFormat="false" ht="15" hidden="false" customHeight="false" outlineLevel="0" collapsed="false">
      <c r="A976" s="79" t="n">
        <v>45353</v>
      </c>
      <c r="B976" s="80" t="n">
        <v>94</v>
      </c>
    </row>
    <row r="977" customFormat="false" ht="15" hidden="false" customHeight="false" outlineLevel="0" collapsed="false">
      <c r="A977" s="79" t="n">
        <v>45354</v>
      </c>
      <c r="B977" s="80" t="n">
        <v>95</v>
      </c>
    </row>
    <row r="978" customFormat="false" ht="15" hidden="false" customHeight="false" outlineLevel="0" collapsed="false">
      <c r="A978" s="79" t="n">
        <v>45355</v>
      </c>
      <c r="B978" s="80" t="n">
        <v>112</v>
      </c>
    </row>
    <row r="979" customFormat="false" ht="15" hidden="false" customHeight="false" outlineLevel="0" collapsed="false">
      <c r="A979" s="79" t="n">
        <v>45356</v>
      </c>
      <c r="B979" s="80" t="n">
        <v>102</v>
      </c>
    </row>
    <row r="980" customFormat="false" ht="15" hidden="false" customHeight="false" outlineLevel="0" collapsed="false">
      <c r="A980" s="79" t="n">
        <v>45357</v>
      </c>
      <c r="B980" s="80" t="n">
        <v>82</v>
      </c>
    </row>
    <row r="981" customFormat="false" ht="15" hidden="false" customHeight="false" outlineLevel="0" collapsed="false">
      <c r="A981" s="79" t="n">
        <v>45358</v>
      </c>
      <c r="B981" s="80" t="n">
        <v>90</v>
      </c>
    </row>
    <row r="982" customFormat="false" ht="15" hidden="false" customHeight="false" outlineLevel="0" collapsed="false">
      <c r="A982" s="79" t="n">
        <v>45359</v>
      </c>
      <c r="B982" s="80" t="n">
        <v>110</v>
      </c>
    </row>
    <row r="983" customFormat="false" ht="15" hidden="false" customHeight="false" outlineLevel="0" collapsed="false">
      <c r="A983" s="79" t="n">
        <v>45360</v>
      </c>
      <c r="B983" s="80" t="n">
        <v>111</v>
      </c>
    </row>
    <row r="984" customFormat="false" ht="15" hidden="false" customHeight="false" outlineLevel="0" collapsed="false">
      <c r="A984" s="79" t="n">
        <v>45361</v>
      </c>
      <c r="B984" s="80" t="n">
        <v>141</v>
      </c>
    </row>
    <row r="985" customFormat="false" ht="15" hidden="false" customHeight="false" outlineLevel="0" collapsed="false">
      <c r="A985" s="79" t="n">
        <v>45362</v>
      </c>
      <c r="B985" s="80" t="n">
        <v>140</v>
      </c>
    </row>
    <row r="986" customFormat="false" ht="15" hidden="false" customHeight="false" outlineLevel="0" collapsed="false">
      <c r="A986" s="79" t="n">
        <v>45363</v>
      </c>
      <c r="B986" s="80" t="n">
        <v>222</v>
      </c>
    </row>
    <row r="987" customFormat="false" ht="15" hidden="false" customHeight="false" outlineLevel="0" collapsed="false">
      <c r="A987" s="79" t="n">
        <v>45364</v>
      </c>
      <c r="B987" s="80" t="n">
        <v>214</v>
      </c>
    </row>
    <row r="988" customFormat="false" ht="15" hidden="false" customHeight="false" outlineLevel="0" collapsed="false">
      <c r="A988" s="79" t="n">
        <v>45365</v>
      </c>
      <c r="B988" s="80" t="n">
        <v>176</v>
      </c>
    </row>
    <row r="989" customFormat="false" ht="15" hidden="false" customHeight="false" outlineLevel="0" collapsed="false">
      <c r="A989" s="79" t="n">
        <v>45366</v>
      </c>
      <c r="B989" s="80" t="n">
        <v>244</v>
      </c>
    </row>
    <row r="990" customFormat="false" ht="15" hidden="false" customHeight="false" outlineLevel="0" collapsed="false">
      <c r="A990" s="79" t="n">
        <v>45367</v>
      </c>
      <c r="B990" s="80" t="n">
        <v>251</v>
      </c>
    </row>
    <row r="991" customFormat="false" ht="15" hidden="false" customHeight="false" outlineLevel="0" collapsed="false">
      <c r="A991" s="79" t="n">
        <v>45368</v>
      </c>
      <c r="B991" s="80" t="n">
        <v>80</v>
      </c>
    </row>
    <row r="992" customFormat="false" ht="15" hidden="false" customHeight="false" outlineLevel="0" collapsed="false">
      <c r="A992" s="79" t="n">
        <v>45369</v>
      </c>
      <c r="B992" s="80" t="n">
        <v>127</v>
      </c>
    </row>
    <row r="993" customFormat="false" ht="15" hidden="false" customHeight="false" outlineLevel="0" collapsed="false">
      <c r="A993" s="79" t="n">
        <v>45370</v>
      </c>
      <c r="B993" s="80" t="n">
        <v>408</v>
      </c>
    </row>
    <row r="994" customFormat="false" ht="15" hidden="false" customHeight="false" outlineLevel="0" collapsed="false">
      <c r="A994" s="79" t="n">
        <v>45371</v>
      </c>
      <c r="B994" s="80" t="n">
        <v>177</v>
      </c>
    </row>
    <row r="995" customFormat="false" ht="15" hidden="false" customHeight="false" outlineLevel="0" collapsed="false">
      <c r="A995" s="79" t="n">
        <v>45372</v>
      </c>
      <c r="B995" s="80" t="n">
        <v>138</v>
      </c>
    </row>
    <row r="996" customFormat="false" ht="15" hidden="false" customHeight="false" outlineLevel="0" collapsed="false">
      <c r="A996" s="79" t="n">
        <v>45373</v>
      </c>
      <c r="B996" s="80" t="n">
        <v>157</v>
      </c>
    </row>
    <row r="997" customFormat="false" ht="15" hidden="false" customHeight="false" outlineLevel="0" collapsed="false">
      <c r="A997" s="79" t="n">
        <v>45374</v>
      </c>
      <c r="B997" s="80" t="n">
        <v>166</v>
      </c>
    </row>
    <row r="998" customFormat="false" ht="15" hidden="false" customHeight="false" outlineLevel="0" collapsed="false">
      <c r="A998" s="79" t="n">
        <v>45375</v>
      </c>
      <c r="B998" s="80" t="n">
        <v>111</v>
      </c>
    </row>
    <row r="999" customFormat="false" ht="15" hidden="false" customHeight="false" outlineLevel="0" collapsed="false">
      <c r="A999" s="79" t="n">
        <v>45376</v>
      </c>
      <c r="B999" s="80" t="n">
        <v>83</v>
      </c>
    </row>
    <row r="1000" customFormat="false" ht="15" hidden="false" customHeight="false" outlineLevel="0" collapsed="false">
      <c r="A1000" s="79" t="n">
        <v>45377</v>
      </c>
      <c r="B1000" s="80" t="n">
        <v>105</v>
      </c>
    </row>
    <row r="1001" customFormat="false" ht="15" hidden="false" customHeight="false" outlineLevel="0" collapsed="false">
      <c r="A1001" s="79" t="n">
        <v>45378</v>
      </c>
      <c r="B1001" s="80" t="n">
        <v>127</v>
      </c>
    </row>
    <row r="1002" customFormat="false" ht="15" hidden="false" customHeight="false" outlineLevel="0" collapsed="false">
      <c r="A1002" s="79" t="n">
        <v>45379</v>
      </c>
      <c r="B1002" s="80" t="n">
        <v>137</v>
      </c>
    </row>
    <row r="1003" customFormat="false" ht="15" hidden="false" customHeight="false" outlineLevel="0" collapsed="false">
      <c r="A1003" s="79" t="n">
        <v>45380</v>
      </c>
      <c r="B1003" s="80" t="n">
        <v>125</v>
      </c>
    </row>
    <row r="1004" customFormat="false" ht="15" hidden="false" customHeight="false" outlineLevel="0" collapsed="false">
      <c r="A1004" s="79" t="n">
        <v>45381</v>
      </c>
      <c r="B1004" s="80" t="n">
        <v>195</v>
      </c>
    </row>
    <row r="1005" customFormat="false" ht="15" hidden="false" customHeight="false" outlineLevel="0" collapsed="false">
      <c r="A1005" s="79" t="n">
        <v>45382</v>
      </c>
      <c r="B1005" s="80" t="n">
        <v>247</v>
      </c>
    </row>
    <row r="1006" customFormat="false" ht="15" hidden="false" customHeight="false" outlineLevel="0" collapsed="false">
      <c r="A1006" s="79" t="n">
        <v>45383</v>
      </c>
      <c r="B1006" s="80" t="n">
        <v>183</v>
      </c>
    </row>
    <row r="1007" customFormat="false" ht="15" hidden="false" customHeight="false" outlineLevel="0" collapsed="false">
      <c r="A1007" s="79" t="n">
        <v>45384</v>
      </c>
      <c r="B1007" s="80" t="n">
        <v>39</v>
      </c>
    </row>
    <row r="1008" customFormat="false" ht="15" hidden="false" customHeight="false" outlineLevel="0" collapsed="false">
      <c r="A1008" s="79" t="n">
        <v>45385</v>
      </c>
      <c r="B1008" s="80" t="n">
        <v>47</v>
      </c>
    </row>
    <row r="1009" customFormat="false" ht="15" hidden="false" customHeight="false" outlineLevel="0" collapsed="false">
      <c r="A1009" s="79" t="n">
        <v>45386</v>
      </c>
      <c r="B1009" s="80" t="n">
        <v>16</v>
      </c>
    </row>
    <row r="1010" customFormat="false" ht="15" hidden="false" customHeight="false" outlineLevel="0" collapsed="false">
      <c r="A1010" s="79" t="n">
        <v>45387</v>
      </c>
      <c r="B1010" s="80" t="n">
        <v>29</v>
      </c>
    </row>
    <row r="1011" customFormat="false" ht="15" hidden="false" customHeight="false" outlineLevel="0" collapsed="false">
      <c r="A1011" s="79" t="n">
        <v>45388</v>
      </c>
      <c r="B1011" s="80" t="n">
        <v>23</v>
      </c>
    </row>
    <row r="1012" customFormat="false" ht="15" hidden="false" customHeight="false" outlineLevel="0" collapsed="false">
      <c r="A1012" s="79" t="n">
        <v>45389</v>
      </c>
      <c r="B1012" s="80" t="n">
        <v>10</v>
      </c>
    </row>
    <row r="1013" customFormat="false" ht="15" hidden="false" customHeight="false" outlineLevel="0" collapsed="false">
      <c r="A1013" s="79" t="n">
        <v>45390</v>
      </c>
      <c r="B1013" s="80" t="n">
        <v>7</v>
      </c>
    </row>
    <row r="1014" customFormat="false" ht="15" hidden="false" customHeight="false" outlineLevel="0" collapsed="false">
      <c r="A1014" s="79" t="n">
        <v>45391</v>
      </c>
      <c r="B1014" s="80" t="n">
        <v>4</v>
      </c>
    </row>
    <row r="1015" customFormat="false" ht="15" hidden="false" customHeight="false" outlineLevel="0" collapsed="false">
      <c r="A1015" s="79" t="n">
        <v>45392</v>
      </c>
      <c r="B1015" s="80" t="n">
        <v>8</v>
      </c>
    </row>
    <row r="1016" customFormat="false" ht="15" hidden="false" customHeight="false" outlineLevel="0" collapsed="false">
      <c r="A1016" s="79" t="n">
        <v>45393</v>
      </c>
      <c r="B1016" s="80" t="n">
        <v>7</v>
      </c>
    </row>
    <row r="1017" customFormat="false" ht="15" hidden="false" customHeight="false" outlineLevel="0" collapsed="false">
      <c r="A1017" s="79" t="n">
        <v>45394</v>
      </c>
      <c r="B1017" s="80" t="n">
        <v>11</v>
      </c>
    </row>
    <row r="1018" customFormat="false" ht="15" hidden="false" customHeight="false" outlineLevel="0" collapsed="false">
      <c r="A1018" s="79" t="n">
        <v>45395</v>
      </c>
      <c r="B1018" s="80" t="n">
        <v>9</v>
      </c>
    </row>
    <row r="1019" customFormat="false" ht="15" hidden="false" customHeight="false" outlineLevel="0" collapsed="false">
      <c r="A1019" s="79" t="n">
        <v>45396</v>
      </c>
      <c r="B1019" s="80" t="n">
        <v>6</v>
      </c>
    </row>
    <row r="1020" customFormat="false" ht="15" hidden="false" customHeight="false" outlineLevel="0" collapsed="false">
      <c r="A1020" s="79" t="n">
        <v>45397</v>
      </c>
      <c r="B1020" s="80" t="n">
        <v>10</v>
      </c>
    </row>
    <row r="1021" customFormat="false" ht="15" hidden="false" customHeight="false" outlineLevel="0" collapsed="false">
      <c r="A1021" s="79" t="n">
        <v>45398</v>
      </c>
      <c r="B1021" s="80" t="n">
        <v>8</v>
      </c>
    </row>
    <row r="1022" customFormat="false" ht="15" hidden="false" customHeight="false" outlineLevel="0" collapsed="false">
      <c r="A1022" s="79" t="n">
        <v>45399</v>
      </c>
      <c r="B1022" s="80" t="n">
        <v>10</v>
      </c>
    </row>
    <row r="1023" customFormat="false" ht="15" hidden="false" customHeight="false" outlineLevel="0" collapsed="false">
      <c r="A1023" s="79" t="n">
        <v>45400</v>
      </c>
      <c r="B1023" s="80" t="n">
        <v>13</v>
      </c>
    </row>
    <row r="1024" customFormat="false" ht="15" hidden="false" customHeight="false" outlineLevel="0" collapsed="false">
      <c r="A1024" s="79" t="n">
        <v>45401</v>
      </c>
      <c r="B1024" s="80" t="n">
        <v>3</v>
      </c>
    </row>
    <row r="1025" customFormat="false" ht="15" hidden="false" customHeight="false" outlineLevel="0" collapsed="false">
      <c r="A1025" s="79" t="n">
        <v>45402</v>
      </c>
      <c r="B1025" s="80" t="n">
        <v>24</v>
      </c>
    </row>
    <row r="1026" customFormat="false" ht="15" hidden="false" customHeight="false" outlineLevel="0" collapsed="false">
      <c r="A1026" s="79" t="n">
        <v>45403</v>
      </c>
      <c r="B1026" s="80" t="n">
        <v>18</v>
      </c>
    </row>
    <row r="1027" customFormat="false" ht="15" hidden="false" customHeight="false" outlineLevel="0" collapsed="false">
      <c r="A1027" s="79" t="n">
        <v>45404</v>
      </c>
      <c r="B1027" s="80" t="n">
        <v>7</v>
      </c>
    </row>
    <row r="1028" customFormat="false" ht="15" hidden="false" customHeight="false" outlineLevel="0" collapsed="false">
      <c r="A1028" s="79" t="n">
        <v>45405</v>
      </c>
      <c r="B1028" s="80" t="n">
        <v>5</v>
      </c>
    </row>
    <row r="1029" customFormat="false" ht="15" hidden="false" customHeight="false" outlineLevel="0" collapsed="false">
      <c r="A1029" s="79" t="n">
        <v>45406</v>
      </c>
      <c r="B1029" s="80" t="n">
        <v>6</v>
      </c>
    </row>
    <row r="1030" customFormat="false" ht="15" hidden="false" customHeight="false" outlineLevel="0" collapsed="false">
      <c r="A1030" s="79" t="n">
        <v>45407</v>
      </c>
      <c r="B1030" s="80" t="n">
        <v>2</v>
      </c>
    </row>
    <row r="1031" customFormat="false" ht="15" hidden="false" customHeight="false" outlineLevel="0" collapsed="false">
      <c r="A1031" s="79" t="n">
        <v>45408</v>
      </c>
      <c r="B1031" s="80" t="n">
        <v>2</v>
      </c>
    </row>
    <row r="1032" customFormat="false" ht="15" hidden="false" customHeight="false" outlineLevel="0" collapsed="false">
      <c r="A1032" s="79" t="n">
        <v>45409</v>
      </c>
      <c r="B1032" s="80" t="n">
        <v>1</v>
      </c>
    </row>
    <row r="1033" customFormat="false" ht="15" hidden="false" customHeight="false" outlineLevel="0" collapsed="false">
      <c r="A1033" s="79" t="n">
        <v>45410</v>
      </c>
      <c r="B1033" s="80" t="n">
        <v>0</v>
      </c>
    </row>
    <row r="1034" customFormat="false" ht="15" hidden="false" customHeight="false" outlineLevel="0" collapsed="false">
      <c r="A1034" s="79" t="n">
        <v>45411</v>
      </c>
      <c r="B1034" s="80" t="n">
        <v>0</v>
      </c>
    </row>
    <row r="1035" customFormat="false" ht="15" hidden="false" customHeight="false" outlineLevel="0" collapsed="false">
      <c r="A1035" s="79" t="n">
        <v>45412</v>
      </c>
      <c r="B1035" s="80" t="n">
        <v>2</v>
      </c>
    </row>
    <row r="1036" customFormat="false" ht="15" hidden="false" customHeight="false" outlineLevel="0" collapsed="false">
      <c r="A1036" s="79" t="n">
        <v>45413</v>
      </c>
      <c r="B1036" s="80" t="n">
        <v>1</v>
      </c>
    </row>
    <row r="1037" customFormat="false" ht="15" hidden="false" customHeight="false" outlineLevel="0" collapsed="false">
      <c r="A1037" s="79" t="n">
        <v>45414</v>
      </c>
      <c r="B1037" s="80" t="n">
        <v>1</v>
      </c>
    </row>
    <row r="1038" customFormat="false" ht="15" hidden="false" customHeight="false" outlineLevel="0" collapsed="false">
      <c r="A1038" s="79" t="n">
        <v>45415</v>
      </c>
      <c r="B1038" s="80" t="n">
        <v>0</v>
      </c>
    </row>
    <row r="1039" customFormat="false" ht="15" hidden="false" customHeight="false" outlineLevel="0" collapsed="false">
      <c r="A1039" s="79" t="n">
        <v>45416</v>
      </c>
      <c r="B1039" s="80" t="n">
        <v>0</v>
      </c>
    </row>
    <row r="1040" customFormat="false" ht="15" hidden="false" customHeight="false" outlineLevel="0" collapsed="false">
      <c r="A1040" s="79" t="n">
        <v>45417</v>
      </c>
      <c r="B1040" s="80" t="n">
        <v>1</v>
      </c>
    </row>
    <row r="1041" customFormat="false" ht="15" hidden="false" customHeight="false" outlineLevel="0" collapsed="false">
      <c r="A1041" s="79" t="n">
        <v>45418</v>
      </c>
      <c r="B1041" s="80" t="n">
        <v>0</v>
      </c>
    </row>
    <row r="1042" customFormat="false" ht="15" hidden="false" customHeight="false" outlineLevel="0" collapsed="false">
      <c r="A1042" s="79" t="n">
        <v>45419</v>
      </c>
      <c r="B1042" s="80" t="n">
        <v>0</v>
      </c>
    </row>
    <row r="1043" customFormat="false" ht="15" hidden="false" customHeight="false" outlineLevel="0" collapsed="false">
      <c r="A1043" s="79" t="n">
        <v>45420</v>
      </c>
      <c r="B1043" s="80" t="n">
        <v>0</v>
      </c>
    </row>
    <row r="1044" customFormat="false" ht="15" hidden="false" customHeight="false" outlineLevel="0" collapsed="false">
      <c r="A1044" s="79" t="n">
        <v>45421</v>
      </c>
      <c r="B1044" s="80" t="n">
        <v>1</v>
      </c>
    </row>
    <row r="1045" customFormat="false" ht="15" hidden="false" customHeight="false" outlineLevel="0" collapsed="false">
      <c r="A1045" s="79" t="n">
        <v>45422</v>
      </c>
      <c r="B1045" s="80" t="n">
        <v>2</v>
      </c>
    </row>
    <row r="1046" customFormat="false" ht="15" hidden="false" customHeight="false" outlineLevel="0" collapsed="false">
      <c r="A1046" s="79" t="n">
        <v>45423</v>
      </c>
      <c r="B1046" s="80" t="n">
        <v>2</v>
      </c>
    </row>
    <row r="1047" customFormat="false" ht="15" hidden="false" customHeight="false" outlineLevel="0" collapsed="false">
      <c r="A1047" s="79" t="n">
        <v>45424</v>
      </c>
      <c r="B1047" s="80" t="n">
        <v>0</v>
      </c>
    </row>
    <row r="1048" customFormat="false" ht="15" hidden="false" customHeight="false" outlineLevel="0" collapsed="false">
      <c r="A1048" s="79" t="n">
        <v>45425</v>
      </c>
      <c r="B1048" s="80" t="n">
        <v>0</v>
      </c>
    </row>
    <row r="1049" customFormat="false" ht="15" hidden="false" customHeight="false" outlineLevel="0" collapsed="false">
      <c r="A1049" s="79" t="n">
        <v>45426</v>
      </c>
      <c r="B1049" s="80" t="n">
        <v>0</v>
      </c>
    </row>
    <row r="1050" customFormat="false" ht="15" hidden="false" customHeight="false" outlineLevel="0" collapsed="false">
      <c r="A1050" s="79" t="n">
        <v>45427</v>
      </c>
      <c r="B1050" s="80" t="n">
        <v>1</v>
      </c>
    </row>
    <row r="1051" customFormat="false" ht="15" hidden="false" customHeight="false" outlineLevel="0" collapsed="false">
      <c r="A1051" s="79" t="n">
        <v>45428</v>
      </c>
      <c r="B1051" s="80" t="n">
        <v>0</v>
      </c>
    </row>
    <row r="1052" customFormat="false" ht="15" hidden="false" customHeight="false" outlineLevel="0" collapsed="false">
      <c r="A1052" s="79" t="n">
        <v>45429</v>
      </c>
      <c r="B1052" s="80" t="n">
        <v>0</v>
      </c>
    </row>
    <row r="1053" customFormat="false" ht="15" hidden="false" customHeight="false" outlineLevel="0" collapsed="false">
      <c r="A1053" s="79" t="n">
        <v>45430</v>
      </c>
      <c r="B1053" s="80" t="n">
        <v>1</v>
      </c>
    </row>
    <row r="1054" customFormat="false" ht="15" hidden="false" customHeight="false" outlineLevel="0" collapsed="false">
      <c r="A1054" s="79" t="n">
        <v>45431</v>
      </c>
      <c r="B1054" s="80" t="n">
        <v>1</v>
      </c>
    </row>
    <row r="1055" customFormat="false" ht="15" hidden="false" customHeight="false" outlineLevel="0" collapsed="false">
      <c r="A1055" s="79" t="n">
        <v>45432</v>
      </c>
      <c r="B1055" s="80" t="n">
        <v>24</v>
      </c>
    </row>
    <row r="1056" customFormat="false" ht="15" hidden="false" customHeight="false" outlineLevel="0" collapsed="false">
      <c r="A1056" s="79" t="n">
        <v>45433</v>
      </c>
      <c r="B1056" s="80" t="n">
        <v>1</v>
      </c>
    </row>
    <row r="1057" customFormat="false" ht="15" hidden="false" customHeight="false" outlineLevel="0" collapsed="false">
      <c r="A1057" s="79" t="n">
        <v>45434</v>
      </c>
      <c r="B1057" s="80" t="n">
        <v>0</v>
      </c>
    </row>
    <row r="1058" customFormat="false" ht="15" hidden="false" customHeight="false" outlineLevel="0" collapsed="false">
      <c r="A1058" s="79" t="n">
        <v>45435</v>
      </c>
      <c r="B1058" s="80" t="n">
        <v>2</v>
      </c>
    </row>
    <row r="1059" customFormat="false" ht="15" hidden="false" customHeight="false" outlineLevel="0" collapsed="false">
      <c r="A1059" s="79" t="n">
        <v>45436</v>
      </c>
      <c r="B1059" s="80" t="n">
        <v>1</v>
      </c>
    </row>
    <row r="1060" customFormat="false" ht="15" hidden="false" customHeight="false" outlineLevel="0" collapsed="false">
      <c r="A1060" s="79" t="n">
        <v>45437</v>
      </c>
      <c r="B1060" s="80" t="n">
        <v>1</v>
      </c>
    </row>
    <row r="1061" customFormat="false" ht="15" hidden="false" customHeight="false" outlineLevel="0" collapsed="false">
      <c r="A1061" s="79" t="n">
        <v>45438</v>
      </c>
      <c r="B1061" s="80" t="n">
        <v>2</v>
      </c>
    </row>
    <row r="1062" customFormat="false" ht="15" hidden="false" customHeight="false" outlineLevel="0" collapsed="false">
      <c r="A1062" s="79" t="n">
        <v>45439</v>
      </c>
      <c r="B1062" s="80" t="n">
        <v>39</v>
      </c>
    </row>
    <row r="1063" customFormat="false" ht="15" hidden="false" customHeight="false" outlineLevel="0" collapsed="false">
      <c r="A1063" s="79" t="n">
        <v>45440</v>
      </c>
      <c r="B1063" s="80" t="n">
        <v>0</v>
      </c>
    </row>
    <row r="1064" customFormat="false" ht="15" hidden="false" customHeight="false" outlineLevel="0" collapsed="false">
      <c r="A1064" s="79" t="n">
        <v>45441</v>
      </c>
      <c r="B1064" s="80" t="n">
        <v>3</v>
      </c>
    </row>
    <row r="1065" customFormat="false" ht="15" hidden="false" customHeight="false" outlineLevel="0" collapsed="false">
      <c r="A1065" s="79" t="n">
        <v>45442</v>
      </c>
      <c r="B1065" s="80" t="n">
        <v>0</v>
      </c>
    </row>
    <row r="1066" customFormat="false" ht="15" hidden="false" customHeight="false" outlineLevel="0" collapsed="false">
      <c r="A1066" s="79" t="n">
        <v>45443</v>
      </c>
      <c r="B1066" s="80" t="n">
        <v>3</v>
      </c>
    </row>
    <row r="1067" customFormat="false" ht="15" hidden="false" customHeight="false" outlineLevel="0" collapsed="false">
      <c r="A1067" s="79" t="n">
        <v>45444</v>
      </c>
      <c r="B1067" s="80" t="n">
        <v>2</v>
      </c>
    </row>
    <row r="1068" customFormat="false" ht="15" hidden="false" customHeight="false" outlineLevel="0" collapsed="false">
      <c r="A1068" s="79" t="n">
        <v>45445</v>
      </c>
      <c r="B1068" s="80" t="n">
        <v>0</v>
      </c>
    </row>
    <row r="1069" customFormat="false" ht="15" hidden="false" customHeight="false" outlineLevel="0" collapsed="false">
      <c r="A1069" s="79" t="n">
        <v>45446</v>
      </c>
      <c r="B1069" s="80" t="n">
        <v>2</v>
      </c>
    </row>
    <row r="1070" customFormat="false" ht="15" hidden="false" customHeight="false" outlineLevel="0" collapsed="false">
      <c r="A1070" s="79" t="n">
        <v>45447</v>
      </c>
      <c r="B1070" s="80" t="n">
        <v>4</v>
      </c>
    </row>
    <row r="1071" customFormat="false" ht="15" hidden="false" customHeight="false" outlineLevel="0" collapsed="false">
      <c r="A1071" s="79" t="n">
        <v>45448</v>
      </c>
      <c r="B1071" s="80" t="n">
        <v>0</v>
      </c>
    </row>
    <row r="1072" customFormat="false" ht="15" hidden="false" customHeight="false" outlineLevel="0" collapsed="false">
      <c r="A1072" s="79" t="n">
        <v>45449</v>
      </c>
      <c r="B1072" s="80" t="n">
        <v>0</v>
      </c>
    </row>
    <row r="1073" customFormat="false" ht="15" hidden="false" customHeight="false" outlineLevel="0" collapsed="false">
      <c r="A1073" s="79" t="n">
        <v>45450</v>
      </c>
      <c r="B1073" s="80" t="n">
        <v>3</v>
      </c>
    </row>
    <row r="1074" customFormat="false" ht="15" hidden="false" customHeight="false" outlineLevel="0" collapsed="false">
      <c r="A1074" s="79" t="n">
        <v>45451</v>
      </c>
      <c r="B1074" s="80" t="n">
        <v>1</v>
      </c>
    </row>
    <row r="1075" customFormat="false" ht="15" hidden="false" customHeight="false" outlineLevel="0" collapsed="false">
      <c r="A1075" s="79" t="n">
        <v>45452</v>
      </c>
      <c r="B1075" s="80" t="n">
        <v>0</v>
      </c>
    </row>
    <row r="1076" customFormat="false" ht="15" hidden="false" customHeight="false" outlineLevel="0" collapsed="false">
      <c r="A1076" s="79" t="n">
        <v>45453</v>
      </c>
      <c r="B1076" s="80" t="n">
        <v>1</v>
      </c>
    </row>
    <row r="1077" customFormat="false" ht="15" hidden="false" customHeight="false" outlineLevel="0" collapsed="false">
      <c r="A1077" s="79" t="n">
        <v>45454</v>
      </c>
      <c r="B1077" s="80" t="n">
        <v>2</v>
      </c>
    </row>
    <row r="1078" customFormat="false" ht="15" hidden="false" customHeight="false" outlineLevel="0" collapsed="false">
      <c r="A1078" s="79" t="n">
        <v>45455</v>
      </c>
      <c r="B1078" s="80" t="n">
        <v>2</v>
      </c>
    </row>
    <row r="1079" customFormat="false" ht="15" hidden="false" customHeight="false" outlineLevel="0" collapsed="false">
      <c r="A1079" s="79" t="n">
        <v>45456</v>
      </c>
      <c r="B1079" s="80" t="n">
        <v>2</v>
      </c>
    </row>
    <row r="1080" customFormat="false" ht="15" hidden="false" customHeight="false" outlineLevel="0" collapsed="false">
      <c r="A1080" s="79" t="n">
        <v>45457</v>
      </c>
      <c r="B1080" s="80" t="n">
        <v>0</v>
      </c>
    </row>
    <row r="1081" customFormat="false" ht="15" hidden="false" customHeight="false" outlineLevel="0" collapsed="false">
      <c r="A1081" s="79" t="n">
        <v>45458</v>
      </c>
      <c r="B1081" s="80" t="n">
        <v>0</v>
      </c>
    </row>
    <row r="1082" customFormat="false" ht="15" hidden="false" customHeight="false" outlineLevel="0" collapsed="false">
      <c r="A1082" s="79" t="n">
        <v>45459</v>
      </c>
      <c r="B1082" s="80" t="n">
        <v>0</v>
      </c>
    </row>
    <row r="1083" customFormat="false" ht="15" hidden="false" customHeight="false" outlineLevel="0" collapsed="false">
      <c r="A1083" s="79" t="n">
        <v>45460</v>
      </c>
      <c r="B1083" s="80" t="n">
        <v>0</v>
      </c>
    </row>
    <row r="1084" customFormat="false" ht="15" hidden="false" customHeight="false" outlineLevel="0" collapsed="false">
      <c r="A1084" s="79" t="n">
        <v>45461</v>
      </c>
      <c r="B1084" s="80" t="n">
        <v>0</v>
      </c>
    </row>
    <row r="1085" customFormat="false" ht="15" hidden="false" customHeight="false" outlineLevel="0" collapsed="false">
      <c r="A1085" s="79" t="n">
        <v>45462</v>
      </c>
      <c r="B1085" s="80" t="n">
        <v>1</v>
      </c>
    </row>
    <row r="1086" customFormat="false" ht="15" hidden="false" customHeight="false" outlineLevel="0" collapsed="false">
      <c r="A1086" s="79" t="n">
        <v>45463</v>
      </c>
      <c r="B1086" s="80" t="n">
        <v>0</v>
      </c>
    </row>
    <row r="1087" customFormat="false" ht="15" hidden="false" customHeight="false" outlineLevel="0" collapsed="false">
      <c r="A1087" s="79" t="n">
        <v>45464</v>
      </c>
      <c r="B1087" s="80" t="n">
        <v>0</v>
      </c>
    </row>
    <row r="1088" customFormat="false" ht="15" hidden="false" customHeight="false" outlineLevel="0" collapsed="false">
      <c r="A1088" s="79" t="n">
        <v>45465</v>
      </c>
      <c r="B1088" s="80" t="n">
        <v>0</v>
      </c>
    </row>
    <row r="1089" customFormat="false" ht="15" hidden="false" customHeight="false" outlineLevel="0" collapsed="false">
      <c r="A1089" s="79" t="n">
        <v>45466</v>
      </c>
      <c r="B1089" s="80" t="n">
        <v>1</v>
      </c>
    </row>
    <row r="1090" customFormat="false" ht="15" hidden="false" customHeight="false" outlineLevel="0" collapsed="false">
      <c r="A1090" s="79" t="n">
        <v>45467</v>
      </c>
      <c r="B1090" s="80" t="n">
        <v>0</v>
      </c>
    </row>
    <row r="1091" customFormat="false" ht="15" hidden="false" customHeight="false" outlineLevel="0" collapsed="false">
      <c r="A1091" s="79" t="n">
        <v>45468</v>
      </c>
      <c r="B1091" s="80" t="n">
        <v>0</v>
      </c>
    </row>
    <row r="1092" customFormat="false" ht="15" hidden="false" customHeight="false" outlineLevel="0" collapsed="false">
      <c r="A1092" s="79" t="n">
        <v>45469</v>
      </c>
      <c r="B1092" s="80" t="n">
        <v>1</v>
      </c>
    </row>
    <row r="1093" customFormat="false" ht="15" hidden="false" customHeight="false" outlineLevel="0" collapsed="false">
      <c r="A1093" s="79" t="n">
        <v>45470</v>
      </c>
      <c r="B1093" s="80" t="n">
        <v>1</v>
      </c>
    </row>
    <row r="1094" customFormat="false" ht="15" hidden="false" customHeight="false" outlineLevel="0" collapsed="false">
      <c r="A1094" s="79" t="n">
        <v>45471</v>
      </c>
      <c r="B1094" s="80" t="n">
        <v>0</v>
      </c>
    </row>
    <row r="1095" customFormat="false" ht="15" hidden="false" customHeight="false" outlineLevel="0" collapsed="false">
      <c r="A1095" s="79" t="n">
        <v>45472</v>
      </c>
      <c r="B1095" s="80" t="n">
        <v>0</v>
      </c>
    </row>
    <row r="1096" customFormat="false" ht="15" hidden="false" customHeight="false" outlineLevel="0" collapsed="false">
      <c r="A1096" s="79" t="n">
        <v>45473</v>
      </c>
      <c r="B1096" s="80" t="n">
        <v>1</v>
      </c>
    </row>
    <row r="1097" customFormat="false" ht="15" hidden="false" customHeight="false" outlineLevel="0" collapsed="false">
      <c r="A1097" s="79" t="n">
        <v>45474</v>
      </c>
      <c r="B1097" s="80" t="n">
        <v>1</v>
      </c>
    </row>
    <row r="1098" customFormat="false" ht="15" hidden="false" customHeight="false" outlineLevel="0" collapsed="false">
      <c r="A1098" s="79" t="n">
        <v>45475</v>
      </c>
      <c r="B1098" s="80" t="n">
        <v>1</v>
      </c>
    </row>
    <row r="1099" customFormat="false" ht="15" hidden="false" customHeight="false" outlineLevel="0" collapsed="false">
      <c r="A1099" s="79" t="n">
        <v>45476</v>
      </c>
      <c r="B1099" s="80" t="n">
        <v>2</v>
      </c>
    </row>
    <row r="1100" customFormat="false" ht="15" hidden="false" customHeight="false" outlineLevel="0" collapsed="false">
      <c r="A1100" s="79" t="n">
        <v>45477</v>
      </c>
      <c r="B1100" s="80" t="n">
        <v>0</v>
      </c>
    </row>
    <row r="1101" customFormat="false" ht="15" hidden="false" customHeight="false" outlineLevel="0" collapsed="false">
      <c r="A1101" s="79" t="n">
        <v>45478</v>
      </c>
      <c r="B1101" s="80" t="n">
        <v>1</v>
      </c>
    </row>
    <row r="1102" customFormat="false" ht="15" hidden="false" customHeight="false" outlineLevel="0" collapsed="false">
      <c r="A1102" s="79" t="n">
        <v>45479</v>
      </c>
      <c r="B1102" s="80" t="n">
        <v>0</v>
      </c>
    </row>
    <row r="1103" customFormat="false" ht="15" hidden="false" customHeight="false" outlineLevel="0" collapsed="false">
      <c r="A1103" s="79" t="n">
        <v>45480</v>
      </c>
      <c r="B1103" s="80" t="n">
        <v>2</v>
      </c>
    </row>
    <row r="1104" customFormat="false" ht="15" hidden="false" customHeight="false" outlineLevel="0" collapsed="false">
      <c r="A1104" s="79" t="n">
        <v>45481</v>
      </c>
      <c r="B1104" s="80" t="n">
        <v>0</v>
      </c>
    </row>
    <row r="1105" customFormat="false" ht="15" hidden="false" customHeight="false" outlineLevel="0" collapsed="false">
      <c r="A1105" s="79" t="n">
        <v>45482</v>
      </c>
      <c r="B1105" s="80" t="n">
        <v>0</v>
      </c>
    </row>
    <row r="1106" customFormat="false" ht="15" hidden="false" customHeight="false" outlineLevel="0" collapsed="false">
      <c r="A1106" s="79" t="n">
        <v>45483</v>
      </c>
      <c r="B1106" s="80" t="n">
        <v>4</v>
      </c>
    </row>
    <row r="1107" customFormat="false" ht="15" hidden="false" customHeight="false" outlineLevel="0" collapsed="false">
      <c r="A1107" s="79" t="n">
        <v>45484</v>
      </c>
      <c r="B1107" s="80" t="n">
        <v>1</v>
      </c>
    </row>
    <row r="1108" customFormat="false" ht="15" hidden="false" customHeight="false" outlineLevel="0" collapsed="false">
      <c r="A1108" s="79" t="n">
        <v>45485</v>
      </c>
      <c r="B1108" s="80" t="n">
        <v>3</v>
      </c>
    </row>
    <row r="1109" customFormat="false" ht="15" hidden="false" customHeight="false" outlineLevel="0" collapsed="false">
      <c r="A1109" s="79" t="n">
        <v>45486</v>
      </c>
      <c r="B1109" s="80" t="n">
        <v>2</v>
      </c>
    </row>
    <row r="1110" customFormat="false" ht="15" hidden="false" customHeight="false" outlineLevel="0" collapsed="false">
      <c r="A1110" s="79" t="n">
        <v>45487</v>
      </c>
      <c r="B1110" s="80" t="n">
        <v>2</v>
      </c>
    </row>
    <row r="1111" customFormat="false" ht="15" hidden="false" customHeight="false" outlineLevel="0" collapsed="false">
      <c r="A1111" s="79" t="n">
        <v>45488</v>
      </c>
      <c r="B1111" s="80" t="n">
        <v>1</v>
      </c>
    </row>
    <row r="1112" customFormat="false" ht="15" hidden="false" customHeight="false" outlineLevel="0" collapsed="false">
      <c r="A1112" s="79" t="n">
        <v>45489</v>
      </c>
      <c r="B1112" s="80" t="n">
        <v>1</v>
      </c>
    </row>
    <row r="1113" customFormat="false" ht="15" hidden="false" customHeight="false" outlineLevel="0" collapsed="false">
      <c r="A1113" s="79" t="n">
        <v>45490</v>
      </c>
      <c r="B1113" s="80" t="n">
        <v>2</v>
      </c>
    </row>
    <row r="1114" customFormat="false" ht="15" hidden="false" customHeight="false" outlineLevel="0" collapsed="false">
      <c r="A1114" s="79" t="n">
        <v>45491</v>
      </c>
      <c r="B1114" s="80" t="n">
        <v>2</v>
      </c>
    </row>
    <row r="1115" customFormat="false" ht="15" hidden="false" customHeight="false" outlineLevel="0" collapsed="false">
      <c r="A1115" s="79" t="n">
        <v>45492</v>
      </c>
      <c r="B1115" s="80" t="n">
        <v>3</v>
      </c>
    </row>
    <row r="1116" customFormat="false" ht="15" hidden="false" customHeight="false" outlineLevel="0" collapsed="false">
      <c r="A1116" s="79" t="n">
        <v>45493</v>
      </c>
      <c r="B1116" s="80" t="n">
        <v>1</v>
      </c>
    </row>
    <row r="1117" customFormat="false" ht="15" hidden="false" customHeight="false" outlineLevel="0" collapsed="false">
      <c r="A1117" s="79" t="n">
        <v>45494</v>
      </c>
      <c r="B1117" s="80" t="n">
        <v>0</v>
      </c>
    </row>
    <row r="1118" customFormat="false" ht="15" hidden="false" customHeight="false" outlineLevel="0" collapsed="false">
      <c r="A1118" s="79" t="n">
        <v>45495</v>
      </c>
      <c r="B1118" s="80" t="n">
        <v>4</v>
      </c>
    </row>
    <row r="1119" customFormat="false" ht="15" hidden="false" customHeight="false" outlineLevel="0" collapsed="false">
      <c r="A1119" s="79" t="n">
        <v>45496</v>
      </c>
      <c r="B1119" s="80" t="n">
        <v>1</v>
      </c>
    </row>
    <row r="1120" customFormat="false" ht="15" hidden="false" customHeight="false" outlineLevel="0" collapsed="false">
      <c r="A1120" s="79" t="n">
        <v>45497</v>
      </c>
      <c r="B1120" s="80" t="n">
        <v>3</v>
      </c>
    </row>
    <row r="1121" customFormat="false" ht="15" hidden="false" customHeight="false" outlineLevel="0" collapsed="false">
      <c r="A1121" s="79" t="n">
        <v>45498</v>
      </c>
      <c r="B1121" s="80" t="n">
        <v>0</v>
      </c>
    </row>
    <row r="1122" customFormat="false" ht="15" hidden="false" customHeight="false" outlineLevel="0" collapsed="false">
      <c r="A1122" s="79" t="n">
        <v>45499</v>
      </c>
      <c r="B1122" s="80" t="n">
        <v>0</v>
      </c>
    </row>
    <row r="1123" customFormat="false" ht="15" hidden="false" customHeight="false" outlineLevel="0" collapsed="false">
      <c r="A1123" s="79" t="n">
        <v>45500</v>
      </c>
      <c r="B1123" s="80" t="n">
        <v>0</v>
      </c>
    </row>
    <row r="1124" customFormat="false" ht="15" hidden="false" customHeight="false" outlineLevel="0" collapsed="false">
      <c r="A1124" s="79" t="n">
        <v>45501</v>
      </c>
      <c r="B1124" s="80" t="n">
        <v>0</v>
      </c>
    </row>
    <row r="1125" customFormat="false" ht="15" hidden="false" customHeight="false" outlineLevel="0" collapsed="false">
      <c r="A1125" s="79" t="n">
        <v>45502</v>
      </c>
      <c r="B1125" s="80" t="n">
        <v>0</v>
      </c>
    </row>
    <row r="1126" customFormat="false" ht="15" hidden="false" customHeight="false" outlineLevel="0" collapsed="false">
      <c r="A1126" s="79" t="n">
        <v>45503</v>
      </c>
      <c r="B1126" s="80" t="n">
        <v>1</v>
      </c>
    </row>
    <row r="1127" customFormat="false" ht="15" hidden="false" customHeight="false" outlineLevel="0" collapsed="false">
      <c r="A1127" s="79" t="n">
        <v>45504</v>
      </c>
      <c r="B1127" s="80" t="n">
        <v>0</v>
      </c>
    </row>
    <row r="1128" customFormat="false" ht="15" hidden="false" customHeight="false" outlineLevel="0" collapsed="false">
      <c r="A1128" s="79" t="n">
        <v>45505</v>
      </c>
      <c r="B1128" s="80" t="n">
        <v>0</v>
      </c>
    </row>
    <row r="1129" customFormat="false" ht="15" hidden="false" customHeight="false" outlineLevel="0" collapsed="false">
      <c r="A1129" s="79" t="n">
        <v>45506</v>
      </c>
      <c r="B1129" s="80" t="n">
        <v>0</v>
      </c>
    </row>
    <row r="1130" customFormat="false" ht="15" hidden="false" customHeight="false" outlineLevel="0" collapsed="false">
      <c r="A1130" s="79" t="n">
        <v>45507</v>
      </c>
      <c r="B1130" s="80" t="n">
        <v>2</v>
      </c>
    </row>
    <row r="1131" customFormat="false" ht="15" hidden="false" customHeight="false" outlineLevel="0" collapsed="false">
      <c r="A1131" s="79" t="n">
        <v>45508</v>
      </c>
      <c r="B1131" s="80" t="n">
        <v>0</v>
      </c>
    </row>
    <row r="1132" customFormat="false" ht="15" hidden="false" customHeight="false" outlineLevel="0" collapsed="false">
      <c r="A1132" s="79" t="n">
        <v>45509</v>
      </c>
      <c r="B1132" s="80" t="n">
        <v>1</v>
      </c>
    </row>
    <row r="1133" customFormat="false" ht="15" hidden="false" customHeight="false" outlineLevel="0" collapsed="false">
      <c r="A1133" s="79" t="n">
        <v>45510</v>
      </c>
      <c r="B1133" s="80" t="n">
        <v>4</v>
      </c>
    </row>
    <row r="1134" customFormat="false" ht="15" hidden="false" customHeight="false" outlineLevel="0" collapsed="false">
      <c r="A1134" s="79" t="n">
        <v>45511</v>
      </c>
      <c r="B1134" s="80" t="n">
        <v>1</v>
      </c>
    </row>
    <row r="1135" customFormat="false" ht="15" hidden="false" customHeight="false" outlineLevel="0" collapsed="false">
      <c r="A1135" s="79" t="n">
        <v>45512</v>
      </c>
      <c r="B1135" s="80" t="n">
        <v>0</v>
      </c>
    </row>
    <row r="1136" customFormat="false" ht="15" hidden="false" customHeight="false" outlineLevel="0" collapsed="false">
      <c r="A1136" s="79" t="n">
        <v>45513</v>
      </c>
      <c r="B1136" s="80" t="n">
        <v>0</v>
      </c>
    </row>
    <row r="1137" customFormat="false" ht="15" hidden="false" customHeight="false" outlineLevel="0" collapsed="false">
      <c r="A1137" s="79" t="n">
        <v>45514</v>
      </c>
      <c r="B1137" s="80" t="n">
        <v>0</v>
      </c>
    </row>
    <row r="1138" customFormat="false" ht="15" hidden="false" customHeight="false" outlineLevel="0" collapsed="false">
      <c r="A1138" s="79" t="n">
        <v>45515</v>
      </c>
      <c r="B1138" s="80" t="n">
        <v>2</v>
      </c>
    </row>
    <row r="1139" customFormat="false" ht="15" hidden="false" customHeight="false" outlineLevel="0" collapsed="false">
      <c r="A1139" s="79" t="n">
        <v>45516</v>
      </c>
      <c r="B1139" s="80" t="n">
        <v>0</v>
      </c>
    </row>
    <row r="1140" customFormat="false" ht="15" hidden="false" customHeight="false" outlineLevel="0" collapsed="false">
      <c r="A1140" s="79" t="n">
        <v>45517</v>
      </c>
      <c r="B1140" s="80" t="n">
        <v>0</v>
      </c>
    </row>
    <row r="1141" customFormat="false" ht="15" hidden="false" customHeight="false" outlineLevel="0" collapsed="false">
      <c r="A1141" s="79" t="n">
        <v>45518</v>
      </c>
      <c r="B1141" s="80" t="n">
        <v>1</v>
      </c>
    </row>
    <row r="1142" customFormat="false" ht="15" hidden="false" customHeight="false" outlineLevel="0" collapsed="false">
      <c r="A1142" s="79" t="n">
        <v>45519</v>
      </c>
      <c r="B1142" s="80" t="n">
        <v>0</v>
      </c>
    </row>
    <row r="1143" customFormat="false" ht="15" hidden="false" customHeight="false" outlineLevel="0" collapsed="false">
      <c r="A1143" s="79" t="n">
        <v>45520</v>
      </c>
      <c r="B1143" s="80" t="n">
        <v>1</v>
      </c>
    </row>
    <row r="1144" customFormat="false" ht="15" hidden="false" customHeight="false" outlineLevel="0" collapsed="false">
      <c r="A1144" s="79" t="n">
        <v>45521</v>
      </c>
      <c r="B1144" s="80" t="n">
        <v>1</v>
      </c>
    </row>
    <row r="1145" customFormat="false" ht="15" hidden="false" customHeight="false" outlineLevel="0" collapsed="false">
      <c r="A1145" s="79" t="n">
        <v>45522</v>
      </c>
      <c r="B1145" s="80" t="n">
        <v>1</v>
      </c>
    </row>
    <row r="1146" customFormat="false" ht="15" hidden="false" customHeight="false" outlineLevel="0" collapsed="false">
      <c r="A1146" s="79" t="n">
        <v>45523</v>
      </c>
      <c r="B1146" s="80" t="n">
        <v>0</v>
      </c>
    </row>
    <row r="1147" customFormat="false" ht="15" hidden="false" customHeight="false" outlineLevel="0" collapsed="false">
      <c r="A1147" s="79" t="n">
        <v>45524</v>
      </c>
      <c r="B1147" s="80" t="n">
        <v>0</v>
      </c>
    </row>
    <row r="1148" customFormat="false" ht="15" hidden="false" customHeight="false" outlineLevel="0" collapsed="false">
      <c r="A1148" s="79" t="n">
        <v>45525</v>
      </c>
      <c r="B1148" s="80" t="n">
        <v>2</v>
      </c>
    </row>
    <row r="1149" customFormat="false" ht="15" hidden="false" customHeight="false" outlineLevel="0" collapsed="false">
      <c r="A1149" s="79" t="n">
        <v>45526</v>
      </c>
      <c r="B1149" s="80" t="n">
        <v>1</v>
      </c>
    </row>
    <row r="1150" customFormat="false" ht="15" hidden="false" customHeight="false" outlineLevel="0" collapsed="false">
      <c r="A1150" s="79" t="n">
        <v>45527</v>
      </c>
      <c r="B1150" s="80" t="n">
        <v>0</v>
      </c>
    </row>
    <row r="1151" customFormat="false" ht="15" hidden="false" customHeight="false" outlineLevel="0" collapsed="false">
      <c r="A1151" s="79" t="n">
        <v>45528</v>
      </c>
      <c r="B1151" s="80" t="n">
        <v>2</v>
      </c>
    </row>
    <row r="1152" customFormat="false" ht="15" hidden="false" customHeight="false" outlineLevel="0" collapsed="false">
      <c r="A1152" s="79" t="n">
        <v>45529</v>
      </c>
      <c r="B1152" s="80" t="n">
        <v>0</v>
      </c>
    </row>
    <row r="1153" customFormat="false" ht="15" hidden="false" customHeight="false" outlineLevel="0" collapsed="false">
      <c r="A1153" s="79" t="n">
        <v>45530</v>
      </c>
      <c r="B1153" s="80" t="n">
        <v>0</v>
      </c>
    </row>
    <row r="1154" customFormat="false" ht="15" hidden="false" customHeight="false" outlineLevel="0" collapsed="false">
      <c r="A1154" s="79" t="n">
        <v>45531</v>
      </c>
      <c r="B1154" s="80" t="n">
        <v>3</v>
      </c>
    </row>
    <row r="1155" customFormat="false" ht="15" hidden="false" customHeight="false" outlineLevel="0" collapsed="false">
      <c r="A1155" s="79" t="n">
        <v>45532</v>
      </c>
      <c r="B1155" s="80" t="n">
        <v>1</v>
      </c>
    </row>
    <row r="1156" customFormat="false" ht="15" hidden="false" customHeight="false" outlineLevel="0" collapsed="false">
      <c r="A1156" s="79" t="n">
        <v>45533</v>
      </c>
      <c r="B1156" s="80" t="n">
        <v>0</v>
      </c>
    </row>
    <row r="1157" customFormat="false" ht="15" hidden="false" customHeight="false" outlineLevel="0" collapsed="false">
      <c r="A1157" s="79" t="n">
        <v>45534</v>
      </c>
      <c r="B1157" s="80" t="n">
        <v>0</v>
      </c>
    </row>
    <row r="1158" customFormat="false" ht="15" hidden="false" customHeight="false" outlineLevel="0" collapsed="false">
      <c r="A1158" s="79" t="n">
        <v>45535</v>
      </c>
      <c r="B1158" s="80" t="n">
        <v>0</v>
      </c>
    </row>
    <row r="1159" customFormat="false" ht="15" hidden="false" customHeight="false" outlineLevel="0" collapsed="false">
      <c r="A1159" s="79" t="n">
        <v>45536</v>
      </c>
      <c r="B1159" s="80" t="n">
        <v>0</v>
      </c>
    </row>
    <row r="1160" customFormat="false" ht="15" hidden="false" customHeight="false" outlineLevel="0" collapsed="false">
      <c r="A1160" s="79" t="n">
        <v>45537</v>
      </c>
      <c r="B1160" s="80" t="n">
        <v>2</v>
      </c>
    </row>
    <row r="1161" customFormat="false" ht="15" hidden="false" customHeight="false" outlineLevel="0" collapsed="false">
      <c r="A1161" s="79" t="n">
        <v>45538</v>
      </c>
      <c r="B1161" s="80" t="n">
        <v>2</v>
      </c>
    </row>
    <row r="1162" customFormat="false" ht="15" hidden="false" customHeight="false" outlineLevel="0" collapsed="false">
      <c r="A1162" s="79" t="n">
        <v>45539</v>
      </c>
      <c r="B1162" s="80" t="n">
        <v>0</v>
      </c>
    </row>
    <row r="1163" customFormat="false" ht="15" hidden="false" customHeight="false" outlineLevel="0" collapsed="false">
      <c r="A1163" s="79" t="n">
        <v>45540</v>
      </c>
      <c r="B1163" s="80" t="n">
        <v>1</v>
      </c>
    </row>
    <row r="1164" customFormat="false" ht="15" hidden="false" customHeight="false" outlineLevel="0" collapsed="false">
      <c r="A1164" s="79" t="n">
        <v>45541</v>
      </c>
      <c r="B1164" s="80" t="n">
        <v>0</v>
      </c>
    </row>
    <row r="1165" customFormat="false" ht="15" hidden="false" customHeight="false" outlineLevel="0" collapsed="false">
      <c r="A1165" s="79" t="n">
        <v>45542</v>
      </c>
      <c r="B1165" s="80" t="n">
        <v>1</v>
      </c>
    </row>
    <row r="1166" customFormat="false" ht="15" hidden="false" customHeight="false" outlineLevel="0" collapsed="false">
      <c r="A1166" s="79" t="n">
        <v>45543</v>
      </c>
      <c r="B1166" s="80" t="n">
        <v>2</v>
      </c>
    </row>
    <row r="1167" customFormat="false" ht="15" hidden="false" customHeight="false" outlineLevel="0" collapsed="false">
      <c r="A1167" s="79" t="n">
        <v>45544</v>
      </c>
      <c r="B1167" s="80" t="n">
        <v>1</v>
      </c>
    </row>
    <row r="1168" customFormat="false" ht="15" hidden="false" customHeight="false" outlineLevel="0" collapsed="false">
      <c r="A1168" s="79" t="n">
        <v>45545</v>
      </c>
      <c r="B1168" s="80" t="n">
        <v>0</v>
      </c>
    </row>
    <row r="1169" customFormat="false" ht="15" hidden="false" customHeight="false" outlineLevel="0" collapsed="false">
      <c r="A1169" s="79" t="n">
        <v>45546</v>
      </c>
      <c r="B1169" s="80" t="n">
        <v>0</v>
      </c>
    </row>
    <row r="1170" customFormat="false" ht="15" hidden="false" customHeight="false" outlineLevel="0" collapsed="false">
      <c r="A1170" s="79" t="n">
        <v>45547</v>
      </c>
      <c r="B1170" s="80" t="n">
        <v>1</v>
      </c>
    </row>
    <row r="1171" customFormat="false" ht="15" hidden="false" customHeight="false" outlineLevel="0" collapsed="false">
      <c r="A1171" s="79" t="n">
        <v>45548</v>
      </c>
      <c r="B1171" s="80" t="n">
        <v>1</v>
      </c>
    </row>
    <row r="1172" customFormat="false" ht="15" hidden="false" customHeight="false" outlineLevel="0" collapsed="false">
      <c r="A1172" s="79" t="n">
        <v>45549</v>
      </c>
      <c r="B1172" s="80" t="n">
        <v>0</v>
      </c>
    </row>
    <row r="1173" customFormat="false" ht="15" hidden="false" customHeight="false" outlineLevel="0" collapsed="false">
      <c r="A1173" s="79" t="n">
        <v>45550</v>
      </c>
      <c r="B1173" s="80" t="n">
        <v>0</v>
      </c>
    </row>
    <row r="1174" customFormat="false" ht="15" hidden="false" customHeight="false" outlineLevel="0" collapsed="false">
      <c r="A1174" s="79" t="n">
        <v>45551</v>
      </c>
      <c r="B1174" s="80" t="n">
        <v>0</v>
      </c>
    </row>
    <row r="1175" customFormat="false" ht="15" hidden="false" customHeight="false" outlineLevel="0" collapsed="false">
      <c r="A1175" s="79" t="n">
        <v>45552</v>
      </c>
      <c r="B1175" s="80" t="n">
        <v>0</v>
      </c>
    </row>
    <row r="1176" customFormat="false" ht="15" hidden="false" customHeight="false" outlineLevel="0" collapsed="false">
      <c r="A1176" s="79" t="n">
        <v>45553</v>
      </c>
      <c r="B1176" s="80" t="n">
        <v>0</v>
      </c>
    </row>
    <row r="1177" customFormat="false" ht="15" hidden="false" customHeight="false" outlineLevel="0" collapsed="false">
      <c r="A1177" s="79" t="n">
        <v>45554</v>
      </c>
      <c r="B1177" s="80" t="n">
        <v>1</v>
      </c>
    </row>
    <row r="1178" customFormat="false" ht="15" hidden="false" customHeight="false" outlineLevel="0" collapsed="false">
      <c r="A1178" s="79" t="n">
        <v>45555</v>
      </c>
      <c r="B1178" s="80" t="n">
        <v>0</v>
      </c>
    </row>
    <row r="1179" customFormat="false" ht="15" hidden="false" customHeight="false" outlineLevel="0" collapsed="false">
      <c r="A1179" s="79" t="n">
        <v>45556</v>
      </c>
      <c r="B1179" s="80" t="n">
        <v>1</v>
      </c>
    </row>
    <row r="1180" customFormat="false" ht="15" hidden="false" customHeight="false" outlineLevel="0" collapsed="false">
      <c r="A1180" s="79" t="n">
        <v>45557</v>
      </c>
      <c r="B1180" s="80" t="n">
        <v>0</v>
      </c>
    </row>
    <row r="1181" customFormat="false" ht="15" hidden="false" customHeight="false" outlineLevel="0" collapsed="false">
      <c r="A1181" s="79" t="n">
        <v>45558</v>
      </c>
      <c r="B1181" s="80" t="n">
        <v>0</v>
      </c>
    </row>
    <row r="1182" customFormat="false" ht="15" hidden="false" customHeight="false" outlineLevel="0" collapsed="false">
      <c r="A1182" s="79" t="n">
        <v>45559</v>
      </c>
      <c r="B1182" s="80" t="n">
        <v>1</v>
      </c>
    </row>
    <row r="1183" customFormat="false" ht="15" hidden="false" customHeight="false" outlineLevel="0" collapsed="false">
      <c r="A1183" s="79" t="n">
        <v>45560</v>
      </c>
      <c r="B1183" s="80" t="n">
        <v>0</v>
      </c>
    </row>
    <row r="1184" customFormat="false" ht="15" hidden="false" customHeight="false" outlineLevel="0" collapsed="false">
      <c r="A1184" s="79" t="n">
        <v>45561</v>
      </c>
      <c r="B1184" s="80" t="n">
        <v>0</v>
      </c>
    </row>
    <row r="1185" customFormat="false" ht="15" hidden="false" customHeight="false" outlineLevel="0" collapsed="false">
      <c r="A1185" s="79" t="n">
        <v>45562</v>
      </c>
      <c r="B1185" s="80" t="n">
        <v>0</v>
      </c>
    </row>
    <row r="1186" customFormat="false" ht="15" hidden="false" customHeight="false" outlineLevel="0" collapsed="false">
      <c r="A1186" s="79" t="n">
        <v>45563</v>
      </c>
      <c r="B1186" s="80" t="n">
        <v>0</v>
      </c>
    </row>
    <row r="1187" customFormat="false" ht="15" hidden="false" customHeight="false" outlineLevel="0" collapsed="false">
      <c r="A1187" s="79" t="n">
        <v>45564</v>
      </c>
      <c r="B1187" s="80" t="n">
        <v>2</v>
      </c>
    </row>
    <row r="1188" customFormat="false" ht="15" hidden="false" customHeight="false" outlineLevel="0" collapsed="false">
      <c r="A1188" s="79" t="n">
        <v>45565</v>
      </c>
      <c r="B1188" s="80" t="n">
        <v>0</v>
      </c>
    </row>
    <row r="1189" customFormat="false" ht="15" hidden="false" customHeight="false" outlineLevel="0" collapsed="false">
      <c r="A1189" s="79" t="n">
        <v>45566</v>
      </c>
      <c r="B1189" s="80" t="n">
        <v>0</v>
      </c>
    </row>
    <row r="1190" customFormat="false" ht="15" hidden="false" customHeight="false" outlineLevel="0" collapsed="false">
      <c r="A1190" s="79" t="n">
        <v>45567</v>
      </c>
      <c r="B1190" s="80" t="n">
        <v>3</v>
      </c>
    </row>
    <row r="1191" customFormat="false" ht="15" hidden="false" customHeight="false" outlineLevel="0" collapsed="false">
      <c r="A1191" s="79" t="n">
        <v>45568</v>
      </c>
      <c r="B1191" s="80" t="n">
        <v>0</v>
      </c>
    </row>
    <row r="1192" customFormat="false" ht="15" hidden="false" customHeight="false" outlineLevel="0" collapsed="false">
      <c r="A1192" s="79" t="n">
        <v>45569</v>
      </c>
      <c r="B1192" s="80" t="n">
        <v>0</v>
      </c>
    </row>
    <row r="1193" customFormat="false" ht="15" hidden="false" customHeight="false" outlineLevel="0" collapsed="false">
      <c r="A1193" s="79" t="n">
        <v>45570</v>
      </c>
      <c r="B1193" s="80" t="n">
        <v>0</v>
      </c>
    </row>
    <row r="1194" customFormat="false" ht="15" hidden="false" customHeight="false" outlineLevel="0" collapsed="false">
      <c r="A1194" s="79" t="n">
        <v>45571</v>
      </c>
      <c r="B1194" s="80" t="n">
        <v>1</v>
      </c>
    </row>
    <row r="1195" customFormat="false" ht="15" hidden="false" customHeight="false" outlineLevel="0" collapsed="false">
      <c r="A1195" s="79" t="n">
        <v>45572</v>
      </c>
      <c r="B1195" s="80" t="n">
        <v>0</v>
      </c>
    </row>
    <row r="1196" customFormat="false" ht="15" hidden="false" customHeight="false" outlineLevel="0" collapsed="false">
      <c r="A1196" s="79" t="n">
        <v>45573</v>
      </c>
      <c r="B1196" s="80" t="n">
        <v>3</v>
      </c>
    </row>
    <row r="1197" customFormat="false" ht="15" hidden="false" customHeight="false" outlineLevel="0" collapsed="false">
      <c r="A1197" s="79" t="n">
        <v>45574</v>
      </c>
      <c r="B1197" s="80" t="n">
        <v>7</v>
      </c>
    </row>
    <row r="1198" customFormat="false" ht="15" hidden="false" customHeight="false" outlineLevel="0" collapsed="false">
      <c r="A1198" s="79" t="n">
        <v>45575</v>
      </c>
      <c r="B1198" s="80" t="n">
        <v>16</v>
      </c>
    </row>
    <row r="1199" customFormat="false" ht="15" hidden="false" customHeight="false" outlineLevel="0" collapsed="false">
      <c r="A1199" s="79" t="n">
        <v>45576</v>
      </c>
      <c r="B1199" s="80" t="n">
        <v>10</v>
      </c>
    </row>
    <row r="1200" customFormat="false" ht="15" hidden="false" customHeight="false" outlineLevel="0" collapsed="false">
      <c r="A1200" s="79" t="n">
        <v>45577</v>
      </c>
      <c r="B1200" s="80" t="n">
        <v>15</v>
      </c>
    </row>
    <row r="1201" customFormat="false" ht="15" hidden="false" customHeight="false" outlineLevel="0" collapsed="false">
      <c r="A1201" s="79" t="n">
        <v>45578</v>
      </c>
      <c r="B1201" s="80" t="n">
        <v>11</v>
      </c>
    </row>
    <row r="1202" customFormat="false" ht="15" hidden="false" customHeight="false" outlineLevel="0" collapsed="false">
      <c r="A1202" s="79" t="n">
        <v>45579</v>
      </c>
      <c r="B1202" s="80" t="n">
        <v>7</v>
      </c>
    </row>
    <row r="1203" customFormat="false" ht="15" hidden="false" customHeight="false" outlineLevel="0" collapsed="false">
      <c r="A1203" s="79" t="n">
        <v>45580</v>
      </c>
      <c r="B1203" s="80" t="n">
        <v>7</v>
      </c>
    </row>
    <row r="1204" customFormat="false" ht="15" hidden="false" customHeight="false" outlineLevel="0" collapsed="false">
      <c r="A1204" s="79" t="n">
        <v>45581</v>
      </c>
      <c r="B1204" s="80" t="n">
        <v>9</v>
      </c>
    </row>
    <row r="1205" customFormat="false" ht="15" hidden="false" customHeight="false" outlineLevel="0" collapsed="false">
      <c r="A1205" s="79" t="n">
        <v>45582</v>
      </c>
      <c r="B1205" s="80" t="n">
        <v>10</v>
      </c>
    </row>
    <row r="1206" customFormat="false" ht="15" hidden="false" customHeight="false" outlineLevel="0" collapsed="false">
      <c r="A1206" s="79" t="n">
        <v>45583</v>
      </c>
      <c r="B1206" s="80" t="n">
        <v>11</v>
      </c>
    </row>
    <row r="1207" customFormat="false" ht="15" hidden="false" customHeight="false" outlineLevel="0" collapsed="false">
      <c r="A1207" s="79" t="n">
        <v>45584</v>
      </c>
      <c r="B1207" s="80" t="n">
        <v>17</v>
      </c>
    </row>
    <row r="1208" customFormat="false" ht="15" hidden="false" customHeight="false" outlineLevel="0" collapsed="false">
      <c r="A1208" s="79" t="n">
        <v>45585</v>
      </c>
      <c r="B1208" s="80" t="n">
        <v>6</v>
      </c>
    </row>
    <row r="1209" customFormat="false" ht="15" hidden="false" customHeight="false" outlineLevel="0" collapsed="false">
      <c r="A1209" s="79" t="n">
        <v>45586</v>
      </c>
      <c r="B1209" s="80" t="n">
        <v>10</v>
      </c>
    </row>
    <row r="1210" customFormat="false" ht="15" hidden="false" customHeight="false" outlineLevel="0" collapsed="false">
      <c r="A1210" s="79" t="n">
        <v>45587</v>
      </c>
      <c r="B1210" s="80" t="n">
        <v>3</v>
      </c>
    </row>
    <row r="1211" customFormat="false" ht="15" hidden="false" customHeight="false" outlineLevel="0" collapsed="false">
      <c r="A1211" s="79" t="n">
        <v>45588</v>
      </c>
      <c r="B1211" s="80" t="n">
        <v>1</v>
      </c>
    </row>
    <row r="1212" customFormat="false" ht="15" hidden="false" customHeight="false" outlineLevel="0" collapsed="false">
      <c r="A1212" s="79" t="n">
        <v>45589</v>
      </c>
      <c r="B1212" s="80" t="n">
        <v>2</v>
      </c>
    </row>
    <row r="1213" customFormat="false" ht="15" hidden="false" customHeight="false" outlineLevel="0" collapsed="false">
      <c r="A1213" s="79" t="n">
        <v>45590</v>
      </c>
      <c r="B1213" s="80" t="n">
        <v>3</v>
      </c>
    </row>
    <row r="1214" customFormat="false" ht="15" hidden="false" customHeight="false" outlineLevel="0" collapsed="false">
      <c r="A1214" s="79" t="n">
        <v>45591</v>
      </c>
      <c r="B1214" s="80" t="n">
        <v>3</v>
      </c>
    </row>
    <row r="1215" customFormat="false" ht="15" hidden="false" customHeight="false" outlineLevel="0" collapsed="false">
      <c r="A1215" s="79" t="n">
        <v>45592</v>
      </c>
      <c r="B1215" s="80" t="n">
        <v>1</v>
      </c>
    </row>
    <row r="1216" customFormat="false" ht="15" hidden="false" customHeight="false" outlineLevel="0" collapsed="false">
      <c r="A1216" s="79" t="n">
        <v>45593</v>
      </c>
      <c r="B1216" s="80" t="n">
        <v>1</v>
      </c>
    </row>
    <row r="1217" customFormat="false" ht="15" hidden="false" customHeight="false" outlineLevel="0" collapsed="false">
      <c r="A1217" s="79" t="n">
        <v>45594</v>
      </c>
      <c r="B1217" s="80" t="n">
        <v>0</v>
      </c>
    </row>
    <row r="1218" customFormat="false" ht="15" hidden="false" customHeight="false" outlineLevel="0" collapsed="false">
      <c r="A1218" s="79" t="n">
        <v>45595</v>
      </c>
      <c r="B1218" s="80" t="n">
        <v>0</v>
      </c>
    </row>
    <row r="1219" customFormat="false" ht="15" hidden="false" customHeight="false" outlineLevel="0" collapsed="false">
      <c r="A1219" s="79" t="n">
        <v>45596</v>
      </c>
      <c r="B1219" s="80" t="n">
        <v>0</v>
      </c>
    </row>
    <row r="1220" customFormat="false" ht="15" hidden="false" customHeight="false" outlineLevel="0" collapsed="false">
      <c r="A1220" s="79" t="n">
        <v>45597</v>
      </c>
      <c r="B1220" s="80" t="n">
        <v>0</v>
      </c>
    </row>
    <row r="1221" customFormat="false" ht="15" hidden="false" customHeight="false" outlineLevel="0" collapsed="false">
      <c r="A1221" s="79" t="n">
        <v>45598</v>
      </c>
      <c r="B1221" s="80" t="n">
        <v>0</v>
      </c>
    </row>
    <row r="1222" customFormat="false" ht="15" hidden="false" customHeight="false" outlineLevel="0" collapsed="false">
      <c r="A1222" s="79" t="n">
        <v>45599</v>
      </c>
      <c r="B1222" s="80" t="n">
        <v>0</v>
      </c>
    </row>
    <row r="1223" customFormat="false" ht="15" hidden="false" customHeight="false" outlineLevel="0" collapsed="false">
      <c r="A1223" s="79" t="n">
        <v>45600</v>
      </c>
      <c r="B1223" s="80" t="n">
        <v>0</v>
      </c>
    </row>
    <row r="1224" customFormat="false" ht="15" hidden="false" customHeight="false" outlineLevel="0" collapsed="false">
      <c r="A1224" s="79" t="n">
        <v>45601</v>
      </c>
      <c r="B1224" s="80" t="n">
        <v>0</v>
      </c>
    </row>
    <row r="1225" customFormat="false" ht="15" hidden="false" customHeight="false" outlineLevel="0" collapsed="false">
      <c r="A1225" s="79" t="n">
        <v>45602</v>
      </c>
      <c r="B1225" s="80" t="n">
        <v>0</v>
      </c>
    </row>
    <row r="1226" customFormat="false" ht="15" hidden="false" customHeight="false" outlineLevel="0" collapsed="false">
      <c r="A1226" s="79" t="n">
        <v>45603</v>
      </c>
      <c r="B1226" s="80" t="n">
        <v>0</v>
      </c>
    </row>
    <row r="1227" customFormat="false" ht="15" hidden="false" customHeight="false" outlineLevel="0" collapsed="false">
      <c r="A1227" s="79" t="n">
        <v>45604</v>
      </c>
      <c r="B1227" s="80" t="n">
        <v>0</v>
      </c>
    </row>
    <row r="1228" customFormat="false" ht="15" hidden="false" customHeight="false" outlineLevel="0" collapsed="false">
      <c r="A1228" s="79" t="n">
        <v>45605</v>
      </c>
      <c r="B1228" s="80" t="n">
        <v>0</v>
      </c>
    </row>
    <row r="1229" customFormat="false" ht="15" hidden="false" customHeight="false" outlineLevel="0" collapsed="false">
      <c r="A1229" s="79" t="n">
        <v>45606</v>
      </c>
      <c r="B1229" s="80" t="n">
        <v>0</v>
      </c>
    </row>
    <row r="1230" customFormat="false" ht="15" hidden="false" customHeight="false" outlineLevel="0" collapsed="false">
      <c r="A1230" s="79" t="n">
        <v>45607</v>
      </c>
      <c r="B1230" s="80" t="n">
        <v>0</v>
      </c>
    </row>
    <row r="1231" customFormat="false" ht="15" hidden="false" customHeight="false" outlineLevel="0" collapsed="false">
      <c r="A1231" s="79" t="n">
        <v>45608</v>
      </c>
      <c r="B1231" s="80" t="n">
        <v>0</v>
      </c>
    </row>
    <row r="1232" customFormat="false" ht="15" hidden="false" customHeight="false" outlineLevel="0" collapsed="false">
      <c r="A1232" s="79" t="n">
        <v>45609</v>
      </c>
      <c r="B1232" s="80" t="n">
        <v>0</v>
      </c>
    </row>
    <row r="1233" customFormat="false" ht="15" hidden="false" customHeight="false" outlineLevel="0" collapsed="false">
      <c r="A1233" s="79" t="n">
        <v>45610</v>
      </c>
      <c r="B1233" s="80" t="n">
        <v>0</v>
      </c>
    </row>
    <row r="1234" customFormat="false" ht="15" hidden="false" customHeight="false" outlineLevel="0" collapsed="false">
      <c r="A1234" s="79" t="n">
        <v>45611</v>
      </c>
      <c r="B1234" s="80" t="n">
        <v>1</v>
      </c>
    </row>
    <row r="1235" customFormat="false" ht="15" hidden="false" customHeight="false" outlineLevel="0" collapsed="false">
      <c r="A1235" s="79" t="n">
        <v>45612</v>
      </c>
      <c r="B1235" s="80" t="n">
        <v>0</v>
      </c>
    </row>
    <row r="1236" customFormat="false" ht="15" hidden="false" customHeight="false" outlineLevel="0" collapsed="false">
      <c r="A1236" s="79" t="n">
        <v>45613</v>
      </c>
      <c r="B1236" s="80" t="n">
        <v>0</v>
      </c>
    </row>
    <row r="1237" customFormat="false" ht="15" hidden="false" customHeight="false" outlineLevel="0" collapsed="false">
      <c r="A1237" s="79" t="n">
        <v>45614</v>
      </c>
      <c r="B1237" s="80" t="n">
        <v>0</v>
      </c>
    </row>
    <row r="1238" customFormat="false" ht="15" hidden="false" customHeight="false" outlineLevel="0" collapsed="false">
      <c r="A1238" s="79" t="n">
        <v>45615</v>
      </c>
      <c r="B1238" s="80" t="n">
        <v>0</v>
      </c>
    </row>
    <row r="1239" customFormat="false" ht="15" hidden="false" customHeight="false" outlineLevel="0" collapsed="false">
      <c r="A1239" s="79" t="n">
        <v>45616</v>
      </c>
      <c r="B1239" s="80" t="n">
        <v>0</v>
      </c>
    </row>
    <row r="1240" customFormat="false" ht="15" hidden="false" customHeight="false" outlineLevel="0" collapsed="false">
      <c r="A1240" s="79" t="n">
        <v>45617</v>
      </c>
      <c r="B1240" s="80" t="n">
        <v>0</v>
      </c>
    </row>
    <row r="1241" customFormat="false" ht="15" hidden="false" customHeight="false" outlineLevel="0" collapsed="false">
      <c r="A1241" s="79" t="n">
        <v>45618</v>
      </c>
      <c r="B1241" s="80" t="n">
        <v>0</v>
      </c>
    </row>
    <row r="1242" customFormat="false" ht="15" hidden="false" customHeight="false" outlineLevel="0" collapsed="false">
      <c r="A1242" s="79" t="n">
        <v>45619</v>
      </c>
      <c r="B1242" s="80" t="n">
        <v>0</v>
      </c>
    </row>
    <row r="1243" customFormat="false" ht="15" hidden="false" customHeight="false" outlineLevel="0" collapsed="false">
      <c r="A1243" s="79" t="n">
        <v>45620</v>
      </c>
      <c r="B1243" s="80" t="n">
        <v>0</v>
      </c>
    </row>
    <row r="1244" customFormat="false" ht="15" hidden="false" customHeight="false" outlineLevel="0" collapsed="false">
      <c r="A1244" s="79" t="n">
        <v>45621</v>
      </c>
      <c r="B1244" s="80" t="n">
        <v>0</v>
      </c>
    </row>
    <row r="1245" customFormat="false" ht="15" hidden="false" customHeight="false" outlineLevel="0" collapsed="false">
      <c r="A1245" s="79" t="n">
        <v>45622</v>
      </c>
      <c r="B1245" s="80" t="n">
        <v>0</v>
      </c>
    </row>
    <row r="1246" customFormat="false" ht="15" hidden="false" customHeight="false" outlineLevel="0" collapsed="false">
      <c r="A1246" s="79" t="n">
        <v>45623</v>
      </c>
      <c r="B1246" s="80" t="n">
        <v>0</v>
      </c>
    </row>
    <row r="1247" customFormat="false" ht="15" hidden="false" customHeight="false" outlineLevel="0" collapsed="false">
      <c r="A1247" s="79" t="n">
        <v>45624</v>
      </c>
      <c r="B1247" s="80" t="n">
        <v>0</v>
      </c>
    </row>
    <row r="1248" customFormat="false" ht="15" hidden="false" customHeight="false" outlineLevel="0" collapsed="false">
      <c r="A1248" s="79" t="n">
        <v>45625</v>
      </c>
      <c r="B1248" s="80" t="n">
        <v>0</v>
      </c>
    </row>
    <row r="1249" customFormat="false" ht="15" hidden="false" customHeight="false" outlineLevel="0" collapsed="false">
      <c r="A1249" s="79" t="n">
        <v>45626</v>
      </c>
      <c r="B1249" s="80" t="n">
        <v>0</v>
      </c>
    </row>
    <row r="1250" customFormat="false" ht="15" hidden="false" customHeight="false" outlineLevel="0" collapsed="false">
      <c r="A1250" s="79" t="n">
        <v>45627</v>
      </c>
      <c r="B1250" s="80" t="n">
        <v>1</v>
      </c>
    </row>
    <row r="1251" customFormat="false" ht="15" hidden="false" customHeight="false" outlineLevel="0" collapsed="false">
      <c r="A1251" s="79" t="n">
        <v>45628</v>
      </c>
      <c r="B1251" s="80" t="n">
        <v>0</v>
      </c>
    </row>
    <row r="1252" customFormat="false" ht="15" hidden="false" customHeight="false" outlineLevel="0" collapsed="false">
      <c r="A1252" s="79" t="n">
        <v>45629</v>
      </c>
      <c r="B1252" s="80" t="n">
        <v>0</v>
      </c>
    </row>
    <row r="1253" customFormat="false" ht="15" hidden="false" customHeight="false" outlineLevel="0" collapsed="false">
      <c r="A1253" s="79" t="n">
        <v>45630</v>
      </c>
      <c r="B1253" s="80" t="n">
        <v>0</v>
      </c>
    </row>
    <row r="1254" customFormat="false" ht="15" hidden="false" customHeight="false" outlineLevel="0" collapsed="false">
      <c r="A1254" s="79" t="n">
        <v>45631</v>
      </c>
      <c r="B1254" s="80" t="n">
        <v>1</v>
      </c>
    </row>
    <row r="1255" customFormat="false" ht="15" hidden="false" customHeight="false" outlineLevel="0" collapsed="false">
      <c r="A1255" s="79" t="n">
        <v>45632</v>
      </c>
      <c r="B1255" s="80" t="n">
        <v>1</v>
      </c>
    </row>
    <row r="1256" customFormat="false" ht="15" hidden="false" customHeight="false" outlineLevel="0" collapsed="false">
      <c r="A1256" s="79" t="n">
        <v>45633</v>
      </c>
      <c r="B1256" s="80" t="n">
        <v>0</v>
      </c>
    </row>
    <row r="1257" customFormat="false" ht="15" hidden="false" customHeight="false" outlineLevel="0" collapsed="false">
      <c r="A1257" s="79" t="n">
        <v>45634</v>
      </c>
      <c r="B1257" s="80" t="n">
        <v>1</v>
      </c>
    </row>
    <row r="1258" customFormat="false" ht="15" hidden="false" customHeight="false" outlineLevel="0" collapsed="false">
      <c r="A1258" s="79" t="n">
        <v>45635</v>
      </c>
      <c r="B1258" s="80" t="n">
        <v>0</v>
      </c>
    </row>
    <row r="1259" customFormat="false" ht="15" hidden="false" customHeight="false" outlineLevel="0" collapsed="false">
      <c r="A1259" s="79" t="n">
        <v>45636</v>
      </c>
      <c r="B1259" s="80" t="n">
        <v>0</v>
      </c>
    </row>
    <row r="1260" customFormat="false" ht="15" hidden="false" customHeight="false" outlineLevel="0" collapsed="false">
      <c r="A1260" s="79" t="n">
        <v>45637</v>
      </c>
      <c r="B1260" s="80" t="n">
        <v>0</v>
      </c>
    </row>
    <row r="1261" customFormat="false" ht="15" hidden="false" customHeight="false" outlineLevel="0" collapsed="false">
      <c r="A1261" s="79" t="n">
        <v>45638</v>
      </c>
      <c r="B1261" s="80" t="n">
        <v>0</v>
      </c>
    </row>
    <row r="1262" customFormat="false" ht="15" hidden="false" customHeight="false" outlineLevel="0" collapsed="false">
      <c r="A1262" s="79" t="n">
        <v>45639</v>
      </c>
      <c r="B1262" s="80" t="n">
        <v>0</v>
      </c>
    </row>
    <row r="1263" customFormat="false" ht="15" hidden="false" customHeight="false" outlineLevel="0" collapsed="false">
      <c r="A1263" s="79" t="n">
        <v>45640</v>
      </c>
      <c r="B1263" s="80" t="n">
        <v>0</v>
      </c>
    </row>
    <row r="1264" customFormat="false" ht="15" hidden="false" customHeight="false" outlineLevel="0" collapsed="false">
      <c r="A1264" s="79" t="n">
        <v>45641</v>
      </c>
      <c r="B1264" s="80" t="n">
        <v>0</v>
      </c>
    </row>
    <row r="1265" customFormat="false" ht="15" hidden="false" customHeight="false" outlineLevel="0" collapsed="false">
      <c r="A1265" s="79" t="n">
        <v>45642</v>
      </c>
      <c r="B1265" s="80" t="n">
        <v>0</v>
      </c>
    </row>
    <row r="1266" customFormat="false" ht="15" hidden="false" customHeight="false" outlineLevel="0" collapsed="false">
      <c r="A1266" s="79" t="n">
        <v>45643</v>
      </c>
      <c r="B1266" s="80" t="n">
        <v>0</v>
      </c>
    </row>
    <row r="1267" customFormat="false" ht="15" hidden="false" customHeight="false" outlineLevel="0" collapsed="false">
      <c r="A1267" s="79" t="n">
        <v>45644</v>
      </c>
      <c r="B1267" s="80" t="n">
        <v>0</v>
      </c>
    </row>
    <row r="1268" customFormat="false" ht="15" hidden="false" customHeight="false" outlineLevel="0" collapsed="false">
      <c r="A1268" s="79" t="n">
        <v>45645</v>
      </c>
      <c r="B1268" s="80" t="n">
        <v>0</v>
      </c>
    </row>
    <row r="1269" customFormat="false" ht="15" hidden="false" customHeight="false" outlineLevel="0" collapsed="false">
      <c r="A1269" s="79" t="n">
        <v>45646</v>
      </c>
      <c r="B1269" s="80" t="n">
        <v>0</v>
      </c>
    </row>
    <row r="1270" customFormat="false" ht="15" hidden="false" customHeight="false" outlineLevel="0" collapsed="false">
      <c r="A1270" s="79" t="n">
        <v>45647</v>
      </c>
      <c r="B1270" s="80" t="n">
        <v>0</v>
      </c>
    </row>
    <row r="1271" customFormat="false" ht="15" hidden="false" customHeight="false" outlineLevel="0" collapsed="false">
      <c r="A1271" s="79" t="n">
        <v>45648</v>
      </c>
      <c r="B1271" s="80" t="n">
        <v>0</v>
      </c>
    </row>
    <row r="1272" customFormat="false" ht="15" hidden="false" customHeight="false" outlineLevel="0" collapsed="false">
      <c r="A1272" s="79" t="n">
        <v>45649</v>
      </c>
      <c r="B1272" s="80" t="n">
        <v>0</v>
      </c>
    </row>
    <row r="1273" customFormat="false" ht="15" hidden="false" customHeight="false" outlineLevel="0" collapsed="false">
      <c r="A1273" s="79" t="n">
        <v>45650</v>
      </c>
      <c r="B1273" s="80" t="n">
        <v>0</v>
      </c>
    </row>
    <row r="1274" customFormat="false" ht="15" hidden="false" customHeight="false" outlineLevel="0" collapsed="false">
      <c r="A1274" s="79" t="n">
        <v>45651</v>
      </c>
      <c r="B1274" s="80" t="n">
        <v>0</v>
      </c>
    </row>
    <row r="1275" customFormat="false" ht="15" hidden="false" customHeight="false" outlineLevel="0" collapsed="false">
      <c r="A1275" s="79" t="n">
        <v>45652</v>
      </c>
      <c r="B1275" s="80" t="n">
        <v>4</v>
      </c>
    </row>
    <row r="1276" customFormat="false" ht="15" hidden="false" customHeight="false" outlineLevel="0" collapsed="false">
      <c r="A1276" s="79" t="n">
        <v>45653</v>
      </c>
      <c r="B1276" s="80" t="n">
        <v>0</v>
      </c>
    </row>
    <row r="1277" customFormat="false" ht="15" hidden="false" customHeight="false" outlineLevel="0" collapsed="false">
      <c r="A1277" s="79" t="n">
        <v>45654</v>
      </c>
      <c r="B1277" s="80" t="n">
        <v>1</v>
      </c>
    </row>
    <row r="1278" customFormat="false" ht="15" hidden="false" customHeight="false" outlineLevel="0" collapsed="false">
      <c r="A1278" s="79" t="n">
        <v>45655</v>
      </c>
      <c r="B1278" s="80" t="n">
        <v>0</v>
      </c>
    </row>
    <row r="1279" customFormat="false" ht="15" hidden="false" customHeight="false" outlineLevel="0" collapsed="false">
      <c r="A1279" s="79" t="n">
        <v>45656</v>
      </c>
      <c r="B1279" s="80" t="n">
        <v>0</v>
      </c>
    </row>
    <row r="1280" customFormat="false" ht="15" hidden="false" customHeight="false" outlineLevel="0" collapsed="false">
      <c r="A1280" s="79" t="n">
        <v>45657</v>
      </c>
      <c r="B1280" s="80" t="n">
        <v>0</v>
      </c>
    </row>
    <row r="1281" customFormat="false" ht="15" hidden="false" customHeight="false" outlineLevel="0" collapsed="false">
      <c r="A1281" s="79" t="n">
        <v>45658</v>
      </c>
      <c r="B1281" s="80" t="n">
        <v>0</v>
      </c>
    </row>
    <row r="1282" customFormat="false" ht="15" hidden="false" customHeight="false" outlineLevel="0" collapsed="false">
      <c r="A1282" s="79" t="n">
        <v>45659</v>
      </c>
      <c r="B1282" s="80" t="n">
        <v>0</v>
      </c>
    </row>
    <row r="1283" customFormat="false" ht="15" hidden="false" customHeight="false" outlineLevel="0" collapsed="false">
      <c r="A1283" s="79" t="n">
        <v>45660</v>
      </c>
      <c r="B1283" s="80" t="n">
        <v>0</v>
      </c>
    </row>
    <row r="1284" customFormat="false" ht="15" hidden="false" customHeight="false" outlineLevel="0" collapsed="false">
      <c r="A1284" s="79" t="n">
        <v>45661</v>
      </c>
      <c r="B1284" s="80" t="n">
        <v>0</v>
      </c>
    </row>
    <row r="1285" customFormat="false" ht="15" hidden="false" customHeight="false" outlineLevel="0" collapsed="false">
      <c r="A1285" s="79" t="n">
        <v>45662</v>
      </c>
      <c r="B1285" s="80" t="n">
        <v>1</v>
      </c>
    </row>
    <row r="1286" customFormat="false" ht="15" hidden="false" customHeight="false" outlineLevel="0" collapsed="false">
      <c r="A1286" s="79" t="n">
        <v>45663</v>
      </c>
      <c r="B1286" s="80" t="n">
        <v>0</v>
      </c>
    </row>
    <row r="1287" customFormat="false" ht="15" hidden="false" customHeight="false" outlineLevel="0" collapsed="false">
      <c r="A1287" s="79" t="n">
        <v>45664</v>
      </c>
      <c r="B1287" s="80" t="n">
        <v>0</v>
      </c>
    </row>
    <row r="1288" customFormat="false" ht="15" hidden="false" customHeight="false" outlineLevel="0" collapsed="false">
      <c r="A1288" s="79" t="n">
        <v>45665</v>
      </c>
      <c r="B1288" s="80" t="n">
        <v>0</v>
      </c>
    </row>
    <row r="1289" customFormat="false" ht="15" hidden="false" customHeight="false" outlineLevel="0" collapsed="false">
      <c r="A1289" s="79" t="n">
        <v>45666</v>
      </c>
      <c r="B1289" s="80" t="n">
        <v>0</v>
      </c>
    </row>
    <row r="1290" customFormat="false" ht="15" hidden="false" customHeight="false" outlineLevel="0" collapsed="false">
      <c r="A1290" s="79" t="n">
        <v>45667</v>
      </c>
      <c r="B1290" s="80" t="n">
        <v>1</v>
      </c>
    </row>
    <row r="1291" customFormat="false" ht="15" hidden="false" customHeight="false" outlineLevel="0" collapsed="false">
      <c r="A1291" s="79" t="n">
        <v>45668</v>
      </c>
      <c r="B1291" s="80" t="n">
        <v>0</v>
      </c>
    </row>
    <row r="1292" customFormat="false" ht="15" hidden="false" customHeight="false" outlineLevel="0" collapsed="false">
      <c r="A1292" s="79" t="n">
        <v>45669</v>
      </c>
      <c r="B1292" s="80" t="n">
        <v>1</v>
      </c>
    </row>
    <row r="1293" customFormat="false" ht="15" hidden="false" customHeight="false" outlineLevel="0" collapsed="false">
      <c r="A1293" s="79" t="n">
        <v>45670</v>
      </c>
      <c r="B1293" s="80" t="n">
        <v>1</v>
      </c>
    </row>
    <row r="1294" customFormat="false" ht="15" hidden="false" customHeight="false" outlineLevel="0" collapsed="false">
      <c r="A1294" s="79" t="n">
        <v>45671</v>
      </c>
      <c r="B1294" s="80" t="n">
        <v>0</v>
      </c>
    </row>
    <row r="1295" customFormat="false" ht="15" hidden="false" customHeight="false" outlineLevel="0" collapsed="false">
      <c r="A1295" s="79" t="n">
        <v>45672</v>
      </c>
      <c r="B1295" s="80" t="n">
        <v>0</v>
      </c>
    </row>
    <row r="1296" customFormat="false" ht="15" hidden="false" customHeight="false" outlineLevel="0" collapsed="false">
      <c r="A1296" s="79" t="n">
        <v>45673</v>
      </c>
      <c r="B1296" s="80" t="n">
        <v>0</v>
      </c>
    </row>
    <row r="1297" customFormat="false" ht="15" hidden="false" customHeight="false" outlineLevel="0" collapsed="false">
      <c r="A1297" s="79" t="n">
        <v>45674</v>
      </c>
      <c r="B1297" s="80" t="n">
        <v>0</v>
      </c>
    </row>
    <row r="1298" customFormat="false" ht="15" hidden="false" customHeight="false" outlineLevel="0" collapsed="false">
      <c r="A1298" s="79" t="n">
        <v>45675</v>
      </c>
      <c r="B1298" s="80" t="n">
        <v>1</v>
      </c>
    </row>
    <row r="1299" customFormat="false" ht="15" hidden="false" customHeight="false" outlineLevel="0" collapsed="false">
      <c r="A1299" s="79" t="n">
        <v>45676</v>
      </c>
      <c r="B1299" s="80" t="n">
        <v>0</v>
      </c>
    </row>
    <row r="1300" customFormat="false" ht="15" hidden="false" customHeight="false" outlineLevel="0" collapsed="false">
      <c r="A1300" s="79" t="n">
        <v>45677</v>
      </c>
      <c r="B1300" s="80" t="n">
        <v>0</v>
      </c>
    </row>
    <row r="1301" customFormat="false" ht="15" hidden="false" customHeight="false" outlineLevel="0" collapsed="false">
      <c r="A1301" s="79" t="n">
        <v>45678</v>
      </c>
      <c r="B1301" s="80" t="n">
        <v>0</v>
      </c>
    </row>
    <row r="1302" customFormat="false" ht="15" hidden="false" customHeight="false" outlineLevel="0" collapsed="false">
      <c r="A1302" s="79" t="n">
        <v>45679</v>
      </c>
      <c r="B1302" s="80" t="n">
        <v>0</v>
      </c>
    </row>
    <row r="1303" customFormat="false" ht="15" hidden="false" customHeight="false" outlineLevel="0" collapsed="false">
      <c r="A1303" s="79" t="n">
        <v>45680</v>
      </c>
      <c r="B1303" s="80" t="n">
        <v>0</v>
      </c>
    </row>
    <row r="1304" customFormat="false" ht="15" hidden="false" customHeight="false" outlineLevel="0" collapsed="false">
      <c r="A1304" s="79" t="n">
        <v>45681</v>
      </c>
      <c r="B1304" s="80" t="n">
        <v>0</v>
      </c>
    </row>
    <row r="1305" customFormat="false" ht="15" hidden="false" customHeight="false" outlineLevel="0" collapsed="false">
      <c r="A1305" s="79" t="n">
        <v>45682</v>
      </c>
      <c r="B1305" s="80" t="n">
        <v>0</v>
      </c>
    </row>
    <row r="1306" customFormat="false" ht="15" hidden="false" customHeight="false" outlineLevel="0" collapsed="false">
      <c r="A1306" s="79" t="n">
        <v>45683</v>
      </c>
      <c r="B1306" s="80" t="n">
        <v>0</v>
      </c>
    </row>
    <row r="1307" customFormat="false" ht="15" hidden="false" customHeight="false" outlineLevel="0" collapsed="false">
      <c r="A1307" s="79" t="n">
        <v>45684</v>
      </c>
      <c r="B1307" s="80" t="n">
        <v>0</v>
      </c>
    </row>
    <row r="1308" customFormat="false" ht="15" hidden="false" customHeight="false" outlineLevel="0" collapsed="false">
      <c r="A1308" s="79" t="n">
        <v>45685</v>
      </c>
      <c r="B1308" s="80" t="n">
        <v>1</v>
      </c>
    </row>
    <row r="1309" customFormat="false" ht="15" hidden="false" customHeight="false" outlineLevel="0" collapsed="false">
      <c r="A1309" s="79" t="n">
        <v>45686</v>
      </c>
      <c r="B1309" s="80" t="n">
        <v>0</v>
      </c>
    </row>
    <row r="1310" customFormat="false" ht="15" hidden="false" customHeight="false" outlineLevel="0" collapsed="false">
      <c r="A1310" s="79" t="n">
        <v>45687</v>
      </c>
      <c r="B1310" s="80" t="n">
        <v>0</v>
      </c>
    </row>
    <row r="1311" customFormat="false" ht="15" hidden="false" customHeight="false" outlineLevel="0" collapsed="false">
      <c r="A1311" s="79" t="n">
        <v>45688</v>
      </c>
      <c r="B1311" s="80" t="n">
        <v>0</v>
      </c>
    </row>
    <row r="1312" customFormat="false" ht="15" hidden="false" customHeight="false" outlineLevel="0" collapsed="false">
      <c r="A1312" s="79" t="n">
        <v>45689</v>
      </c>
      <c r="B1312" s="80" t="n">
        <v>0</v>
      </c>
    </row>
    <row r="1313" customFormat="false" ht="15" hidden="false" customHeight="false" outlineLevel="0" collapsed="false">
      <c r="A1313" s="79" t="n">
        <v>45690</v>
      </c>
      <c r="B1313" s="80" t="n">
        <v>1</v>
      </c>
    </row>
    <row r="1314" customFormat="false" ht="15" hidden="false" customHeight="false" outlineLevel="0" collapsed="false">
      <c r="A1314" s="79" t="n">
        <v>45691</v>
      </c>
      <c r="B1314" s="80" t="n">
        <v>0</v>
      </c>
    </row>
    <row r="1315" customFormat="false" ht="15" hidden="false" customHeight="false" outlineLevel="0" collapsed="false">
      <c r="A1315" s="79" t="n">
        <v>45692</v>
      </c>
      <c r="B1315" s="80" t="n">
        <v>0</v>
      </c>
    </row>
    <row r="1316" customFormat="false" ht="15" hidden="false" customHeight="false" outlineLevel="0" collapsed="false">
      <c r="A1316" s="79" t="n">
        <v>45693</v>
      </c>
      <c r="B1316" s="80" t="n">
        <v>0</v>
      </c>
    </row>
    <row r="1317" customFormat="false" ht="15" hidden="false" customHeight="false" outlineLevel="0" collapsed="false">
      <c r="A1317" s="79" t="n">
        <v>45694</v>
      </c>
      <c r="B1317" s="80" t="n">
        <v>0</v>
      </c>
    </row>
    <row r="1318" customFormat="false" ht="15" hidden="false" customHeight="false" outlineLevel="0" collapsed="false">
      <c r="A1318" s="79" t="n">
        <v>45695</v>
      </c>
      <c r="B1318" s="80" t="n">
        <v>0</v>
      </c>
    </row>
    <row r="1319" customFormat="false" ht="15" hidden="false" customHeight="false" outlineLevel="0" collapsed="false">
      <c r="A1319" s="79" t="n">
        <v>45696</v>
      </c>
      <c r="B1319" s="80" t="n">
        <v>0</v>
      </c>
    </row>
    <row r="1320" customFormat="false" ht="15" hidden="false" customHeight="false" outlineLevel="0" collapsed="false">
      <c r="A1320" s="79" t="n">
        <v>45697</v>
      </c>
      <c r="B1320" s="80" t="n">
        <v>1</v>
      </c>
    </row>
    <row r="1321" customFormat="false" ht="15" hidden="false" customHeight="false" outlineLevel="0" collapsed="false">
      <c r="A1321" s="79" t="n">
        <v>45698</v>
      </c>
      <c r="B1321" s="80" t="n">
        <v>0</v>
      </c>
    </row>
    <row r="1322" customFormat="false" ht="15" hidden="false" customHeight="false" outlineLevel="0" collapsed="false">
      <c r="A1322" s="79" t="n">
        <v>45699</v>
      </c>
      <c r="B1322" s="80" t="n">
        <v>1</v>
      </c>
    </row>
    <row r="1323" customFormat="false" ht="15" hidden="false" customHeight="false" outlineLevel="0" collapsed="false">
      <c r="A1323" s="79" t="n">
        <v>45700</v>
      </c>
      <c r="B1323" s="80" t="n">
        <v>0</v>
      </c>
    </row>
    <row r="1324" customFormat="false" ht="15" hidden="false" customHeight="false" outlineLevel="0" collapsed="false">
      <c r="A1324" s="79" t="n">
        <v>45701</v>
      </c>
      <c r="B1324" s="80" t="n">
        <v>0</v>
      </c>
    </row>
    <row r="1325" customFormat="false" ht="15" hidden="false" customHeight="false" outlineLevel="0" collapsed="false">
      <c r="A1325" s="79" t="n">
        <v>45702</v>
      </c>
      <c r="B1325" s="80" t="n">
        <v>1</v>
      </c>
    </row>
    <row r="1326" customFormat="false" ht="15" hidden="false" customHeight="false" outlineLevel="0" collapsed="false">
      <c r="A1326" s="79" t="n">
        <v>45703</v>
      </c>
      <c r="B1326" s="80" t="n">
        <v>0</v>
      </c>
    </row>
    <row r="1327" customFormat="false" ht="15" hidden="false" customHeight="false" outlineLevel="0" collapsed="false">
      <c r="A1327" s="79" t="n">
        <v>45704</v>
      </c>
      <c r="B1327" s="80" t="n">
        <v>0</v>
      </c>
    </row>
    <row r="1328" customFormat="false" ht="15" hidden="false" customHeight="false" outlineLevel="0" collapsed="false">
      <c r="A1328" s="79" t="n">
        <v>45705</v>
      </c>
      <c r="B1328" s="80" t="n">
        <v>0</v>
      </c>
    </row>
    <row r="1329" customFormat="false" ht="15" hidden="false" customHeight="false" outlineLevel="0" collapsed="false">
      <c r="A1329" s="79" t="n">
        <v>45706</v>
      </c>
      <c r="B1329" s="80" t="n">
        <v>0</v>
      </c>
    </row>
    <row r="1330" customFormat="false" ht="15" hidden="false" customHeight="false" outlineLevel="0" collapsed="false">
      <c r="A1330" s="79" t="n">
        <v>45707</v>
      </c>
      <c r="B1330" s="80" t="n">
        <v>0</v>
      </c>
    </row>
    <row r="1331" customFormat="false" ht="15" hidden="false" customHeight="false" outlineLevel="0" collapsed="false">
      <c r="A1331" s="79" t="n">
        <v>45708</v>
      </c>
      <c r="B1331" s="80" t="n">
        <v>0</v>
      </c>
    </row>
    <row r="1332" customFormat="false" ht="15" hidden="false" customHeight="false" outlineLevel="0" collapsed="false">
      <c r="A1332" s="79" t="n">
        <v>45709</v>
      </c>
      <c r="B1332" s="80" t="n">
        <v>0</v>
      </c>
    </row>
    <row r="1333" customFormat="false" ht="15" hidden="false" customHeight="false" outlineLevel="0" collapsed="false">
      <c r="A1333" s="79" t="n">
        <v>45710</v>
      </c>
      <c r="B1333" s="80" t="n">
        <v>0</v>
      </c>
    </row>
    <row r="1334" customFormat="false" ht="15" hidden="false" customHeight="false" outlineLevel="0" collapsed="false">
      <c r="A1334" s="79" t="n">
        <v>45711</v>
      </c>
      <c r="B1334" s="80" t="n">
        <v>0</v>
      </c>
    </row>
    <row r="1335" customFormat="false" ht="15" hidden="false" customHeight="false" outlineLevel="0" collapsed="false">
      <c r="A1335" s="79" t="n">
        <v>45712</v>
      </c>
      <c r="B1335" s="80" t="n">
        <v>0</v>
      </c>
    </row>
    <row r="1336" customFormat="false" ht="15" hidden="false" customHeight="false" outlineLevel="0" collapsed="false">
      <c r="A1336" s="79" t="n">
        <v>45713</v>
      </c>
      <c r="B1336" s="80" t="n">
        <v>0</v>
      </c>
    </row>
    <row r="1337" customFormat="false" ht="15" hidden="false" customHeight="false" outlineLevel="0" collapsed="false">
      <c r="A1337" s="79" t="n">
        <v>45714</v>
      </c>
      <c r="B1337" s="80" t="n">
        <v>0</v>
      </c>
    </row>
    <row r="1338" customFormat="false" ht="15" hidden="false" customHeight="false" outlineLevel="0" collapsed="false">
      <c r="A1338" s="79" t="n">
        <v>45715</v>
      </c>
      <c r="B1338" s="80" t="n">
        <v>0</v>
      </c>
    </row>
    <row r="1339" customFormat="false" ht="15" hidden="false" customHeight="false" outlineLevel="0" collapsed="false">
      <c r="A1339" s="79" t="n">
        <v>45716</v>
      </c>
      <c r="B1339" s="80" t="n">
        <v>0</v>
      </c>
    </row>
    <row r="1340" customFormat="false" ht="15" hidden="false" customHeight="false" outlineLevel="0" collapsed="false">
      <c r="A1340" s="79" t="n">
        <v>45717</v>
      </c>
      <c r="B1340" s="80" t="n">
        <v>0</v>
      </c>
    </row>
    <row r="1341" customFormat="false" ht="15" hidden="false" customHeight="false" outlineLevel="0" collapsed="false">
      <c r="A1341" s="79" t="n">
        <v>45718</v>
      </c>
      <c r="B1341" s="80" t="n">
        <v>0</v>
      </c>
    </row>
    <row r="1342" customFormat="false" ht="15" hidden="false" customHeight="false" outlineLevel="0" collapsed="false">
      <c r="A1342" s="79" t="n">
        <v>45719</v>
      </c>
      <c r="B1342" s="80" t="n">
        <v>0</v>
      </c>
    </row>
    <row r="1343" customFormat="false" ht="15" hidden="false" customHeight="false" outlineLevel="0" collapsed="false">
      <c r="A1343" s="79" t="n">
        <v>45720</v>
      </c>
      <c r="B1343" s="80" t="n">
        <v>0</v>
      </c>
    </row>
    <row r="1344" customFormat="false" ht="15" hidden="false" customHeight="false" outlineLevel="0" collapsed="false">
      <c r="A1344" s="79" t="n">
        <v>45721</v>
      </c>
      <c r="B1344" s="80" t="n">
        <v>0</v>
      </c>
    </row>
    <row r="1345" customFormat="false" ht="15" hidden="false" customHeight="false" outlineLevel="0" collapsed="false">
      <c r="A1345" s="79" t="n">
        <v>45722</v>
      </c>
      <c r="B1345" s="80" t="n">
        <v>0</v>
      </c>
    </row>
    <row r="1346" customFormat="false" ht="15" hidden="false" customHeight="false" outlineLevel="0" collapsed="false">
      <c r="A1346" s="79" t="n">
        <v>45723</v>
      </c>
      <c r="B1346" s="80" t="n">
        <v>0</v>
      </c>
    </row>
    <row r="1347" customFormat="false" ht="15" hidden="false" customHeight="false" outlineLevel="0" collapsed="false">
      <c r="A1347" s="79" t="n">
        <v>45724</v>
      </c>
      <c r="B1347" s="80" t="n">
        <v>0</v>
      </c>
    </row>
    <row r="1348" customFormat="false" ht="15" hidden="false" customHeight="false" outlineLevel="0" collapsed="false">
      <c r="A1348" s="79" t="n">
        <v>45725</v>
      </c>
      <c r="B1348" s="80" t="n">
        <v>1</v>
      </c>
    </row>
    <row r="1349" customFormat="false" ht="15" hidden="false" customHeight="false" outlineLevel="0" collapsed="false">
      <c r="A1349" s="79" t="n">
        <v>45726</v>
      </c>
      <c r="B1349" s="80" t="n">
        <v>2</v>
      </c>
    </row>
    <row r="1350" customFormat="false" ht="15" hidden="false" customHeight="false" outlineLevel="0" collapsed="false">
      <c r="A1350" s="79" t="n">
        <v>45727</v>
      </c>
      <c r="B1350" s="80" t="n">
        <v>0</v>
      </c>
    </row>
    <row r="1351" customFormat="false" ht="15" hidden="false" customHeight="false" outlineLevel="0" collapsed="false">
      <c r="A1351" s="79" t="n">
        <v>45728</v>
      </c>
      <c r="B1351" s="80" t="n">
        <v>0</v>
      </c>
    </row>
    <row r="1352" customFormat="false" ht="15" hidden="false" customHeight="false" outlineLevel="0" collapsed="false">
      <c r="A1352" s="79" t="n">
        <v>45729</v>
      </c>
      <c r="B1352" s="80" t="n">
        <v>1</v>
      </c>
    </row>
    <row r="1353" customFormat="false" ht="15" hidden="false" customHeight="false" outlineLevel="0" collapsed="false">
      <c r="A1353" s="79" t="n">
        <v>45730</v>
      </c>
      <c r="B1353" s="80" t="n">
        <v>1</v>
      </c>
    </row>
    <row r="1354" customFormat="false" ht="15" hidden="false" customHeight="false" outlineLevel="0" collapsed="false">
      <c r="A1354" s="79" t="n">
        <v>45731</v>
      </c>
      <c r="B1354" s="80" t="n">
        <v>0</v>
      </c>
    </row>
    <row r="1355" customFormat="false" ht="15" hidden="false" customHeight="false" outlineLevel="0" collapsed="false">
      <c r="A1355" s="79" t="n">
        <v>45732</v>
      </c>
      <c r="B1355" s="80" t="n">
        <v>0</v>
      </c>
    </row>
    <row r="1356" customFormat="false" ht="15" hidden="false" customHeight="false" outlineLevel="0" collapsed="false">
      <c r="A1356" s="79" t="n">
        <v>45733</v>
      </c>
      <c r="B1356" s="80" t="n">
        <v>0</v>
      </c>
    </row>
    <row r="1357" customFormat="false" ht="15" hidden="false" customHeight="false" outlineLevel="0" collapsed="false">
      <c r="A1357" s="79" t="n">
        <v>45734</v>
      </c>
      <c r="B1357" s="80" t="n">
        <v>0</v>
      </c>
    </row>
    <row r="1358" customFormat="false" ht="15" hidden="false" customHeight="false" outlineLevel="0" collapsed="false">
      <c r="A1358" s="79" t="n">
        <v>45735</v>
      </c>
      <c r="B1358" s="80" t="n">
        <v>0</v>
      </c>
    </row>
    <row r="1359" customFormat="false" ht="15" hidden="false" customHeight="false" outlineLevel="0" collapsed="false">
      <c r="A1359" s="79" t="n">
        <v>45736</v>
      </c>
      <c r="B1359" s="80" t="n">
        <v>1</v>
      </c>
    </row>
    <row r="1360" customFormat="false" ht="15" hidden="false" customHeight="false" outlineLevel="0" collapsed="false">
      <c r="A1360" s="79" t="n">
        <v>45737</v>
      </c>
      <c r="B1360" s="80" t="n">
        <v>0</v>
      </c>
    </row>
    <row r="1361" customFormat="false" ht="15" hidden="false" customHeight="false" outlineLevel="0" collapsed="false">
      <c r="A1361" s="79" t="n">
        <v>45738</v>
      </c>
      <c r="B1361" s="80" t="n">
        <v>0</v>
      </c>
    </row>
    <row r="1362" customFormat="false" ht="15" hidden="false" customHeight="false" outlineLevel="0" collapsed="false">
      <c r="A1362" s="79" t="n">
        <v>45739</v>
      </c>
      <c r="B1362" s="80" t="n">
        <v>2</v>
      </c>
    </row>
    <row r="1363" customFormat="false" ht="15" hidden="false" customHeight="false" outlineLevel="0" collapsed="false">
      <c r="A1363" s="79" t="n">
        <v>45740</v>
      </c>
      <c r="B1363" s="80" t="n">
        <v>2</v>
      </c>
    </row>
    <row r="1364" customFormat="false" ht="15" hidden="false" customHeight="false" outlineLevel="0" collapsed="false">
      <c r="A1364" s="79" t="n">
        <v>45741</v>
      </c>
      <c r="B1364" s="80" t="n">
        <v>0</v>
      </c>
    </row>
    <row r="1365" customFormat="false" ht="15" hidden="false" customHeight="false" outlineLevel="0" collapsed="false">
      <c r="A1365" s="79" t="n">
        <v>45742</v>
      </c>
      <c r="B1365" s="80" t="n">
        <v>0</v>
      </c>
    </row>
    <row r="1366" customFormat="false" ht="15" hidden="false" customHeight="false" outlineLevel="0" collapsed="false">
      <c r="A1366" s="79" t="n">
        <v>45743</v>
      </c>
      <c r="B1366" s="80" t="n">
        <v>0</v>
      </c>
    </row>
    <row r="1367" customFormat="false" ht="15" hidden="false" customHeight="false" outlineLevel="0" collapsed="false">
      <c r="A1367" s="79" t="n">
        <v>45744</v>
      </c>
      <c r="B1367" s="80" t="n">
        <v>0</v>
      </c>
    </row>
    <row r="1368" customFormat="false" ht="15" hidden="false" customHeight="false" outlineLevel="0" collapsed="false">
      <c r="A1368" s="79" t="n">
        <v>45745</v>
      </c>
      <c r="B1368" s="80" t="n">
        <v>0</v>
      </c>
    </row>
    <row r="1369" customFormat="false" ht="15" hidden="false" customHeight="false" outlineLevel="0" collapsed="false">
      <c r="A1369" s="79" t="n">
        <v>45746</v>
      </c>
      <c r="B1369" s="80" t="n">
        <v>0</v>
      </c>
    </row>
    <row r="1370" customFormat="false" ht="15" hidden="false" customHeight="false" outlineLevel="0" collapsed="false">
      <c r="A1370" s="79" t="n">
        <v>45747</v>
      </c>
      <c r="B1370" s="80" t="n">
        <v>0</v>
      </c>
    </row>
    <row r="1371" customFormat="false" ht="15" hidden="false" customHeight="false" outlineLevel="0" collapsed="false">
      <c r="A1371" s="79" t="n">
        <v>45748</v>
      </c>
      <c r="B1371" s="80" t="n">
        <v>0</v>
      </c>
    </row>
    <row r="1372" customFormat="false" ht="15" hidden="false" customHeight="false" outlineLevel="0" collapsed="false">
      <c r="A1372" s="79" t="n">
        <v>45749</v>
      </c>
      <c r="B1372" s="80" t="n">
        <v>0</v>
      </c>
    </row>
    <row r="1373" customFormat="false" ht="15" hidden="false" customHeight="false" outlineLevel="0" collapsed="false">
      <c r="A1373" s="79" t="n">
        <v>45750</v>
      </c>
      <c r="B1373" s="80" t="n">
        <v>0</v>
      </c>
    </row>
    <row r="1374" customFormat="false" ht="15" hidden="false" customHeight="false" outlineLevel="0" collapsed="false">
      <c r="A1374" s="79" t="n">
        <v>45751</v>
      </c>
      <c r="B1374" s="80" t="n">
        <v>1</v>
      </c>
    </row>
    <row r="1375" customFormat="false" ht="15" hidden="false" customHeight="false" outlineLevel="0" collapsed="false">
      <c r="A1375" s="79" t="n">
        <v>45752</v>
      </c>
      <c r="B1375" s="80" t="n">
        <v>0</v>
      </c>
    </row>
    <row r="1376" customFormat="false" ht="15" hidden="false" customHeight="false" outlineLevel="0" collapsed="false">
      <c r="A1376" s="79" t="n">
        <v>45753</v>
      </c>
      <c r="B1376" s="80" t="n">
        <v>0</v>
      </c>
    </row>
    <row r="1377" customFormat="false" ht="15" hidden="false" customHeight="false" outlineLevel="0" collapsed="false">
      <c r="A1377" s="79" t="n">
        <v>45754</v>
      </c>
      <c r="B1377" s="80" t="n">
        <v>0</v>
      </c>
    </row>
    <row r="1378" customFormat="false" ht="15" hidden="false" customHeight="false" outlineLevel="0" collapsed="false">
      <c r="A1378" s="79" t="n">
        <v>45755</v>
      </c>
      <c r="B1378" s="80" t="n">
        <v>0</v>
      </c>
    </row>
    <row r="1379" customFormat="false" ht="15" hidden="false" customHeight="false" outlineLevel="0" collapsed="false">
      <c r="A1379" s="79" t="n">
        <v>45756</v>
      </c>
      <c r="B1379" s="80" t="n">
        <v>0</v>
      </c>
    </row>
    <row r="1380" customFormat="false" ht="15" hidden="false" customHeight="false" outlineLevel="0" collapsed="false">
      <c r="A1380" s="79" t="n">
        <v>45757</v>
      </c>
      <c r="B1380" s="80" t="n">
        <v>0</v>
      </c>
    </row>
    <row r="1381" customFormat="false" ht="15" hidden="false" customHeight="false" outlineLevel="0" collapsed="false">
      <c r="A1381" s="79" t="n">
        <v>45758</v>
      </c>
      <c r="B1381" s="80" t="n">
        <v>0</v>
      </c>
    </row>
    <row r="1382" customFormat="false" ht="15" hidden="false" customHeight="false" outlineLevel="0" collapsed="false">
      <c r="A1382" s="79" t="n">
        <v>45759</v>
      </c>
      <c r="B1382" s="80" t="n">
        <v>0</v>
      </c>
    </row>
    <row r="1383" customFormat="false" ht="15" hidden="false" customHeight="false" outlineLevel="0" collapsed="false">
      <c r="A1383" s="79" t="n">
        <v>45760</v>
      </c>
      <c r="B1383" s="80" t="n">
        <v>0</v>
      </c>
    </row>
    <row r="1384" customFormat="false" ht="15" hidden="false" customHeight="false" outlineLevel="0" collapsed="false">
      <c r="A1384" s="79" t="n">
        <v>45761</v>
      </c>
      <c r="B1384" s="80" t="n">
        <v>0</v>
      </c>
    </row>
    <row r="1385" customFormat="false" ht="15" hidden="false" customHeight="false" outlineLevel="0" collapsed="false">
      <c r="A1385" s="79" t="n">
        <v>45762</v>
      </c>
      <c r="B1385" s="80" t="n">
        <v>0</v>
      </c>
    </row>
    <row r="1386" customFormat="false" ht="15" hidden="false" customHeight="false" outlineLevel="0" collapsed="false">
      <c r="A1386" s="79" t="n">
        <v>45763</v>
      </c>
      <c r="B1386" s="80" t="n">
        <v>0</v>
      </c>
    </row>
    <row r="1387" customFormat="false" ht="15" hidden="false" customHeight="false" outlineLevel="0" collapsed="false">
      <c r="A1387" s="79" t="n">
        <v>45764</v>
      </c>
      <c r="B1387" s="80" t="n">
        <v>0</v>
      </c>
    </row>
    <row r="1388" customFormat="false" ht="15" hidden="false" customHeight="false" outlineLevel="0" collapsed="false">
      <c r="A1388" s="79" t="n">
        <v>45765</v>
      </c>
      <c r="B1388" s="80" t="n">
        <v>0</v>
      </c>
    </row>
    <row r="1389" customFormat="false" ht="15" hidden="false" customHeight="false" outlineLevel="0" collapsed="false">
      <c r="A1389" s="79" t="n">
        <v>45766</v>
      </c>
      <c r="B1389" s="80" t="n">
        <v>0</v>
      </c>
    </row>
    <row r="1390" customFormat="false" ht="15" hidden="false" customHeight="false" outlineLevel="0" collapsed="false">
      <c r="A1390" s="79" t="n">
        <v>45767</v>
      </c>
      <c r="B1390" s="80" t="n">
        <v>0</v>
      </c>
    </row>
    <row r="1391" customFormat="false" ht="15" hidden="false" customHeight="false" outlineLevel="0" collapsed="false">
      <c r="A1391" s="79" t="n">
        <v>45768</v>
      </c>
      <c r="B1391" s="80" t="n">
        <v>0</v>
      </c>
    </row>
    <row r="1392" customFormat="false" ht="15" hidden="false" customHeight="false" outlineLevel="0" collapsed="false">
      <c r="A1392" s="79" t="n">
        <v>45769</v>
      </c>
      <c r="B1392" s="80" t="n">
        <v>0</v>
      </c>
    </row>
    <row r="1393" customFormat="false" ht="15" hidden="false" customHeight="false" outlineLevel="0" collapsed="false">
      <c r="A1393" s="79" t="n">
        <v>45770</v>
      </c>
      <c r="B1393" s="80" t="n">
        <v>1</v>
      </c>
    </row>
    <row r="1394" customFormat="false" ht="15" hidden="false" customHeight="false" outlineLevel="0" collapsed="false">
      <c r="A1394" s="79" t="n">
        <v>45771</v>
      </c>
      <c r="B1394" s="80" t="n">
        <v>0</v>
      </c>
    </row>
    <row r="1395" customFormat="false" ht="15" hidden="false" customHeight="false" outlineLevel="0" collapsed="false">
      <c r="A1395" s="79" t="n">
        <v>45772</v>
      </c>
      <c r="B1395" s="80" t="n">
        <v>0</v>
      </c>
    </row>
    <row r="1396" customFormat="false" ht="15" hidden="false" customHeight="false" outlineLevel="0" collapsed="false">
      <c r="A1396" s="79" t="n">
        <v>45773</v>
      </c>
      <c r="B1396" s="80" t="n">
        <v>0</v>
      </c>
    </row>
    <row r="1397" customFormat="false" ht="15" hidden="false" customHeight="false" outlineLevel="0" collapsed="false">
      <c r="A1397" s="79" t="n">
        <v>45774</v>
      </c>
      <c r="B1397" s="80" t="n">
        <v>0</v>
      </c>
    </row>
    <row r="1398" customFormat="false" ht="15" hidden="false" customHeight="false" outlineLevel="0" collapsed="false">
      <c r="A1398" s="79" t="n">
        <v>45775</v>
      </c>
      <c r="B1398" s="80" t="n">
        <v>0</v>
      </c>
    </row>
    <row r="1399" customFormat="false" ht="15" hidden="false" customHeight="false" outlineLevel="0" collapsed="false">
      <c r="A1399" s="79" t="n">
        <v>45776</v>
      </c>
      <c r="B1399" s="80" t="n">
        <v>0</v>
      </c>
    </row>
    <row r="1400" customFormat="false" ht="15" hidden="false" customHeight="false" outlineLevel="0" collapsed="false">
      <c r="A1400" s="79" t="n">
        <v>45777</v>
      </c>
      <c r="B1400" s="80" t="n">
        <v>0</v>
      </c>
    </row>
    <row r="1401" customFormat="false" ht="15" hidden="false" customHeight="false" outlineLevel="0" collapsed="false">
      <c r="A1401" s="79" t="n">
        <v>45778</v>
      </c>
      <c r="B1401" s="80" t="n">
        <v>0</v>
      </c>
    </row>
    <row r="1402" customFormat="false" ht="15" hidden="false" customHeight="false" outlineLevel="0" collapsed="false">
      <c r="A1402" s="79" t="n">
        <v>45779</v>
      </c>
      <c r="B1402" s="80" t="n">
        <v>0</v>
      </c>
    </row>
    <row r="1403" customFormat="false" ht="15" hidden="false" customHeight="false" outlineLevel="0" collapsed="false">
      <c r="A1403" s="79" t="n">
        <v>45780</v>
      </c>
      <c r="B1403" s="80" t="n">
        <v>0</v>
      </c>
    </row>
    <row r="1404" customFormat="false" ht="15" hidden="false" customHeight="false" outlineLevel="0" collapsed="false">
      <c r="A1404" s="79" t="n">
        <v>45781</v>
      </c>
      <c r="B1404" s="80" t="n">
        <v>0</v>
      </c>
    </row>
    <row r="1405" customFormat="false" ht="15" hidden="false" customHeight="false" outlineLevel="0" collapsed="false">
      <c r="A1405" s="79" t="n">
        <v>45782</v>
      </c>
      <c r="B1405" s="80" t="n">
        <v>0</v>
      </c>
    </row>
    <row r="1406" customFormat="false" ht="15" hidden="false" customHeight="false" outlineLevel="0" collapsed="false">
      <c r="A1406" s="79" t="n">
        <v>45783</v>
      </c>
      <c r="B1406" s="80" t="n">
        <v>0</v>
      </c>
    </row>
    <row r="1407" customFormat="false" ht="15" hidden="false" customHeight="false" outlineLevel="0" collapsed="false">
      <c r="A1407" s="79" t="n">
        <v>45784</v>
      </c>
      <c r="B1407" s="80" t="n">
        <v>0</v>
      </c>
    </row>
    <row r="1408" customFormat="false" ht="15" hidden="false" customHeight="false" outlineLevel="0" collapsed="false">
      <c r="A1408" s="79" t="n">
        <v>45785</v>
      </c>
      <c r="B1408" s="80" t="n">
        <v>0</v>
      </c>
    </row>
    <row r="1409" customFormat="false" ht="15" hidden="false" customHeight="false" outlineLevel="0" collapsed="false">
      <c r="A1409" s="79" t="n">
        <v>45786</v>
      </c>
      <c r="B1409" s="80" t="n">
        <v>0</v>
      </c>
    </row>
    <row r="1410" customFormat="false" ht="15" hidden="false" customHeight="false" outlineLevel="0" collapsed="false">
      <c r="A1410" s="79" t="n">
        <v>45787</v>
      </c>
      <c r="B1410" s="80" t="n">
        <v>0</v>
      </c>
    </row>
    <row r="1411" customFormat="false" ht="15" hidden="false" customHeight="false" outlineLevel="0" collapsed="false">
      <c r="A1411" s="79" t="n">
        <v>45788</v>
      </c>
      <c r="B1411" s="80" t="n">
        <v>0</v>
      </c>
    </row>
    <row r="1412" customFormat="false" ht="15" hidden="false" customHeight="false" outlineLevel="0" collapsed="false">
      <c r="A1412" s="79" t="n">
        <v>45789</v>
      </c>
      <c r="B1412" s="80" t="n">
        <v>0</v>
      </c>
    </row>
    <row r="1413" customFormat="false" ht="15" hidden="false" customHeight="false" outlineLevel="0" collapsed="false">
      <c r="A1413" s="79" t="n">
        <v>45790</v>
      </c>
      <c r="B1413" s="80" t="n">
        <v>0</v>
      </c>
    </row>
    <row r="1414" customFormat="false" ht="15" hidden="false" customHeight="false" outlineLevel="0" collapsed="false">
      <c r="A1414" s="79" t="n">
        <v>45791</v>
      </c>
      <c r="B1414" s="80" t="n">
        <v>0</v>
      </c>
    </row>
    <row r="1415" customFormat="false" ht="15" hidden="false" customHeight="false" outlineLevel="0" collapsed="false">
      <c r="A1415" s="79" t="n">
        <v>45792</v>
      </c>
      <c r="B1415" s="80" t="n">
        <v>0</v>
      </c>
    </row>
    <row r="1416" customFormat="false" ht="15" hidden="false" customHeight="false" outlineLevel="0" collapsed="false">
      <c r="A1416" s="79" t="n">
        <v>45793</v>
      </c>
      <c r="B1416" s="80" t="n">
        <v>2</v>
      </c>
    </row>
    <row r="1417" customFormat="false" ht="15" hidden="false" customHeight="false" outlineLevel="0" collapsed="false">
      <c r="A1417" s="79" t="n">
        <v>45794</v>
      </c>
      <c r="B1417" s="80" t="n">
        <v>0</v>
      </c>
    </row>
    <row r="1418" customFormat="false" ht="15" hidden="false" customHeight="false" outlineLevel="0" collapsed="false">
      <c r="A1418" s="79" t="n">
        <v>45795</v>
      </c>
      <c r="B1418" s="80" t="n">
        <v>0</v>
      </c>
    </row>
    <row r="1419" customFormat="false" ht="15" hidden="false" customHeight="false" outlineLevel="0" collapsed="false">
      <c r="A1419" s="79" t="n">
        <v>45796</v>
      </c>
      <c r="B1419" s="80" t="n">
        <v>0</v>
      </c>
    </row>
    <row r="1420" customFormat="false" ht="15" hidden="false" customHeight="false" outlineLevel="0" collapsed="false">
      <c r="A1420" s="79" t="n">
        <v>45797</v>
      </c>
      <c r="B1420" s="80" t="n">
        <v>0</v>
      </c>
    </row>
    <row r="1421" customFormat="false" ht="15" hidden="false" customHeight="false" outlineLevel="0" collapsed="false">
      <c r="A1421" s="79" t="n">
        <v>45798</v>
      </c>
      <c r="B1421" s="80" t="n">
        <v>0</v>
      </c>
    </row>
    <row r="1422" customFormat="false" ht="15" hidden="false" customHeight="false" outlineLevel="0" collapsed="false">
      <c r="A1422" s="79" t="n">
        <v>45799</v>
      </c>
      <c r="B1422" s="80" t="n">
        <v>0</v>
      </c>
    </row>
    <row r="1423" customFormat="false" ht="15" hidden="false" customHeight="false" outlineLevel="0" collapsed="false">
      <c r="A1423" s="79" t="n">
        <v>45800</v>
      </c>
      <c r="B1423" s="80" t="n">
        <v>0</v>
      </c>
    </row>
    <row r="1424" customFormat="false" ht="15" hidden="false" customHeight="false" outlineLevel="0" collapsed="false">
      <c r="A1424" s="79" t="n">
        <v>45801</v>
      </c>
      <c r="B1424" s="80" t="n">
        <v>0</v>
      </c>
    </row>
    <row r="1425" customFormat="false" ht="15" hidden="false" customHeight="false" outlineLevel="0" collapsed="false">
      <c r="A1425" s="79" t="n">
        <v>45802</v>
      </c>
      <c r="B1425" s="80" t="n">
        <v>0</v>
      </c>
    </row>
    <row r="1426" customFormat="false" ht="15" hidden="false" customHeight="false" outlineLevel="0" collapsed="false">
      <c r="A1426" s="79" t="n">
        <v>45803</v>
      </c>
      <c r="B1426" s="80" t="n">
        <v>0</v>
      </c>
    </row>
    <row r="1427" customFormat="false" ht="15" hidden="false" customHeight="false" outlineLevel="0" collapsed="false">
      <c r="A1427" s="79" t="n">
        <v>45804</v>
      </c>
      <c r="B1427" s="80" t="n">
        <v>0</v>
      </c>
    </row>
    <row r="1428" customFormat="false" ht="15" hidden="false" customHeight="false" outlineLevel="0" collapsed="false">
      <c r="A1428" s="79" t="n">
        <v>45805</v>
      </c>
      <c r="B1428" s="80" t="n">
        <v>0</v>
      </c>
    </row>
    <row r="1429" customFormat="false" ht="15" hidden="false" customHeight="false" outlineLevel="0" collapsed="false">
      <c r="A1429" s="79" t="n">
        <v>45806</v>
      </c>
      <c r="B1429" s="80" t="n">
        <v>0</v>
      </c>
    </row>
    <row r="1430" customFormat="false" ht="15" hidden="false" customHeight="false" outlineLevel="0" collapsed="false">
      <c r="A1430" s="79" t="n">
        <v>45807</v>
      </c>
      <c r="B1430" s="80" t="n">
        <v>0</v>
      </c>
    </row>
    <row r="1431" customFormat="false" ht="15" hidden="false" customHeight="false" outlineLevel="0" collapsed="false">
      <c r="A1431" s="79" t="n">
        <v>45808</v>
      </c>
      <c r="B1431" s="80" t="n">
        <v>0</v>
      </c>
    </row>
    <row r="1432" customFormat="false" ht="15" hidden="false" customHeight="false" outlineLevel="0" collapsed="false">
      <c r="A1432" s="79" t="n">
        <v>45809</v>
      </c>
      <c r="B1432" s="80" t="n">
        <v>0</v>
      </c>
    </row>
    <row r="1433" customFormat="false" ht="15" hidden="false" customHeight="false" outlineLevel="0" collapsed="false">
      <c r="A1433" s="79" t="n">
        <v>45810</v>
      </c>
      <c r="B1433" s="80" t="n">
        <v>0</v>
      </c>
    </row>
    <row r="1434" customFormat="false" ht="15" hidden="false" customHeight="false" outlineLevel="0" collapsed="false">
      <c r="A1434" s="79" t="n">
        <v>45811</v>
      </c>
      <c r="B1434" s="80" t="n">
        <v>0</v>
      </c>
    </row>
    <row r="1435" customFormat="false" ht="15" hidden="false" customHeight="false" outlineLevel="0" collapsed="false">
      <c r="A1435" s="79" t="n">
        <v>45812</v>
      </c>
      <c r="B1435" s="80" t="n">
        <v>0</v>
      </c>
    </row>
    <row r="1436" customFormat="false" ht="15" hidden="false" customHeight="false" outlineLevel="0" collapsed="false">
      <c r="A1436" s="79" t="n">
        <v>45813</v>
      </c>
      <c r="B1436" s="80" t="n">
        <v>0</v>
      </c>
    </row>
    <row r="1437" customFormat="false" ht="15" hidden="false" customHeight="false" outlineLevel="0" collapsed="false">
      <c r="A1437" s="79" t="n">
        <v>45814</v>
      </c>
      <c r="B1437" s="80" t="n">
        <v>0</v>
      </c>
    </row>
    <row r="1438" customFormat="false" ht="15" hidden="false" customHeight="false" outlineLevel="0" collapsed="false">
      <c r="A1438" s="79" t="n">
        <v>45815</v>
      </c>
      <c r="B1438" s="80" t="n">
        <v>0</v>
      </c>
    </row>
    <row r="1439" customFormat="false" ht="15" hidden="false" customHeight="false" outlineLevel="0" collapsed="false">
      <c r="A1439" s="79" t="n">
        <v>45816</v>
      </c>
      <c r="B1439" s="80" t="n">
        <v>0</v>
      </c>
    </row>
    <row r="1440" customFormat="false" ht="15" hidden="false" customHeight="false" outlineLevel="0" collapsed="false">
      <c r="A1440" s="79" t="n">
        <v>45817</v>
      </c>
      <c r="B1440" s="80" t="n">
        <v>0</v>
      </c>
    </row>
    <row r="1441" customFormat="false" ht="15" hidden="false" customHeight="false" outlineLevel="0" collapsed="false">
      <c r="A1441" s="79" t="n">
        <v>45818</v>
      </c>
      <c r="B1441" s="80" t="n">
        <v>0</v>
      </c>
    </row>
    <row r="1442" customFormat="false" ht="15" hidden="false" customHeight="false" outlineLevel="0" collapsed="false">
      <c r="A1442" s="79" t="n">
        <v>45819</v>
      </c>
      <c r="B1442" s="80" t="n">
        <v>0</v>
      </c>
    </row>
    <row r="1443" customFormat="false" ht="15" hidden="false" customHeight="false" outlineLevel="0" collapsed="false">
      <c r="A1443" s="79" t="n">
        <v>45820</v>
      </c>
      <c r="B1443" s="80" t="n">
        <v>0</v>
      </c>
    </row>
    <row r="1444" customFormat="false" ht="15" hidden="false" customHeight="false" outlineLevel="0" collapsed="false">
      <c r="A1444" s="79" t="n">
        <v>45821</v>
      </c>
      <c r="B1444" s="80" t="n">
        <v>0</v>
      </c>
    </row>
    <row r="1445" customFormat="false" ht="15" hidden="false" customHeight="false" outlineLevel="0" collapsed="false">
      <c r="A1445" s="79" t="n">
        <v>45822</v>
      </c>
      <c r="B1445" s="80" t="n">
        <v>0</v>
      </c>
    </row>
    <row r="1446" customFormat="false" ht="15" hidden="false" customHeight="false" outlineLevel="0" collapsed="false">
      <c r="A1446" s="79" t="n">
        <v>45823</v>
      </c>
      <c r="B1446" s="80" t="n">
        <v>0</v>
      </c>
    </row>
    <row r="1447" customFormat="false" ht="15" hidden="false" customHeight="false" outlineLevel="0" collapsed="false">
      <c r="A1447" s="79" t="n">
        <v>45824</v>
      </c>
      <c r="B1447" s="80" t="n">
        <v>0</v>
      </c>
    </row>
    <row r="1448" customFormat="false" ht="15" hidden="false" customHeight="false" outlineLevel="0" collapsed="false">
      <c r="A1448" s="79" t="n">
        <v>45825</v>
      </c>
      <c r="B1448" s="80" t="n">
        <v>0</v>
      </c>
    </row>
    <row r="1449" customFormat="false" ht="15" hidden="false" customHeight="false" outlineLevel="0" collapsed="false">
      <c r="A1449" s="79" t="n">
        <v>45826</v>
      </c>
      <c r="B1449" s="80" t="n">
        <v>0</v>
      </c>
    </row>
    <row r="1450" customFormat="false" ht="15" hidden="false" customHeight="false" outlineLevel="0" collapsed="false">
      <c r="A1450" s="79" t="n">
        <v>45827</v>
      </c>
      <c r="B1450" s="80" t="n">
        <v>0</v>
      </c>
    </row>
    <row r="1451" customFormat="false" ht="15" hidden="false" customHeight="false" outlineLevel="0" collapsed="false">
      <c r="A1451" s="79" t="n">
        <v>45828</v>
      </c>
      <c r="B1451" s="80" t="n">
        <v>1</v>
      </c>
    </row>
    <row r="1452" customFormat="false" ht="15" hidden="false" customHeight="false" outlineLevel="0" collapsed="false">
      <c r="A1452" s="79" t="n">
        <v>45829</v>
      </c>
      <c r="B1452" s="80" t="n">
        <v>0</v>
      </c>
    </row>
    <row r="1453" customFormat="false" ht="15" hidden="false" customHeight="false" outlineLevel="0" collapsed="false">
      <c r="A1453" s="79" t="n">
        <v>45830</v>
      </c>
      <c r="B1453" s="80" t="n">
        <v>0</v>
      </c>
    </row>
    <row r="1454" customFormat="false" ht="15" hidden="false" customHeight="false" outlineLevel="0" collapsed="false">
      <c r="A1454" s="79" t="n">
        <v>45831</v>
      </c>
      <c r="B1454" s="80" t="n">
        <v>0</v>
      </c>
    </row>
    <row r="1455" customFormat="false" ht="15" hidden="false" customHeight="false" outlineLevel="0" collapsed="false">
      <c r="A1455" s="79" t="n">
        <v>45832</v>
      </c>
      <c r="B1455" s="80" t="n">
        <v>1</v>
      </c>
    </row>
    <row r="1456" customFormat="false" ht="15" hidden="false" customHeight="false" outlineLevel="0" collapsed="false">
      <c r="A1456" s="79" t="n">
        <v>45833</v>
      </c>
      <c r="B1456" s="80" t="n">
        <v>1</v>
      </c>
    </row>
    <row r="1457" customFormat="false" ht="15" hidden="false" customHeight="false" outlineLevel="0" collapsed="false">
      <c r="A1457" s="79" t="n">
        <v>45834</v>
      </c>
      <c r="B1457" s="80" t="n">
        <v>0</v>
      </c>
    </row>
    <row r="1458" customFormat="false" ht="15" hidden="false" customHeight="false" outlineLevel="0" collapsed="false">
      <c r="A1458" s="79" t="n">
        <v>45835</v>
      </c>
      <c r="B1458" s="80" t="n">
        <v>0</v>
      </c>
    </row>
    <row r="1459" customFormat="false" ht="15" hidden="false" customHeight="false" outlineLevel="0" collapsed="false">
      <c r="A1459" s="79" t="n">
        <v>45836</v>
      </c>
      <c r="B1459" s="80" t="n">
        <v>0</v>
      </c>
    </row>
    <row r="1460" customFormat="false" ht="15" hidden="false" customHeight="false" outlineLevel="0" collapsed="false">
      <c r="A1460" s="79" t="n">
        <v>45837</v>
      </c>
      <c r="B1460" s="80" t="n">
        <v>0</v>
      </c>
    </row>
    <row r="1461" customFormat="false" ht="15" hidden="false" customHeight="false" outlineLevel="0" collapsed="false">
      <c r="A1461" s="79" t="n">
        <v>45838</v>
      </c>
      <c r="B1461" s="80" t="n">
        <v>0</v>
      </c>
    </row>
    <row r="1462" customFormat="false" ht="15" hidden="false" customHeight="false" outlineLevel="0" collapsed="false">
      <c r="A1462" s="79" t="n">
        <v>45839</v>
      </c>
      <c r="B1462" s="80" t="n">
        <v>0</v>
      </c>
    </row>
    <row r="1463" customFormat="false" ht="15" hidden="false" customHeight="false" outlineLevel="0" collapsed="false">
      <c r="A1463" s="79" t="n">
        <v>45840</v>
      </c>
      <c r="B1463" s="80" t="n">
        <v>0</v>
      </c>
    </row>
    <row r="1464" customFormat="false" ht="15" hidden="false" customHeight="false" outlineLevel="0" collapsed="false">
      <c r="A1464" s="79" t="n">
        <v>45841</v>
      </c>
      <c r="B1464" s="80" t="n">
        <v>0</v>
      </c>
    </row>
    <row r="1465" customFormat="false" ht="15" hidden="false" customHeight="false" outlineLevel="0" collapsed="false">
      <c r="A1465" s="79" t="n">
        <v>45842</v>
      </c>
      <c r="B1465" s="80" t="n">
        <v>0</v>
      </c>
    </row>
    <row r="1466" customFormat="false" ht="15" hidden="false" customHeight="false" outlineLevel="0" collapsed="false">
      <c r="A1466" s="79" t="n">
        <v>45843</v>
      </c>
      <c r="B1466" s="80" t="n">
        <v>0</v>
      </c>
    </row>
    <row r="1467" customFormat="false" ht="15" hidden="false" customHeight="false" outlineLevel="0" collapsed="false">
      <c r="A1467" s="79" t="n">
        <v>45844</v>
      </c>
      <c r="B1467" s="80" t="n">
        <v>0</v>
      </c>
    </row>
    <row r="1468" customFormat="false" ht="15" hidden="false" customHeight="false" outlineLevel="0" collapsed="false">
      <c r="A1468" s="79" t="n">
        <v>45845</v>
      </c>
      <c r="B1468" s="80" t="n">
        <v>0</v>
      </c>
    </row>
    <row r="1469" customFormat="false" ht="15" hidden="false" customHeight="false" outlineLevel="0" collapsed="false">
      <c r="A1469" s="79" t="n">
        <v>45846</v>
      </c>
      <c r="B1469" s="80" t="n">
        <v>0</v>
      </c>
    </row>
    <row r="1470" customFormat="false" ht="15" hidden="false" customHeight="false" outlineLevel="0" collapsed="false">
      <c r="A1470" s="79" t="n">
        <v>45847</v>
      </c>
      <c r="B1470" s="80" t="n">
        <v>0</v>
      </c>
    </row>
    <row r="1471" customFormat="false" ht="15" hidden="false" customHeight="false" outlineLevel="0" collapsed="false">
      <c r="A1471" s="79" t="n">
        <v>45848</v>
      </c>
      <c r="B1471" s="80" t="n">
        <v>0</v>
      </c>
    </row>
    <row r="1472" customFormat="false" ht="15" hidden="false" customHeight="false" outlineLevel="0" collapsed="false">
      <c r="A1472" s="79" t="n">
        <v>45849</v>
      </c>
      <c r="B1472" s="80" t="n">
        <v>0</v>
      </c>
    </row>
    <row r="1473" customFormat="false" ht="15" hidden="false" customHeight="false" outlineLevel="0" collapsed="false">
      <c r="A1473" s="79" t="n">
        <v>45850</v>
      </c>
      <c r="B1473" s="80" t="n">
        <v>2</v>
      </c>
    </row>
    <row r="1474" customFormat="false" ht="15" hidden="false" customHeight="false" outlineLevel="0" collapsed="false">
      <c r="A1474" s="79" t="n">
        <v>45851</v>
      </c>
      <c r="B1474" s="80" t="n">
        <v>0</v>
      </c>
    </row>
    <row r="1475" customFormat="false" ht="15" hidden="false" customHeight="false" outlineLevel="0" collapsed="false">
      <c r="A1475" s="79" t="n">
        <v>45852</v>
      </c>
      <c r="B1475" s="80" t="n">
        <v>0</v>
      </c>
    </row>
    <row r="1476" customFormat="false" ht="15" hidden="false" customHeight="false" outlineLevel="0" collapsed="false">
      <c r="A1476" s="79" t="n">
        <v>45853</v>
      </c>
      <c r="B1476" s="80" t="n">
        <v>1</v>
      </c>
    </row>
    <row r="1477" customFormat="false" ht="15" hidden="false" customHeight="false" outlineLevel="0" collapsed="false">
      <c r="A1477" s="79" t="n">
        <v>45854</v>
      </c>
      <c r="B1477" s="80" t="n">
        <v>0</v>
      </c>
    </row>
    <row r="1478" customFormat="false" ht="15" hidden="false" customHeight="false" outlineLevel="0" collapsed="false">
      <c r="A1478" s="79" t="n">
        <v>45855</v>
      </c>
      <c r="B1478" s="80" t="n">
        <v>0</v>
      </c>
    </row>
    <row r="1479" customFormat="false" ht="15" hidden="false" customHeight="false" outlineLevel="0" collapsed="false">
      <c r="A1479" s="79" t="n">
        <v>45856</v>
      </c>
      <c r="B1479" s="80" t="n">
        <v>0</v>
      </c>
    </row>
    <row r="1480" customFormat="false" ht="15" hidden="false" customHeight="false" outlineLevel="0" collapsed="false">
      <c r="A1480" s="79" t="n">
        <v>45857</v>
      </c>
      <c r="B1480" s="80" t="n">
        <v>0</v>
      </c>
    </row>
    <row r="1481" customFormat="false" ht="15" hidden="false" customHeight="false" outlineLevel="0" collapsed="false">
      <c r="A1481" s="79" t="n">
        <v>45858</v>
      </c>
      <c r="B1481" s="80" t="n">
        <v>0</v>
      </c>
    </row>
    <row r="1482" customFormat="false" ht="15" hidden="false" customHeight="false" outlineLevel="0" collapsed="false">
      <c r="A1482" s="79" t="n">
        <v>45859</v>
      </c>
      <c r="B1482" s="80" t="n">
        <v>0</v>
      </c>
    </row>
    <row r="1483" customFormat="false" ht="15" hidden="false" customHeight="false" outlineLevel="0" collapsed="false">
      <c r="A1483" s="79" t="n">
        <v>45860</v>
      </c>
      <c r="B1483" s="80" t="n">
        <v>3</v>
      </c>
    </row>
    <row r="1484" customFormat="false" ht="15" hidden="false" customHeight="false" outlineLevel="0" collapsed="false">
      <c r="A1484" s="79" t="n">
        <v>45861</v>
      </c>
      <c r="B1484" s="80" t="n">
        <v>0</v>
      </c>
    </row>
    <row r="1485" customFormat="false" ht="15" hidden="false" customHeight="false" outlineLevel="0" collapsed="false">
      <c r="A1485" s="79" t="n">
        <v>45862</v>
      </c>
      <c r="B1485" s="80" t="n">
        <v>0</v>
      </c>
    </row>
    <row r="1486" customFormat="false" ht="15" hidden="false" customHeight="false" outlineLevel="0" collapsed="false">
      <c r="A1486" s="79" t="n">
        <v>45863</v>
      </c>
      <c r="B1486" s="80" t="n">
        <v>0</v>
      </c>
    </row>
    <row r="1487" customFormat="false" ht="15" hidden="false" customHeight="false" outlineLevel="0" collapsed="false">
      <c r="A1487" s="79" t="n">
        <v>45864</v>
      </c>
      <c r="B1487" s="80" t="n">
        <v>0</v>
      </c>
    </row>
    <row r="1488" customFormat="false" ht="15" hidden="false" customHeight="false" outlineLevel="0" collapsed="false">
      <c r="A1488" s="79" t="n">
        <v>45865</v>
      </c>
      <c r="B1488" s="80" t="n">
        <v>1</v>
      </c>
    </row>
    <row r="1489" customFormat="false" ht="15" hidden="false" customHeight="false" outlineLevel="0" collapsed="false">
      <c r="A1489" s="79" t="n">
        <v>45866</v>
      </c>
      <c r="B1489" s="80" t="n">
        <v>0</v>
      </c>
    </row>
    <row r="1490" customFormat="false" ht="15" hidden="false" customHeight="false" outlineLevel="0" collapsed="false">
      <c r="A1490" s="79" t="n">
        <v>45867</v>
      </c>
      <c r="B1490" s="80" t="n">
        <v>0</v>
      </c>
    </row>
    <row r="1491" customFormat="false" ht="15" hidden="false" customHeight="false" outlineLevel="0" collapsed="false">
      <c r="A1491" s="79" t="n">
        <v>45868</v>
      </c>
      <c r="B1491" s="80" t="n">
        <v>0</v>
      </c>
    </row>
    <row r="1492" customFormat="false" ht="15" hidden="false" customHeight="false" outlineLevel="0" collapsed="false">
      <c r="A1492" s="79" t="n">
        <v>45869</v>
      </c>
      <c r="B1492" s="80" t="n">
        <v>0</v>
      </c>
    </row>
    <row r="1493" customFormat="false" ht="15" hidden="false" customHeight="false" outlineLevel="0" collapsed="false">
      <c r="A1493" s="79" t="n">
        <v>45870</v>
      </c>
      <c r="B1493" s="80" t="n">
        <v>0</v>
      </c>
    </row>
    <row r="1494" customFormat="false" ht="15" hidden="false" customHeight="false" outlineLevel="0" collapsed="false">
      <c r="A1494" s="79" t="n">
        <v>45871</v>
      </c>
      <c r="B1494" s="80" t="n">
        <v>0</v>
      </c>
    </row>
    <row r="1495" customFormat="false" ht="15" hidden="false" customHeight="false" outlineLevel="0" collapsed="false">
      <c r="A1495" s="79" t="n">
        <v>45872</v>
      </c>
      <c r="B1495" s="80" t="n">
        <v>0</v>
      </c>
    </row>
    <row r="1496" customFormat="false" ht="15" hidden="false" customHeight="false" outlineLevel="0" collapsed="false">
      <c r="A1496" s="79" t="n">
        <v>45873</v>
      </c>
      <c r="B1496" s="80" t="n">
        <v>0</v>
      </c>
    </row>
    <row r="1497" customFormat="false" ht="15" hidden="false" customHeight="false" outlineLevel="0" collapsed="false">
      <c r="A1497" s="79" t="n">
        <v>45874</v>
      </c>
      <c r="B1497" s="80" t="n">
        <v>0</v>
      </c>
    </row>
    <row r="1498" customFormat="false" ht="15" hidden="false" customHeight="false" outlineLevel="0" collapsed="false">
      <c r="A1498" s="79" t="n">
        <v>45875</v>
      </c>
      <c r="B1498" s="80" t="n">
        <v>0</v>
      </c>
    </row>
    <row r="1499" customFormat="false" ht="15" hidden="false" customHeight="false" outlineLevel="0" collapsed="false">
      <c r="A1499" s="79" t="n">
        <v>45876</v>
      </c>
      <c r="B1499" s="80" t="n">
        <v>0</v>
      </c>
    </row>
    <row r="1500" customFormat="false" ht="15" hidden="false" customHeight="false" outlineLevel="0" collapsed="false">
      <c r="A1500" s="79" t="n">
        <v>45877</v>
      </c>
      <c r="B1500" s="80" t="n">
        <v>0</v>
      </c>
    </row>
    <row r="1501" customFormat="false" ht="15" hidden="false" customHeight="false" outlineLevel="0" collapsed="false">
      <c r="A1501" s="79" t="n">
        <v>45878</v>
      </c>
      <c r="B1501" s="80" t="n">
        <v>0</v>
      </c>
    </row>
    <row r="1502" customFormat="false" ht="15" hidden="false" customHeight="false" outlineLevel="0" collapsed="false">
      <c r="A1502" s="79" t="n">
        <v>45879</v>
      </c>
      <c r="B1502" s="80" t="n">
        <v>0</v>
      </c>
    </row>
    <row r="1503" customFormat="false" ht="15" hidden="false" customHeight="false" outlineLevel="0" collapsed="false">
      <c r="A1503" s="79" t="n">
        <v>45880</v>
      </c>
      <c r="B1503" s="80" t="n">
        <v>0</v>
      </c>
    </row>
    <row r="1504" customFormat="false" ht="15" hidden="false" customHeight="false" outlineLevel="0" collapsed="false">
      <c r="A1504" s="79" t="n">
        <v>45881</v>
      </c>
      <c r="B1504" s="80" t="n">
        <v>0</v>
      </c>
    </row>
    <row r="1505" customFormat="false" ht="15" hidden="false" customHeight="false" outlineLevel="0" collapsed="false">
      <c r="A1505" s="79" t="n">
        <v>45882</v>
      </c>
      <c r="B1505" s="80" t="n">
        <v>0</v>
      </c>
    </row>
    <row r="1506" customFormat="false" ht="15" hidden="false" customHeight="false" outlineLevel="0" collapsed="false">
      <c r="A1506" s="79" t="n">
        <v>45883</v>
      </c>
      <c r="B1506" s="80" t="n">
        <v>0</v>
      </c>
    </row>
    <row r="1507" customFormat="false" ht="15" hidden="false" customHeight="false" outlineLevel="0" collapsed="false">
      <c r="A1507" s="79" t="n">
        <v>45884</v>
      </c>
      <c r="B1507" s="80" t="n">
        <v>0</v>
      </c>
    </row>
    <row r="1508" customFormat="false" ht="15" hidden="false" customHeight="false" outlineLevel="0" collapsed="false">
      <c r="A1508" s="79" t="n">
        <v>45885</v>
      </c>
      <c r="B1508" s="80" t="n">
        <v>0</v>
      </c>
    </row>
    <row r="1509" customFormat="false" ht="15" hidden="false" customHeight="false" outlineLevel="0" collapsed="false">
      <c r="A1509" s="79" t="n">
        <v>45886</v>
      </c>
      <c r="B1509" s="80" t="n">
        <v>0</v>
      </c>
    </row>
    <row r="1510" customFormat="false" ht="15" hidden="false" customHeight="false" outlineLevel="0" collapsed="false">
      <c r="A1510" s="79" t="n">
        <v>45887</v>
      </c>
      <c r="B1510" s="80" t="n">
        <v>1</v>
      </c>
    </row>
    <row r="1511" customFormat="false" ht="15" hidden="false" customHeight="false" outlineLevel="0" collapsed="false">
      <c r="A1511" s="79" t="n">
        <v>45888</v>
      </c>
      <c r="B1511" s="80" t="n">
        <v>0</v>
      </c>
    </row>
    <row r="1512" customFormat="false" ht="15" hidden="false" customHeight="false" outlineLevel="0" collapsed="false">
      <c r="A1512" s="79" t="n">
        <v>45889</v>
      </c>
      <c r="B1512" s="80" t="n">
        <v>0</v>
      </c>
    </row>
    <row r="1513" customFormat="false" ht="15" hidden="false" customHeight="false" outlineLevel="0" collapsed="false">
      <c r="A1513" s="79" t="n">
        <v>45890</v>
      </c>
      <c r="B1513" s="80" t="n">
        <v>0</v>
      </c>
    </row>
    <row r="1514" customFormat="false" ht="15" hidden="false" customHeight="false" outlineLevel="0" collapsed="false">
      <c r="A1514" s="79" t="n">
        <v>45891</v>
      </c>
      <c r="B1514" s="80" t="n">
        <v>0</v>
      </c>
    </row>
    <row r="1515" customFormat="false" ht="15" hidden="false" customHeight="false" outlineLevel="0" collapsed="false">
      <c r="A1515" s="79" t="n">
        <v>45892</v>
      </c>
      <c r="B1515" s="80" t="n">
        <v>0</v>
      </c>
    </row>
    <row r="1516" customFormat="false" ht="15" hidden="false" customHeight="false" outlineLevel="0" collapsed="false">
      <c r="A1516" s="79" t="n">
        <v>45893</v>
      </c>
      <c r="B1516" s="80" t="n">
        <v>0</v>
      </c>
    </row>
    <row r="1517" customFormat="false" ht="15" hidden="false" customHeight="false" outlineLevel="0" collapsed="false">
      <c r="A1517" s="79" t="n">
        <v>45894</v>
      </c>
      <c r="B1517" s="80" t="n">
        <v>1</v>
      </c>
    </row>
    <row r="1518" customFormat="false" ht="15" hidden="false" customHeight="false" outlineLevel="0" collapsed="false">
      <c r="A1518" s="79" t="n">
        <v>45895</v>
      </c>
      <c r="B1518" s="80" t="n">
        <v>0</v>
      </c>
    </row>
    <row r="1519" customFormat="false" ht="15" hidden="false" customHeight="false" outlineLevel="0" collapsed="false">
      <c r="A1519" s="79" t="n">
        <v>45896</v>
      </c>
      <c r="B1519" s="80" t="n">
        <v>0</v>
      </c>
    </row>
    <row r="1520" customFormat="false" ht="15" hidden="false" customHeight="false" outlineLevel="0" collapsed="false">
      <c r="A1520" s="79" t="n">
        <v>45897</v>
      </c>
      <c r="B1520" s="80" t="n">
        <v>0</v>
      </c>
    </row>
    <row r="1521" customFormat="false" ht="15" hidden="false" customHeight="false" outlineLevel="0" collapsed="false">
      <c r="A1521" s="79" t="n">
        <v>45898</v>
      </c>
      <c r="B1521" s="80" t="n">
        <v>0</v>
      </c>
    </row>
    <row r="1522" customFormat="false" ht="15" hidden="false" customHeight="false" outlineLevel="0" collapsed="false">
      <c r="A1522" s="79" t="n">
        <v>45899</v>
      </c>
      <c r="B1522" s="80" t="n">
        <v>1</v>
      </c>
    </row>
    <row r="1523" customFormat="false" ht="15" hidden="false" customHeight="false" outlineLevel="0" collapsed="false">
      <c r="A1523" s="79" t="n">
        <v>45900</v>
      </c>
      <c r="B1523" s="80" t="n">
        <v>0</v>
      </c>
    </row>
    <row r="1524" customFormat="false" ht="15" hidden="false" customHeight="false" outlineLevel="0" collapsed="false">
      <c r="A1524" s="79" t="n">
        <v>45901</v>
      </c>
      <c r="B1524" s="80" t="n">
        <v>0</v>
      </c>
    </row>
    <row r="1525" customFormat="false" ht="15" hidden="false" customHeight="false" outlineLevel="0" collapsed="false">
      <c r="A1525" s="79" t="n">
        <v>45902</v>
      </c>
      <c r="B1525" s="80" t="n">
        <v>0</v>
      </c>
    </row>
    <row r="1526" customFormat="false" ht="15" hidden="false" customHeight="false" outlineLevel="0" collapsed="false">
      <c r="A1526" s="79" t="n">
        <v>45903</v>
      </c>
      <c r="B1526" s="80" t="n">
        <v>0</v>
      </c>
    </row>
    <row r="1527" customFormat="false" ht="15" hidden="false" customHeight="false" outlineLevel="0" collapsed="false">
      <c r="A1527" s="79" t="n">
        <v>45904</v>
      </c>
      <c r="B1527" s="80" t="n">
        <v>1</v>
      </c>
    </row>
    <row r="1528" customFormat="false" ht="15" hidden="false" customHeight="false" outlineLevel="0" collapsed="false">
      <c r="A1528" s="79" t="n">
        <v>45905</v>
      </c>
      <c r="B1528" s="80" t="n">
        <v>0</v>
      </c>
    </row>
    <row r="1529" customFormat="false" ht="15" hidden="false" customHeight="false" outlineLevel="0" collapsed="false">
      <c r="A1529" s="79" t="n">
        <v>45906</v>
      </c>
      <c r="B1529" s="80" t="n">
        <v>0</v>
      </c>
    </row>
    <row r="1530" customFormat="false" ht="15" hidden="false" customHeight="false" outlineLevel="0" collapsed="false">
      <c r="A1530" s="79" t="n">
        <v>45907</v>
      </c>
      <c r="B1530" s="80" t="n">
        <v>0</v>
      </c>
    </row>
    <row r="1531" customFormat="false" ht="15" hidden="false" customHeight="false" outlineLevel="0" collapsed="false">
      <c r="A1531" s="79" t="n">
        <v>45908</v>
      </c>
      <c r="B1531" s="80" t="n">
        <v>0</v>
      </c>
    </row>
    <row r="1532" customFormat="false" ht="15" hidden="false" customHeight="false" outlineLevel="0" collapsed="false">
      <c r="A1532" s="79" t="n">
        <v>45909</v>
      </c>
      <c r="B1532" s="80" t="n">
        <v>0</v>
      </c>
    </row>
    <row r="1533" customFormat="false" ht="15" hidden="false" customHeight="false" outlineLevel="0" collapsed="false">
      <c r="A1533" s="79" t="n">
        <v>45910</v>
      </c>
      <c r="B1533" s="80" t="n">
        <v>0</v>
      </c>
    </row>
    <row r="1534" customFormat="false" ht="15" hidden="false" customHeight="false" outlineLevel="0" collapsed="false">
      <c r="A1534" s="79" t="n">
        <v>45911</v>
      </c>
      <c r="B1534" s="80" t="n">
        <v>0</v>
      </c>
    </row>
    <row r="1535" customFormat="false" ht="15" hidden="false" customHeight="false" outlineLevel="0" collapsed="false">
      <c r="A1535" s="79" t="n">
        <v>45912</v>
      </c>
      <c r="B1535" s="80" t="n">
        <v>0</v>
      </c>
    </row>
    <row r="1536" customFormat="false" ht="15" hidden="false" customHeight="false" outlineLevel="0" collapsed="false">
      <c r="A1536" s="79" t="n">
        <v>45913</v>
      </c>
      <c r="B1536" s="80" t="n">
        <v>0</v>
      </c>
    </row>
    <row r="1537" customFormat="false" ht="15" hidden="false" customHeight="false" outlineLevel="0" collapsed="false">
      <c r="A1537" s="79" t="n">
        <v>45914</v>
      </c>
      <c r="B1537" s="80" t="n">
        <v>4</v>
      </c>
    </row>
    <row r="1538" customFormat="false" ht="15" hidden="false" customHeight="false" outlineLevel="0" collapsed="false">
      <c r="A1538" s="79" t="n">
        <v>45915</v>
      </c>
      <c r="B1538" s="80" t="n">
        <v>1</v>
      </c>
    </row>
    <row r="1539" customFormat="false" ht="15" hidden="false" customHeight="false" outlineLevel="0" collapsed="false">
      <c r="A1539" s="79" t="n">
        <v>45916</v>
      </c>
      <c r="B1539" s="80" t="n">
        <v>0</v>
      </c>
    </row>
    <row r="1540" customFormat="false" ht="15" hidden="false" customHeight="false" outlineLevel="0" collapsed="false">
      <c r="A1540" s="79" t="n">
        <v>45917</v>
      </c>
      <c r="B1540" s="80" t="n">
        <v>0</v>
      </c>
    </row>
    <row r="1541" customFormat="false" ht="15" hidden="false" customHeight="false" outlineLevel="0" collapsed="false">
      <c r="A1541" s="79" t="n">
        <v>45918</v>
      </c>
      <c r="B1541" s="80" t="n">
        <v>0</v>
      </c>
    </row>
    <row r="1542" customFormat="false" ht="15" hidden="false" customHeight="false" outlineLevel="0" collapsed="false">
      <c r="A1542" s="79" t="n">
        <v>45919</v>
      </c>
      <c r="B1542" s="80" t="n">
        <v>0</v>
      </c>
    </row>
    <row r="1543" customFormat="false" ht="15" hidden="false" customHeight="false" outlineLevel="0" collapsed="false">
      <c r="A1543" s="79" t="n">
        <v>45920</v>
      </c>
      <c r="B1543" s="80" t="n">
        <v>0</v>
      </c>
    </row>
    <row r="1544" customFormat="false" ht="15" hidden="false" customHeight="false" outlineLevel="0" collapsed="false">
      <c r="A1544" s="79" t="n">
        <v>45921</v>
      </c>
      <c r="B1544" s="80" t="n">
        <v>0</v>
      </c>
    </row>
    <row r="1545" customFormat="false" ht="15" hidden="false" customHeight="false" outlineLevel="0" collapsed="false">
      <c r="A1545" s="79" t="n">
        <v>45922</v>
      </c>
      <c r="B1545" s="80" t="n">
        <v>0</v>
      </c>
    </row>
    <row r="1546" customFormat="false" ht="15" hidden="false" customHeight="false" outlineLevel="0" collapsed="false">
      <c r="A1546" s="79" t="n">
        <v>45923</v>
      </c>
      <c r="B1546" s="80" t="n">
        <v>0</v>
      </c>
    </row>
    <row r="1547" customFormat="false" ht="15" hidden="false" customHeight="false" outlineLevel="0" collapsed="false">
      <c r="A1547" s="79" t="n">
        <v>45924</v>
      </c>
      <c r="B1547" s="80" t="n">
        <v>0</v>
      </c>
    </row>
    <row r="1548" customFormat="false" ht="15" hidden="false" customHeight="false" outlineLevel="0" collapsed="false">
      <c r="A1548" s="79" t="n">
        <v>45925</v>
      </c>
      <c r="B1548" s="80" t="n">
        <v>0</v>
      </c>
    </row>
    <row r="1549" customFormat="false" ht="15" hidden="false" customHeight="false" outlineLevel="0" collapsed="false">
      <c r="A1549" s="79" t="n">
        <v>45926</v>
      </c>
      <c r="B1549" s="80" t="n">
        <v>0</v>
      </c>
    </row>
    <row r="1550" customFormat="false" ht="15" hidden="false" customHeight="false" outlineLevel="0" collapsed="false">
      <c r="A1550" s="79" t="n">
        <v>45927</v>
      </c>
      <c r="B1550" s="80" t="n">
        <v>0</v>
      </c>
    </row>
    <row r="1551" customFormat="false" ht="15" hidden="false" customHeight="false" outlineLevel="0" collapsed="false">
      <c r="A1551" s="79" t="n">
        <v>45928</v>
      </c>
      <c r="B1551" s="80" t="n">
        <v>0</v>
      </c>
    </row>
    <row r="1552" customFormat="false" ht="15" hidden="false" customHeight="false" outlineLevel="0" collapsed="false">
      <c r="A1552" s="79" t="n">
        <v>45929</v>
      </c>
      <c r="B1552" s="80" t="n">
        <v>0</v>
      </c>
    </row>
    <row r="1553" customFormat="false" ht="15" hidden="false" customHeight="false" outlineLevel="0" collapsed="false">
      <c r="A1553" s="79" t="n">
        <v>45930</v>
      </c>
      <c r="B1553" s="80" t="n">
        <v>0</v>
      </c>
    </row>
    <row r="1554" customFormat="false" ht="15" hidden="false" customHeight="false" outlineLevel="0" collapsed="false">
      <c r="A1554" s="79" t="n">
        <v>45931</v>
      </c>
      <c r="B1554" s="80" t="n">
        <v>0</v>
      </c>
    </row>
    <row r="1555" customFormat="false" ht="15" hidden="false" customHeight="false" outlineLevel="0" collapsed="false">
      <c r="A1555" s="79" t="n">
        <v>45932</v>
      </c>
      <c r="B1555" s="80" t="n">
        <v>0</v>
      </c>
    </row>
    <row r="1556" customFormat="false" ht="15" hidden="false" customHeight="false" outlineLevel="0" collapsed="false">
      <c r="A1556" s="79" t="n">
        <v>45933</v>
      </c>
      <c r="B1556" s="80" t="n">
        <v>0</v>
      </c>
    </row>
    <row r="1557" customFormat="false" ht="15" hidden="false" customHeight="false" outlineLevel="0" collapsed="false">
      <c r="A1557" s="79" t="n">
        <v>45934</v>
      </c>
      <c r="B1557" s="80" t="n">
        <v>0</v>
      </c>
    </row>
    <row r="1558" customFormat="false" ht="15" hidden="false" customHeight="false" outlineLevel="0" collapsed="false">
      <c r="A1558" s="79" t="n">
        <v>45935</v>
      </c>
      <c r="B1558" s="80" t="n">
        <v>0</v>
      </c>
    </row>
    <row r="1559" customFormat="false" ht="15" hidden="false" customHeight="false" outlineLevel="0" collapsed="false">
      <c r="A1559" s="79" t="n">
        <v>45936</v>
      </c>
      <c r="B1559" s="80" t="n">
        <v>0</v>
      </c>
    </row>
    <row r="1560" customFormat="false" ht="15" hidden="false" customHeight="false" outlineLevel="0" collapsed="false">
      <c r="A1560" s="79" t="n">
        <v>45937</v>
      </c>
      <c r="B1560" s="80" t="n">
        <v>0</v>
      </c>
    </row>
    <row r="1561" customFormat="false" ht="15" hidden="false" customHeight="false" outlineLevel="0" collapsed="false">
      <c r="A1561" s="79" t="n">
        <v>45938</v>
      </c>
      <c r="B1561" s="80" t="n">
        <v>0</v>
      </c>
    </row>
    <row r="1562" customFormat="false" ht="15" hidden="false" customHeight="false" outlineLevel="0" collapsed="false">
      <c r="A1562" s="79" t="n">
        <v>45939</v>
      </c>
      <c r="B1562" s="80" t="n">
        <v>0</v>
      </c>
    </row>
    <row r="1563" customFormat="false" ht="15" hidden="false" customHeight="false" outlineLevel="0" collapsed="false">
      <c r="A1563" s="79" t="n">
        <v>45940</v>
      </c>
      <c r="B1563" s="80" t="n">
        <v>0</v>
      </c>
    </row>
    <row r="1564" customFormat="false" ht="15" hidden="false" customHeight="false" outlineLevel="0" collapsed="false">
      <c r="A1564" s="79" t="n">
        <v>45941</v>
      </c>
      <c r="B1564" s="80" t="n">
        <v>0</v>
      </c>
    </row>
    <row r="1565" customFormat="false" ht="15" hidden="false" customHeight="false" outlineLevel="0" collapsed="false">
      <c r="A1565" s="79" t="n">
        <v>45942</v>
      </c>
      <c r="B1565" s="80" t="n">
        <v>0</v>
      </c>
    </row>
    <row r="1566" customFormat="false" ht="15" hidden="false" customHeight="false" outlineLevel="0" collapsed="false">
      <c r="A1566" s="79" t="n">
        <v>45943</v>
      </c>
      <c r="B1566" s="80" t="n">
        <v>0</v>
      </c>
    </row>
    <row r="1567" customFormat="false" ht="15" hidden="false" customHeight="false" outlineLevel="0" collapsed="false">
      <c r="A1567" s="79" t="n">
        <v>45944</v>
      </c>
      <c r="B1567" s="80" t="n">
        <v>0</v>
      </c>
    </row>
    <row r="1568" customFormat="false" ht="15" hidden="false" customHeight="false" outlineLevel="0" collapsed="false">
      <c r="A1568" s="79" t="n">
        <v>45945</v>
      </c>
      <c r="B1568" s="80" t="n">
        <v>0</v>
      </c>
    </row>
    <row r="1569" customFormat="false" ht="15" hidden="false" customHeight="false" outlineLevel="0" collapsed="false">
      <c r="A1569" s="79" t="n">
        <v>45946</v>
      </c>
      <c r="B1569" s="80" t="n">
        <v>0</v>
      </c>
    </row>
    <row r="1570" customFormat="false" ht="15" hidden="false" customHeight="false" outlineLevel="0" collapsed="false">
      <c r="A1570" s="79" t="n">
        <v>45947</v>
      </c>
      <c r="B1570" s="80" t="n">
        <v>0</v>
      </c>
    </row>
    <row r="1571" customFormat="false" ht="15" hidden="false" customHeight="false" outlineLevel="0" collapsed="false">
      <c r="A1571" s="79" t="n">
        <v>45948</v>
      </c>
      <c r="B1571" s="80" t="n">
        <v>0</v>
      </c>
    </row>
    <row r="1572" customFormat="false" ht="15" hidden="false" customHeight="false" outlineLevel="0" collapsed="false">
      <c r="A1572" s="79" t="n">
        <v>45949</v>
      </c>
      <c r="B1572" s="80" t="n">
        <v>0</v>
      </c>
    </row>
    <row r="1573" customFormat="false" ht="15" hidden="false" customHeight="false" outlineLevel="0" collapsed="false">
      <c r="A1573" s="79" t="n">
        <v>45950</v>
      </c>
      <c r="B1573" s="80" t="n">
        <v>0</v>
      </c>
    </row>
    <row r="1574" customFormat="false" ht="15" hidden="false" customHeight="false" outlineLevel="0" collapsed="false">
      <c r="A1574" s="79" t="n">
        <v>45951</v>
      </c>
      <c r="B1574" s="80" t="n">
        <v>14</v>
      </c>
    </row>
    <row r="1575" customFormat="false" ht="15" hidden="false" customHeight="false" outlineLevel="0" collapsed="false">
      <c r="A1575" s="79" t="n">
        <v>45952</v>
      </c>
      <c r="B1575" s="80" t="n">
        <v>0</v>
      </c>
    </row>
    <row r="1576" customFormat="false" ht="15" hidden="false" customHeight="false" outlineLevel="0" collapsed="false">
      <c r="A1576" s="79" t="n">
        <v>45953</v>
      </c>
      <c r="B1576" s="80" t="n">
        <v>0</v>
      </c>
    </row>
    <row r="1577" customFormat="false" ht="15" hidden="false" customHeight="false" outlineLevel="0" collapsed="false">
      <c r="A1577" s="79" t="n">
        <v>45954</v>
      </c>
      <c r="B1577" s="80" t="n">
        <v>0</v>
      </c>
    </row>
    <row r="1578" customFormat="false" ht="15" hidden="false" customHeight="false" outlineLevel="0" collapsed="false">
      <c r="A1578" s="79" t="n">
        <v>45955</v>
      </c>
      <c r="B1578" s="80" t="n">
        <v>0</v>
      </c>
    </row>
    <row r="1579" customFormat="false" ht="15" hidden="false" customHeight="false" outlineLevel="0" collapsed="false">
      <c r="A1579" s="79" t="n">
        <v>45956</v>
      </c>
      <c r="B1579" s="80" t="n">
        <v>0</v>
      </c>
    </row>
    <row r="1580" customFormat="false" ht="15" hidden="false" customHeight="false" outlineLevel="0" collapsed="false">
      <c r="A1580" s="79" t="n">
        <v>45957</v>
      </c>
      <c r="B1580" s="80" t="n">
        <v>0</v>
      </c>
    </row>
    <row r="1581" customFormat="false" ht="15" hidden="false" customHeight="false" outlineLevel="0" collapsed="false">
      <c r="A1581" s="79" t="n">
        <v>45958</v>
      </c>
      <c r="B1581" s="80" t="n">
        <v>0</v>
      </c>
    </row>
    <row r="1582" customFormat="false" ht="15" hidden="false" customHeight="false" outlineLevel="0" collapsed="false">
      <c r="A1582" s="79" t="n">
        <v>45959</v>
      </c>
      <c r="B1582" s="80" t="n">
        <v>0</v>
      </c>
    </row>
    <row r="1583" customFormat="false" ht="15" hidden="false" customHeight="false" outlineLevel="0" collapsed="false">
      <c r="A1583" s="79" t="n">
        <v>45960</v>
      </c>
      <c r="B1583" s="80" t="n">
        <v>0</v>
      </c>
    </row>
    <row r="1584" customFormat="false" ht="15" hidden="false" customHeight="false" outlineLevel="0" collapsed="false">
      <c r="A1584" s="79" t="n">
        <v>45961</v>
      </c>
      <c r="B1584" s="80" t="n">
        <v>0</v>
      </c>
    </row>
    <row r="1585" customFormat="false" ht="15" hidden="false" customHeight="false" outlineLevel="0" collapsed="false">
      <c r="A1585" s="79" t="n">
        <v>45962</v>
      </c>
      <c r="B1585" s="80" t="n">
        <v>0</v>
      </c>
    </row>
    <row r="1586" customFormat="false" ht="15" hidden="false" customHeight="false" outlineLevel="0" collapsed="false">
      <c r="A1586" s="79" t="n">
        <v>45963</v>
      </c>
      <c r="B1586" s="80" t="n">
        <v>115</v>
      </c>
    </row>
    <row r="1587" customFormat="false" ht="15" hidden="false" customHeight="false" outlineLevel="0" collapsed="false">
      <c r="A1587" s="79" t="n">
        <v>45964</v>
      </c>
      <c r="B1587" s="80" t="n">
        <v>1</v>
      </c>
    </row>
    <row r="1588" customFormat="false" ht="15" hidden="false" customHeight="false" outlineLevel="0" collapsed="false">
      <c r="A1588" s="79" t="n">
        <v>45965</v>
      </c>
      <c r="B1588" s="80" t="n">
        <v>6</v>
      </c>
    </row>
    <row r="1589" customFormat="false" ht="15" hidden="false" customHeight="false" outlineLevel="0" collapsed="false">
      <c r="A1589" s="79" t="n">
        <v>45966</v>
      </c>
      <c r="B1589" s="80" t="n">
        <v>3</v>
      </c>
    </row>
    <row r="1590" customFormat="false" ht="15" hidden="false" customHeight="false" outlineLevel="0" collapsed="false">
      <c r="A1590" s="79" t="n">
        <v>45967</v>
      </c>
      <c r="B1590" s="80" t="n">
        <v>0</v>
      </c>
    </row>
    <row r="1591" customFormat="false" ht="15" hidden="false" customHeight="false" outlineLevel="0" collapsed="false">
      <c r="A1591" s="79" t="n">
        <v>45968</v>
      </c>
      <c r="B1591" s="80" t="n">
        <v>14</v>
      </c>
    </row>
    <row r="1592" customFormat="false" ht="15" hidden="false" customHeight="false" outlineLevel="0" collapsed="false">
      <c r="A1592" s="79" t="n">
        <v>45969</v>
      </c>
      <c r="B1592" s="80" t="n">
        <v>4</v>
      </c>
    </row>
    <row r="1593" customFormat="false" ht="15" hidden="false" customHeight="false" outlineLevel="0" collapsed="false">
      <c r="A1593" s="79" t="n">
        <v>45970</v>
      </c>
      <c r="B1593" s="80" t="n">
        <v>203</v>
      </c>
    </row>
    <row r="1594" customFormat="false" ht="15" hidden="false" customHeight="false" outlineLevel="0" collapsed="false">
      <c r="A1594" s="79" t="n">
        <v>45971</v>
      </c>
      <c r="B1594" s="80" t="n">
        <v>748</v>
      </c>
    </row>
    <row r="1595" customFormat="false" ht="15" hidden="false" customHeight="false" outlineLevel="0" collapsed="false">
      <c r="A1595" s="79" t="n">
        <v>45972</v>
      </c>
      <c r="B1595" s="80" t="n">
        <v>343</v>
      </c>
    </row>
    <row r="1596" customFormat="false" ht="15" hidden="false" customHeight="false" outlineLevel="0" collapsed="false">
      <c r="A1596" s="79" t="n">
        <v>45973</v>
      </c>
      <c r="B1596" s="80" t="n">
        <v>576</v>
      </c>
    </row>
    <row r="1597" customFormat="false" ht="15" hidden="false" customHeight="false" outlineLevel="0" collapsed="false">
      <c r="A1597" s="79" t="n">
        <v>45974</v>
      </c>
      <c r="B1597" s="80" t="n">
        <v>0</v>
      </c>
    </row>
    <row r="1598" customFormat="false" ht="15" hidden="false" customHeight="false" outlineLevel="0" collapsed="false">
      <c r="A1598" s="79" t="n">
        <v>45975</v>
      </c>
      <c r="B1598" s="80" t="n">
        <v>48</v>
      </c>
    </row>
    <row r="1599" customFormat="false" ht="15" hidden="false" customHeight="false" outlineLevel="0" collapsed="false">
      <c r="A1599" s="79" t="n">
        <v>45976</v>
      </c>
      <c r="B1599" s="80" t="n">
        <v>0</v>
      </c>
    </row>
    <row r="1600" customFormat="false" ht="15" hidden="false" customHeight="false" outlineLevel="0" collapsed="false">
      <c r="A1600" s="79" t="n">
        <v>45977</v>
      </c>
      <c r="B1600" s="80" t="n">
        <v>248</v>
      </c>
    </row>
    <row r="1601" customFormat="false" ht="15" hidden="false" customHeight="false" outlineLevel="0" collapsed="false">
      <c r="A1601" s="79" t="n">
        <v>45978</v>
      </c>
      <c r="B1601" s="80" t="n">
        <v>0</v>
      </c>
    </row>
    <row r="1602" customFormat="false" ht="15" hidden="false" customHeight="false" outlineLevel="0" collapsed="false">
      <c r="A1602" s="79" t="n">
        <v>45979</v>
      </c>
      <c r="B1602" s="80" t="n">
        <v>224</v>
      </c>
    </row>
    <row r="1603" customFormat="false" ht="15" hidden="false" customHeight="false" outlineLevel="0" collapsed="false">
      <c r="A1603" s="79" t="n">
        <v>45980</v>
      </c>
      <c r="B1603" s="80" t="n">
        <v>0</v>
      </c>
    </row>
    <row r="1604" customFormat="false" ht="15" hidden="false" customHeight="false" outlineLevel="0" collapsed="false">
      <c r="A1604" s="79" t="n">
        <v>45981</v>
      </c>
      <c r="B1604" s="80" t="n">
        <v>0</v>
      </c>
    </row>
    <row r="1605" customFormat="false" ht="15" hidden="false" customHeight="false" outlineLevel="0" collapsed="false">
      <c r="A1605" s="79" t="n">
        <v>45982</v>
      </c>
      <c r="B1605" s="80" t="n">
        <v>263</v>
      </c>
    </row>
    <row r="1606" customFormat="false" ht="15" hidden="false" customHeight="false" outlineLevel="0" collapsed="false">
      <c r="A1606" s="79" t="n">
        <v>45983</v>
      </c>
      <c r="B1606" s="80" t="n">
        <v>0</v>
      </c>
    </row>
    <row r="1607" customFormat="false" ht="15" hidden="false" customHeight="false" outlineLevel="0" collapsed="false">
      <c r="A1607" s="79" t="n">
        <v>45984</v>
      </c>
      <c r="B1607" s="80" t="n">
        <v>118</v>
      </c>
    </row>
    <row r="1608" customFormat="false" ht="15" hidden="false" customHeight="false" outlineLevel="0" collapsed="false">
      <c r="A1608" s="79" t="n">
        <v>45985</v>
      </c>
      <c r="B1608" s="80" t="n">
        <v>0</v>
      </c>
    </row>
    <row r="1609" customFormat="false" ht="15" hidden="false" customHeight="false" outlineLevel="0" collapsed="false">
      <c r="A1609" s="79" t="n">
        <v>45986</v>
      </c>
      <c r="B1609" s="80" t="n">
        <v>0</v>
      </c>
    </row>
    <row r="1610" customFormat="false" ht="15" hidden="false" customHeight="false" outlineLevel="0" collapsed="false">
      <c r="A1610" s="79" t="n">
        <v>45987</v>
      </c>
      <c r="B1610" s="80" t="n">
        <v>1</v>
      </c>
    </row>
    <row r="1611" customFormat="false" ht="15" hidden="false" customHeight="false" outlineLevel="0" collapsed="false">
      <c r="A1611" s="79" t="n">
        <v>45988</v>
      </c>
      <c r="B1611" s="80" t="n">
        <v>0</v>
      </c>
    </row>
    <row r="1612" customFormat="false" ht="15" hidden="false" customHeight="false" outlineLevel="0" collapsed="false">
      <c r="A1612" s="79" t="n">
        <v>45989</v>
      </c>
      <c r="B1612" s="80" t="n">
        <v>332</v>
      </c>
    </row>
    <row r="1613" customFormat="false" ht="15" hidden="false" customHeight="false" outlineLevel="0" collapsed="false">
      <c r="A1613" s="79" t="n">
        <v>45990</v>
      </c>
      <c r="B1613" s="80" t="n">
        <v>1068</v>
      </c>
    </row>
    <row r="1614" customFormat="false" ht="15" hidden="false" customHeight="false" outlineLevel="0" collapsed="false">
      <c r="A1614" s="79" t="n">
        <v>45991</v>
      </c>
      <c r="B1614" s="80" t="n">
        <v>466</v>
      </c>
    </row>
    <row r="1615" customFormat="false" ht="15" hidden="false" customHeight="false" outlineLevel="0" collapsed="false">
      <c r="A1615" s="79" t="n">
        <v>45992</v>
      </c>
      <c r="B1615" s="80" t="n">
        <v>153</v>
      </c>
    </row>
    <row r="1616" customFormat="false" ht="15" hidden="false" customHeight="false" outlineLevel="0" collapsed="false">
      <c r="A1616" s="79" t="n">
        <v>45993</v>
      </c>
      <c r="B1616" s="80" t="n">
        <v>44</v>
      </c>
    </row>
    <row r="1617" customFormat="false" ht="15" hidden="false" customHeight="false" outlineLevel="0" collapsed="false">
      <c r="A1617" s="79" t="n">
        <v>45994</v>
      </c>
      <c r="B1617" s="80" t="n">
        <v>0</v>
      </c>
    </row>
    <row r="1618" customFormat="false" ht="15" hidden="false" customHeight="false" outlineLevel="0" collapsed="false">
      <c r="A1618" s="79" t="n">
        <v>45995</v>
      </c>
      <c r="B1618" s="80" t="n">
        <v>0</v>
      </c>
    </row>
    <row r="1619" customFormat="false" ht="15" hidden="false" customHeight="false" outlineLevel="0" collapsed="false">
      <c r="A1619" s="79" t="n">
        <v>45996</v>
      </c>
      <c r="B1619" s="80" t="n">
        <v>0</v>
      </c>
    </row>
    <row r="1620" customFormat="false" ht="15" hidden="false" customHeight="false" outlineLevel="0" collapsed="false">
      <c r="A1620" s="79" t="n">
        <v>45997</v>
      </c>
      <c r="B1620" s="80" t="n">
        <v>0</v>
      </c>
    </row>
    <row r="1621" customFormat="false" ht="15" hidden="false" customHeight="false" outlineLevel="0" collapsed="false">
      <c r="A1621" s="79" t="n">
        <v>45998</v>
      </c>
      <c r="B1621" s="80" t="n">
        <v>0</v>
      </c>
    </row>
    <row r="1622" customFormat="false" ht="15" hidden="false" customHeight="false" outlineLevel="0" collapsed="false">
      <c r="A1622" s="79" t="n">
        <v>45999</v>
      </c>
      <c r="B1622" s="80" t="n">
        <v>0</v>
      </c>
    </row>
    <row r="1623" customFormat="false" ht="15" hidden="false" customHeight="false" outlineLevel="0" collapsed="false">
      <c r="A1623" s="79" t="n">
        <v>46000</v>
      </c>
      <c r="B1623" s="80" t="n">
        <v>0</v>
      </c>
    </row>
    <row r="1624" customFormat="false" ht="15" hidden="false" customHeight="false" outlineLevel="0" collapsed="false">
      <c r="A1624" s="79" t="n">
        <v>46001</v>
      </c>
      <c r="B1624" s="80" t="n">
        <v>0</v>
      </c>
    </row>
    <row r="1625" customFormat="false" ht="15" hidden="false" customHeight="false" outlineLevel="0" collapsed="false">
      <c r="A1625" s="79" t="n">
        <v>46002</v>
      </c>
      <c r="B1625" s="80" t="n">
        <v>0</v>
      </c>
    </row>
    <row r="1626" customFormat="false" ht="15" hidden="false" customHeight="false" outlineLevel="0" collapsed="false">
      <c r="A1626" s="79" t="n">
        <v>46003</v>
      </c>
      <c r="B1626" s="80" t="n">
        <v>0</v>
      </c>
    </row>
    <row r="1627" customFormat="false" ht="15" hidden="false" customHeight="false" outlineLevel="0" collapsed="false">
      <c r="A1627" s="79" t="n">
        <v>46004</v>
      </c>
      <c r="B1627" s="80" t="n">
        <v>0</v>
      </c>
    </row>
    <row r="1628" customFormat="false" ht="15" hidden="false" customHeight="false" outlineLevel="0" collapsed="false">
      <c r="A1628" s="79" t="n">
        <v>46005</v>
      </c>
      <c r="B1628" s="80" t="n">
        <v>0</v>
      </c>
    </row>
    <row r="1629" customFormat="false" ht="15" hidden="false" customHeight="false" outlineLevel="0" collapsed="false">
      <c r="A1629" s="79" t="n">
        <v>46006</v>
      </c>
      <c r="B1629" s="80" t="n">
        <v>0</v>
      </c>
    </row>
    <row r="1630" customFormat="false" ht="15" hidden="false" customHeight="false" outlineLevel="0" collapsed="false">
      <c r="A1630" s="79" t="n">
        <v>46007</v>
      </c>
      <c r="B1630" s="80" t="n">
        <v>0</v>
      </c>
    </row>
    <row r="1631" customFormat="false" ht="15" hidden="false" customHeight="false" outlineLevel="0" collapsed="false">
      <c r="A1631" s="79" t="n">
        <v>46008</v>
      </c>
      <c r="B1631" s="80" t="n">
        <v>0</v>
      </c>
    </row>
    <row r="1632" customFormat="false" ht="15" hidden="false" customHeight="false" outlineLevel="0" collapsed="false">
      <c r="A1632" s="79" t="n">
        <v>46009</v>
      </c>
      <c r="B1632" s="80" t="n">
        <v>0</v>
      </c>
    </row>
    <row r="1633" customFormat="false" ht="15" hidden="false" customHeight="false" outlineLevel="0" collapsed="false">
      <c r="A1633" s="79" t="n">
        <v>46010</v>
      </c>
      <c r="B1633" s="80" t="n">
        <v>2</v>
      </c>
    </row>
    <row r="1634" customFormat="false" ht="15" hidden="false" customHeight="false" outlineLevel="0" collapsed="false">
      <c r="A1634" s="79" t="n">
        <v>46011</v>
      </c>
      <c r="B1634" s="80" t="n">
        <v>0</v>
      </c>
    </row>
    <row r="1635" customFormat="false" ht="15" hidden="false" customHeight="false" outlineLevel="0" collapsed="false">
      <c r="A1635" s="79" t="n">
        <v>46012</v>
      </c>
      <c r="B1635" s="80" t="n">
        <v>0</v>
      </c>
    </row>
    <row r="1636" customFormat="false" ht="15" hidden="false" customHeight="false" outlineLevel="0" collapsed="false">
      <c r="A1636" s="79" t="n">
        <v>46013</v>
      </c>
      <c r="B1636" s="80" t="n">
        <v>0</v>
      </c>
    </row>
    <row r="1637" customFormat="false" ht="15" hidden="false" customHeight="false" outlineLevel="0" collapsed="false">
      <c r="A1637" s="79" t="n">
        <v>46014</v>
      </c>
      <c r="B1637" s="80" t="n">
        <v>0</v>
      </c>
    </row>
    <row r="1638" customFormat="false" ht="15" hidden="false" customHeight="false" outlineLevel="0" collapsed="false">
      <c r="A1638" s="79" t="n">
        <v>46015</v>
      </c>
      <c r="B1638" s="80" t="n">
        <v>0</v>
      </c>
    </row>
    <row r="1639" customFormat="false" ht="15" hidden="false" customHeight="false" outlineLevel="0" collapsed="false">
      <c r="A1639" s="79" t="n">
        <v>46016</v>
      </c>
      <c r="B1639" s="80" t="n">
        <v>0</v>
      </c>
    </row>
    <row r="1640" customFormat="false" ht="15" hidden="false" customHeight="false" outlineLevel="0" collapsed="false">
      <c r="A1640" s="79" t="n">
        <v>46017</v>
      </c>
      <c r="B1640" s="80" t="n">
        <v>0</v>
      </c>
    </row>
    <row r="1641" customFormat="false" ht="15" hidden="false" customHeight="false" outlineLevel="0" collapsed="false">
      <c r="A1641" s="79" t="n">
        <v>46018</v>
      </c>
      <c r="B1641" s="80" t="n">
        <v>2</v>
      </c>
    </row>
    <row r="1642" customFormat="false" ht="15" hidden="false" customHeight="false" outlineLevel="0" collapsed="false">
      <c r="A1642" s="79" t="n">
        <v>46019</v>
      </c>
      <c r="B1642" s="80" t="n">
        <v>0</v>
      </c>
    </row>
    <row r="1643" customFormat="false" ht="15" hidden="false" customHeight="false" outlineLevel="0" collapsed="false">
      <c r="A1643" s="79" t="n">
        <v>46020</v>
      </c>
      <c r="B1643" s="80" t="n">
        <v>0</v>
      </c>
    </row>
    <row r="1644" customFormat="false" ht="15" hidden="false" customHeight="false" outlineLevel="0" collapsed="false">
      <c r="A1644" s="79" t="n">
        <v>46021</v>
      </c>
      <c r="B1644" s="80" t="n">
        <v>0</v>
      </c>
    </row>
    <row r="1645" customFormat="false" ht="15" hidden="false" customHeight="false" outlineLevel="0" collapsed="false">
      <c r="A1645" s="79" t="n">
        <v>46022</v>
      </c>
      <c r="B1645" s="80" t="n">
        <v>0</v>
      </c>
    </row>
    <row r="1646" customFormat="false" ht="15" hidden="false" customHeight="false" outlineLevel="0" collapsed="false">
      <c r="A1646" s="79" t="n">
        <v>46023</v>
      </c>
      <c r="B1646" s="80" t="n">
        <v>1</v>
      </c>
    </row>
    <row r="1647" customFormat="false" ht="15" hidden="false" customHeight="false" outlineLevel="0" collapsed="false">
      <c r="A1647" s="79" t="n">
        <v>46024</v>
      </c>
      <c r="B1647" s="80" t="n">
        <v>0</v>
      </c>
    </row>
    <row r="1648" customFormat="false" ht="15" hidden="false" customHeight="false" outlineLevel="0" collapsed="false">
      <c r="A1648" s="79" t="n">
        <v>46025</v>
      </c>
      <c r="B1648" s="80" t="n">
        <v>0</v>
      </c>
    </row>
    <row r="1649" customFormat="false" ht="15" hidden="false" customHeight="false" outlineLevel="0" collapsed="false">
      <c r="A1649" s="79" t="n">
        <v>46026</v>
      </c>
      <c r="B1649" s="80" t="n">
        <v>0</v>
      </c>
    </row>
    <row r="1650" customFormat="false" ht="15" hidden="false" customHeight="false" outlineLevel="0" collapsed="false">
      <c r="A1650" s="79" t="n">
        <v>46027</v>
      </c>
      <c r="B1650" s="80" t="n">
        <v>0</v>
      </c>
    </row>
    <row r="1651" customFormat="false" ht="15" hidden="false" customHeight="false" outlineLevel="0" collapsed="false">
      <c r="A1651" s="79" t="n">
        <v>46028</v>
      </c>
      <c r="B1651" s="80" t="n">
        <v>0</v>
      </c>
    </row>
    <row r="1652" customFormat="false" ht="15" hidden="false" customHeight="false" outlineLevel="0" collapsed="false">
      <c r="A1652" s="79" t="n">
        <v>46029</v>
      </c>
      <c r="B1652" s="80" t="n">
        <v>0</v>
      </c>
    </row>
    <row r="1653" customFormat="false" ht="15" hidden="false" customHeight="false" outlineLevel="0" collapsed="false">
      <c r="A1653" s="79" t="n">
        <v>46030</v>
      </c>
      <c r="B1653" s="80" t="n">
        <v>6</v>
      </c>
    </row>
    <row r="1654" customFormat="false" ht="15" hidden="false" customHeight="false" outlineLevel="0" collapsed="false">
      <c r="A1654" s="79" t="n">
        <v>46031</v>
      </c>
      <c r="B1654" s="80" t="n">
        <v>0</v>
      </c>
    </row>
    <row r="1655" customFormat="false" ht="15" hidden="false" customHeight="false" outlineLevel="0" collapsed="false">
      <c r="A1655" s="79" t="n">
        <v>46032</v>
      </c>
      <c r="B1655" s="80" t="n">
        <v>0</v>
      </c>
    </row>
    <row r="1656" customFormat="false" ht="15" hidden="false" customHeight="false" outlineLevel="0" collapsed="false">
      <c r="A1656" s="79" t="n">
        <v>46033</v>
      </c>
      <c r="B1656" s="80" t="n">
        <v>0</v>
      </c>
    </row>
    <row r="1657" customFormat="false" ht="15" hidden="false" customHeight="false" outlineLevel="0" collapsed="false">
      <c r="A1657" s="79" t="n">
        <v>46034</v>
      </c>
      <c r="B1657" s="80" t="n">
        <v>0</v>
      </c>
    </row>
    <row r="1658" customFormat="false" ht="15" hidden="false" customHeight="false" outlineLevel="0" collapsed="false">
      <c r="A1658" s="79" t="n">
        <v>46035</v>
      </c>
      <c r="B1658" s="80" t="n">
        <v>0</v>
      </c>
    </row>
    <row r="1659" customFormat="false" ht="15" hidden="false" customHeight="false" outlineLevel="0" collapsed="false">
      <c r="A1659" s="79" t="n">
        <v>46036</v>
      </c>
      <c r="B1659" s="80" t="n">
        <v>1</v>
      </c>
    </row>
    <row r="1660" customFormat="false" ht="15" hidden="false" customHeight="false" outlineLevel="0" collapsed="false">
      <c r="A1660" s="79" t="n">
        <v>46037</v>
      </c>
      <c r="B1660" s="80" t="n">
        <v>0</v>
      </c>
    </row>
    <row r="1661" customFormat="false" ht="15" hidden="false" customHeight="false" outlineLevel="0" collapsed="false">
      <c r="A1661" s="79" t="n">
        <v>46038</v>
      </c>
      <c r="B1661" s="80" t="n">
        <v>1</v>
      </c>
    </row>
    <row r="1662" customFormat="false" ht="15" hidden="false" customHeight="false" outlineLevel="0" collapsed="false">
      <c r="A1662" s="79" t="n">
        <v>46039</v>
      </c>
      <c r="B1662" s="80" t="n">
        <v>0</v>
      </c>
    </row>
    <row r="1663" customFormat="false" ht="15" hidden="false" customHeight="false" outlineLevel="0" collapsed="false">
      <c r="A1663" s="79" t="n">
        <v>46040</v>
      </c>
      <c r="B1663" s="80" t="n">
        <v>0</v>
      </c>
    </row>
    <row r="1664" customFormat="false" ht="15" hidden="false" customHeight="false" outlineLevel="0" collapsed="false">
      <c r="A1664" s="79" t="n">
        <v>46041</v>
      </c>
      <c r="B1664" s="80" t="n">
        <v>0</v>
      </c>
    </row>
    <row r="1665" customFormat="false" ht="15" hidden="false" customHeight="false" outlineLevel="0" collapsed="false">
      <c r="A1665" s="79" t="n">
        <v>46042</v>
      </c>
      <c r="B1665" s="80" t="n">
        <v>0</v>
      </c>
    </row>
    <row r="1666" customFormat="false" ht="15" hidden="false" customHeight="false" outlineLevel="0" collapsed="false">
      <c r="A1666" s="79" t="n">
        <v>46043</v>
      </c>
      <c r="B1666" s="80" t="n">
        <v>0</v>
      </c>
    </row>
    <row r="1667" customFormat="false" ht="15" hidden="false" customHeight="false" outlineLevel="0" collapsed="false">
      <c r="A1667" s="79" t="n">
        <v>46044</v>
      </c>
      <c r="B1667" s="80" t="n">
        <v>0</v>
      </c>
    </row>
    <row r="1668" customFormat="false" ht="15" hidden="false" customHeight="false" outlineLevel="0" collapsed="false">
      <c r="A1668" s="79" t="n">
        <v>46045</v>
      </c>
      <c r="B1668" s="80" t="n">
        <v>0</v>
      </c>
    </row>
    <row r="1669" customFormat="false" ht="15" hidden="false" customHeight="false" outlineLevel="0" collapsed="false">
      <c r="A1669" s="79" t="n">
        <v>46046</v>
      </c>
      <c r="B1669" s="80" t="n">
        <v>0</v>
      </c>
    </row>
    <row r="1670" customFormat="false" ht="15" hidden="false" customHeight="false" outlineLevel="0" collapsed="false">
      <c r="A1670" s="79" t="n">
        <v>46047</v>
      </c>
      <c r="B1670" s="80" t="n">
        <v>0</v>
      </c>
    </row>
    <row r="1671" customFormat="false" ht="15" hidden="false" customHeight="false" outlineLevel="0" collapsed="false">
      <c r="A1671" s="79" t="n">
        <v>46048</v>
      </c>
      <c r="B1671" s="80" t="n">
        <v>1</v>
      </c>
    </row>
    <row r="1672" customFormat="false" ht="15" hidden="false" customHeight="false" outlineLevel="0" collapsed="false">
      <c r="A1672" s="79" t="n">
        <v>46049</v>
      </c>
      <c r="B1672" s="80" t="n">
        <v>4</v>
      </c>
    </row>
    <row r="1673" customFormat="false" ht="15" hidden="false" customHeight="false" outlineLevel="0" collapsed="false">
      <c r="A1673" s="79" t="n">
        <v>46050</v>
      </c>
      <c r="B1673" s="80" t="n">
        <v>0</v>
      </c>
    </row>
    <row r="1674" customFormat="false" ht="15" hidden="false" customHeight="false" outlineLevel="0" collapsed="false">
      <c r="A1674" s="79" t="n">
        <v>46051</v>
      </c>
      <c r="B1674" s="80" t="n">
        <v>0</v>
      </c>
    </row>
    <row r="1675" customFormat="false" ht="15" hidden="false" customHeight="false" outlineLevel="0" collapsed="false">
      <c r="A1675" s="79" t="n">
        <v>46052</v>
      </c>
      <c r="B1675" s="80" t="n">
        <v>0</v>
      </c>
    </row>
    <row r="1676" customFormat="false" ht="15" hidden="false" customHeight="false" outlineLevel="0" collapsed="false">
      <c r="A1676" s="79" t="n">
        <v>46053</v>
      </c>
      <c r="B1676" s="80" t="n">
        <v>0</v>
      </c>
    </row>
    <row r="1677" customFormat="false" ht="15" hidden="false" customHeight="false" outlineLevel="0" collapsed="false">
      <c r="A1677" s="79" t="n">
        <v>46054</v>
      </c>
      <c r="B1677" s="80" t="n">
        <v>1</v>
      </c>
    </row>
    <row r="1678" customFormat="false" ht="15" hidden="false" customHeight="false" outlineLevel="0" collapsed="false">
      <c r="A1678" s="79" t="n">
        <v>46055</v>
      </c>
      <c r="B1678" s="80" t="n">
        <v>0</v>
      </c>
    </row>
    <row r="1679" customFormat="false" ht="15" hidden="false" customHeight="false" outlineLevel="0" collapsed="false">
      <c r="A1679" s="79" t="n">
        <v>46056</v>
      </c>
      <c r="B1679" s="80" t="n">
        <v>1</v>
      </c>
    </row>
    <row r="1680" customFormat="false" ht="15" hidden="false" customHeight="false" outlineLevel="0" collapsed="false">
      <c r="A1680" s="79" t="n">
        <v>46057</v>
      </c>
      <c r="B1680" s="80" t="n">
        <v>0</v>
      </c>
    </row>
    <row r="1681" customFormat="false" ht="15" hidden="false" customHeight="false" outlineLevel="0" collapsed="false">
      <c r="A1681" s="79" t="n">
        <v>46058</v>
      </c>
      <c r="B1681" s="80" t="n">
        <v>0</v>
      </c>
    </row>
    <row r="1682" customFormat="false" ht="15" hidden="false" customHeight="false" outlineLevel="0" collapsed="false">
      <c r="A1682" s="79" t="n">
        <v>46059</v>
      </c>
      <c r="B1682" s="80" t="n">
        <v>1</v>
      </c>
    </row>
    <row r="1683" customFormat="false" ht="15" hidden="false" customHeight="false" outlineLevel="0" collapsed="false">
      <c r="A1683" s="79" t="n">
        <v>46060</v>
      </c>
      <c r="B1683" s="80" t="n">
        <v>0</v>
      </c>
    </row>
    <row r="1684" customFormat="false" ht="15" hidden="false" customHeight="false" outlineLevel="0" collapsed="false">
      <c r="A1684" s="79" t="n">
        <v>46061</v>
      </c>
      <c r="B1684" s="80" t="n">
        <v>0</v>
      </c>
    </row>
    <row r="1685" customFormat="false" ht="15" hidden="false" customHeight="false" outlineLevel="0" collapsed="false">
      <c r="A1685" s="79" t="n">
        <v>46062</v>
      </c>
      <c r="B1685" s="80" t="n">
        <v>1</v>
      </c>
    </row>
    <row r="1686" customFormat="false" ht="15" hidden="false" customHeight="false" outlineLevel="0" collapsed="false">
      <c r="A1686" s="79" t="n">
        <v>46063</v>
      </c>
      <c r="B1686" s="80" t="n">
        <v>1</v>
      </c>
    </row>
    <row r="1687" customFormat="false" ht="15" hidden="false" customHeight="false" outlineLevel="0" collapsed="false">
      <c r="A1687" s="79" t="n">
        <v>46064</v>
      </c>
      <c r="B1687" s="80" t="n">
        <v>0</v>
      </c>
    </row>
    <row r="1688" customFormat="false" ht="15" hidden="false" customHeight="false" outlineLevel="0" collapsed="false">
      <c r="A1688" s="79" t="n">
        <v>46065</v>
      </c>
      <c r="B1688" s="80" t="n">
        <v>1</v>
      </c>
    </row>
    <row r="1689" customFormat="false" ht="15" hidden="false" customHeight="false" outlineLevel="0" collapsed="false">
      <c r="A1689" s="79" t="n">
        <v>46066</v>
      </c>
      <c r="B1689" s="80" t="n">
        <v>0</v>
      </c>
    </row>
    <row r="1690" customFormat="false" ht="15" hidden="false" customHeight="false" outlineLevel="0" collapsed="false">
      <c r="A1690" s="79" t="n">
        <v>46067</v>
      </c>
      <c r="B1690" s="80" t="n">
        <v>0</v>
      </c>
    </row>
    <row r="1691" customFormat="false" ht="15" hidden="false" customHeight="false" outlineLevel="0" collapsed="false">
      <c r="A1691" s="79" t="n">
        <v>46068</v>
      </c>
      <c r="B1691" s="80" t="n">
        <v>0</v>
      </c>
    </row>
    <row r="1692" customFormat="false" ht="15" hidden="false" customHeight="false" outlineLevel="0" collapsed="false">
      <c r="A1692" s="79" t="n">
        <v>46069</v>
      </c>
      <c r="B1692" s="80" t="n">
        <v>0</v>
      </c>
    </row>
    <row r="1693" customFormat="false" ht="15" hidden="false" customHeight="false" outlineLevel="0" collapsed="false">
      <c r="A1693" s="79" t="n">
        <v>46070</v>
      </c>
      <c r="B1693" s="80" t="n">
        <v>0</v>
      </c>
    </row>
    <row r="1694" customFormat="false" ht="15" hidden="false" customHeight="false" outlineLevel="0" collapsed="false">
      <c r="A1694" s="79" t="n">
        <v>46071</v>
      </c>
      <c r="B1694" s="80" t="n">
        <v>0</v>
      </c>
    </row>
    <row r="1695" customFormat="false" ht="15" hidden="false" customHeight="false" outlineLevel="0" collapsed="false">
      <c r="A1695" s="79" t="n">
        <v>46072</v>
      </c>
      <c r="B1695" s="80" t="n">
        <v>0</v>
      </c>
    </row>
    <row r="1696" customFormat="false" ht="15" hidden="false" customHeight="false" outlineLevel="0" collapsed="false">
      <c r="A1696" s="79" t="n">
        <v>46073</v>
      </c>
      <c r="B1696" s="80" t="n">
        <v>0</v>
      </c>
    </row>
    <row r="1697" customFormat="false" ht="15" hidden="false" customHeight="false" outlineLevel="0" collapsed="false">
      <c r="A1697" s="79" t="n">
        <v>46074</v>
      </c>
      <c r="B1697" s="80" t="n">
        <v>1</v>
      </c>
    </row>
    <row r="1698" customFormat="false" ht="15" hidden="false" customHeight="false" outlineLevel="0" collapsed="false">
      <c r="A1698" s="79" t="n">
        <v>46075</v>
      </c>
      <c r="B1698" s="80" t="n">
        <v>0</v>
      </c>
    </row>
    <row r="1699" customFormat="false" ht="15" hidden="false" customHeight="false" outlineLevel="0" collapsed="false">
      <c r="A1699" s="79" t="n">
        <v>46076</v>
      </c>
      <c r="B1699" s="80" t="n">
        <v>0</v>
      </c>
    </row>
    <row r="1700" customFormat="false" ht="15" hidden="false" customHeight="false" outlineLevel="0" collapsed="false">
      <c r="A1700" s="79" t="n">
        <v>46077</v>
      </c>
      <c r="B1700" s="80" t="n">
        <v>0</v>
      </c>
    </row>
    <row r="1701" customFormat="false" ht="15" hidden="false" customHeight="false" outlineLevel="0" collapsed="false">
      <c r="A1701" s="79" t="n">
        <v>46078</v>
      </c>
      <c r="B1701" s="80" t="n">
        <v>0</v>
      </c>
    </row>
    <row r="1702" customFormat="false" ht="15" hidden="false" customHeight="false" outlineLevel="0" collapsed="false">
      <c r="A1702" s="79" t="n">
        <v>46079</v>
      </c>
      <c r="B1702" s="80" t="n">
        <v>0</v>
      </c>
    </row>
    <row r="1703" customFormat="false" ht="15" hidden="false" customHeight="false" outlineLevel="0" collapsed="false">
      <c r="A1703" s="79" t="n">
        <v>46080</v>
      </c>
      <c r="B1703" s="80" t="n">
        <v>0</v>
      </c>
    </row>
    <row r="1704" customFormat="false" ht="15" hidden="false" customHeight="false" outlineLevel="0" collapsed="false">
      <c r="A1704" s="79" t="n">
        <v>46081</v>
      </c>
      <c r="B1704" s="80" t="n">
        <v>0</v>
      </c>
    </row>
    <row r="1705" customFormat="false" ht="15" hidden="false" customHeight="false" outlineLevel="0" collapsed="false">
      <c r="A1705" s="79" t="n">
        <v>46082</v>
      </c>
      <c r="B1705" s="80" t="n">
        <v>0</v>
      </c>
    </row>
    <row r="1706" customFormat="false" ht="15" hidden="false" customHeight="false" outlineLevel="0" collapsed="false">
      <c r="A1706" s="79" t="n">
        <v>46083</v>
      </c>
      <c r="B1706" s="80" t="n">
        <v>0</v>
      </c>
    </row>
    <row r="1707" customFormat="false" ht="15" hidden="false" customHeight="false" outlineLevel="0" collapsed="false">
      <c r="A1707" s="79" t="n">
        <v>46084</v>
      </c>
      <c r="B1707" s="80" t="n">
        <v>0</v>
      </c>
    </row>
    <row r="1708" customFormat="false" ht="15" hidden="false" customHeight="false" outlineLevel="0" collapsed="false">
      <c r="A1708" s="79" t="n">
        <v>46085</v>
      </c>
      <c r="B1708" s="80" t="n">
        <v>0</v>
      </c>
    </row>
    <row r="1709" customFormat="false" ht="15" hidden="false" customHeight="false" outlineLevel="0" collapsed="false">
      <c r="A1709" s="79" t="n">
        <v>46086</v>
      </c>
      <c r="B1709" s="80" t="n">
        <v>1</v>
      </c>
    </row>
    <row r="1710" customFormat="false" ht="15" hidden="false" customHeight="false" outlineLevel="0" collapsed="false">
      <c r="A1710" s="79" t="n">
        <v>46087</v>
      </c>
      <c r="B1710" s="80" t="n">
        <v>0</v>
      </c>
    </row>
    <row r="1711" customFormat="false" ht="15" hidden="false" customHeight="false" outlineLevel="0" collapsed="false">
      <c r="A1711" s="79" t="n">
        <v>46088</v>
      </c>
      <c r="B1711" s="80" t="n">
        <v>2</v>
      </c>
    </row>
    <row r="1712" customFormat="false" ht="15" hidden="false" customHeight="false" outlineLevel="0" collapsed="false">
      <c r="A1712" s="79" t="n">
        <v>46089</v>
      </c>
      <c r="B1712" s="80" t="n">
        <v>0</v>
      </c>
    </row>
    <row r="1713" customFormat="false" ht="15" hidden="false" customHeight="false" outlineLevel="0" collapsed="false">
      <c r="A1713" s="79" t="n">
        <v>46090</v>
      </c>
      <c r="B1713" s="80" t="n">
        <v>1</v>
      </c>
    </row>
    <row r="1714" customFormat="false" ht="15" hidden="false" customHeight="false" outlineLevel="0" collapsed="false">
      <c r="A1714" s="79" t="n">
        <v>46091</v>
      </c>
      <c r="B1714" s="80" t="n">
        <v>0</v>
      </c>
    </row>
    <row r="1715" customFormat="false" ht="15" hidden="false" customHeight="false" outlineLevel="0" collapsed="false">
      <c r="A1715" s="79" t="n">
        <v>46092</v>
      </c>
      <c r="B1715" s="80" t="n">
        <v>0</v>
      </c>
    </row>
    <row r="1716" customFormat="false" ht="15" hidden="false" customHeight="false" outlineLevel="0" collapsed="false">
      <c r="A1716" s="79" t="n">
        <v>46093</v>
      </c>
      <c r="B1716" s="80" t="n">
        <v>0</v>
      </c>
    </row>
    <row r="1717" customFormat="false" ht="15" hidden="false" customHeight="false" outlineLevel="0" collapsed="false">
      <c r="A1717" s="79" t="n">
        <v>46094</v>
      </c>
      <c r="B1717" s="80" t="n">
        <v>0</v>
      </c>
    </row>
    <row r="1718" customFormat="false" ht="15" hidden="false" customHeight="false" outlineLevel="0" collapsed="false">
      <c r="A1718" s="79" t="n">
        <v>46095</v>
      </c>
      <c r="B1718" s="80" t="n">
        <v>0</v>
      </c>
    </row>
    <row r="1719" customFormat="false" ht="15" hidden="false" customHeight="false" outlineLevel="0" collapsed="false">
      <c r="A1719" s="79" t="n">
        <v>46096</v>
      </c>
      <c r="B1719" s="80" t="n">
        <v>0</v>
      </c>
    </row>
    <row r="1720" customFormat="false" ht="15" hidden="false" customHeight="false" outlineLevel="0" collapsed="false">
      <c r="A1720" s="79" t="n">
        <v>46097</v>
      </c>
      <c r="B1720" s="80" t="n">
        <v>0</v>
      </c>
    </row>
    <row r="1721" customFormat="false" ht="15" hidden="false" customHeight="false" outlineLevel="0" collapsed="false">
      <c r="A1721" s="79" t="n">
        <v>46098</v>
      </c>
      <c r="B1721" s="80" t="n">
        <v>0</v>
      </c>
    </row>
    <row r="1722" customFormat="false" ht="15" hidden="false" customHeight="false" outlineLevel="0" collapsed="false">
      <c r="A1722" s="79" t="n">
        <v>46099</v>
      </c>
      <c r="B1722" s="80" t="n">
        <v>3</v>
      </c>
    </row>
    <row r="1723" customFormat="false" ht="15" hidden="false" customHeight="false" outlineLevel="0" collapsed="false">
      <c r="A1723" s="79" t="n">
        <v>46100</v>
      </c>
      <c r="B1723" s="80" t="n">
        <v>0</v>
      </c>
    </row>
    <row r="1724" customFormat="false" ht="15" hidden="false" customHeight="false" outlineLevel="0" collapsed="false">
      <c r="A1724" s="79" t="n">
        <v>46101</v>
      </c>
      <c r="B1724" s="80" t="n">
        <v>0</v>
      </c>
    </row>
    <row r="1725" customFormat="false" ht="15" hidden="false" customHeight="false" outlineLevel="0" collapsed="false">
      <c r="A1725" s="79" t="n">
        <v>46102</v>
      </c>
      <c r="B1725" s="80" t="n">
        <v>0</v>
      </c>
    </row>
    <row r="1726" customFormat="false" ht="15" hidden="false" customHeight="false" outlineLevel="0" collapsed="false">
      <c r="A1726" s="79" t="n">
        <v>46103</v>
      </c>
      <c r="B1726" s="80" t="n">
        <v>1</v>
      </c>
    </row>
    <row r="1727" customFormat="false" ht="15" hidden="false" customHeight="false" outlineLevel="0" collapsed="false">
      <c r="A1727" s="79" t="n">
        <v>46104</v>
      </c>
      <c r="B1727" s="80" t="n">
        <v>0</v>
      </c>
    </row>
    <row r="1728" customFormat="false" ht="15" hidden="false" customHeight="false" outlineLevel="0" collapsed="false">
      <c r="A1728" s="79" t="n">
        <v>46105</v>
      </c>
      <c r="B1728" s="80" t="n">
        <v>0</v>
      </c>
    </row>
    <row r="1729" customFormat="false" ht="15" hidden="false" customHeight="false" outlineLevel="0" collapsed="false">
      <c r="A1729" s="79" t="n">
        <v>46106</v>
      </c>
      <c r="B1729" s="80" t="n">
        <v>0</v>
      </c>
    </row>
    <row r="1730" customFormat="false" ht="15" hidden="false" customHeight="false" outlineLevel="0" collapsed="false">
      <c r="A1730" s="79" t="n">
        <v>46107</v>
      </c>
      <c r="B1730" s="80" t="n">
        <v>0</v>
      </c>
    </row>
    <row r="1731" customFormat="false" ht="15" hidden="false" customHeight="false" outlineLevel="0" collapsed="false">
      <c r="A1731" s="79" t="n">
        <v>46108</v>
      </c>
      <c r="B1731" s="80" t="n">
        <v>0</v>
      </c>
    </row>
    <row r="1732" customFormat="false" ht="15" hidden="false" customHeight="false" outlineLevel="0" collapsed="false">
      <c r="A1732" s="79" t="n">
        <v>46109</v>
      </c>
      <c r="B1732" s="80" t="n">
        <v>1</v>
      </c>
    </row>
    <row r="1733" customFormat="false" ht="15" hidden="false" customHeight="false" outlineLevel="0" collapsed="false">
      <c r="A1733" s="79" t="n">
        <v>46110</v>
      </c>
      <c r="B1733" s="80" t="n">
        <v>0</v>
      </c>
    </row>
    <row r="1734" customFormat="false" ht="15" hidden="false" customHeight="false" outlineLevel="0" collapsed="false">
      <c r="A1734" s="79" t="n">
        <v>46111</v>
      </c>
      <c r="B1734" s="80" t="n">
        <v>0</v>
      </c>
    </row>
    <row r="1735" customFormat="false" ht="15" hidden="false" customHeight="false" outlineLevel="0" collapsed="false">
      <c r="A1735" s="79" t="n">
        <v>46112</v>
      </c>
      <c r="B1735" s="80" t="n">
        <v>1</v>
      </c>
    </row>
    <row r="1736" customFormat="false" ht="15" hidden="false" customHeight="false" outlineLevel="0" collapsed="false">
      <c r="A1736" s="79" t="n">
        <v>46113</v>
      </c>
      <c r="B1736" s="80" t="n">
        <v>0</v>
      </c>
    </row>
    <row r="1737" customFormat="false" ht="15" hidden="false" customHeight="false" outlineLevel="0" collapsed="false">
      <c r="A1737" s="79" t="n">
        <v>46114</v>
      </c>
      <c r="B1737" s="80" t="n">
        <v>0</v>
      </c>
    </row>
    <row r="1738" customFormat="false" ht="15" hidden="false" customHeight="false" outlineLevel="0" collapsed="false">
      <c r="A1738" s="79" t="n">
        <v>46115</v>
      </c>
      <c r="B1738" s="80" t="n">
        <v>1</v>
      </c>
    </row>
    <row r="1739" customFormat="false" ht="15" hidden="false" customHeight="false" outlineLevel="0" collapsed="false">
      <c r="A1739" s="79" t="n">
        <v>46116</v>
      </c>
      <c r="B1739" s="80" t="n">
        <v>0</v>
      </c>
    </row>
    <row r="1740" customFormat="false" ht="15" hidden="false" customHeight="false" outlineLevel="0" collapsed="false">
      <c r="A1740" s="79" t="n">
        <v>46117</v>
      </c>
      <c r="B1740" s="80" t="n">
        <v>0</v>
      </c>
    </row>
    <row r="1741" customFormat="false" ht="15" hidden="false" customHeight="false" outlineLevel="0" collapsed="false">
      <c r="A1741" s="79" t="n">
        <v>46118</v>
      </c>
      <c r="B1741" s="80" t="n">
        <v>0</v>
      </c>
    </row>
    <row r="1742" customFormat="false" ht="15" hidden="false" customHeight="false" outlineLevel="0" collapsed="false">
      <c r="A1742" s="79" t="n">
        <v>46119</v>
      </c>
      <c r="B1742" s="80" t="n">
        <v>0</v>
      </c>
    </row>
    <row r="1743" customFormat="false" ht="15" hidden="false" customHeight="false" outlineLevel="0" collapsed="false">
      <c r="A1743" s="79" t="n">
        <v>46120</v>
      </c>
      <c r="B1743" s="80" t="n">
        <v>3</v>
      </c>
    </row>
    <row r="1744" customFormat="false" ht="15" hidden="false" customHeight="false" outlineLevel="0" collapsed="false">
      <c r="A1744" s="79" t="n">
        <v>46121</v>
      </c>
      <c r="B1744" s="80" t="n">
        <v>2</v>
      </c>
    </row>
    <row r="1745" customFormat="false" ht="15" hidden="false" customHeight="false" outlineLevel="0" collapsed="false">
      <c r="A1745" s="79" t="n">
        <v>46122</v>
      </c>
      <c r="B1745" s="80" t="n">
        <v>2</v>
      </c>
    </row>
    <row r="1746" customFormat="false" ht="15" hidden="false" customHeight="false" outlineLevel="0" collapsed="false">
      <c r="A1746" s="79" t="n">
        <v>46123</v>
      </c>
      <c r="B1746" s="80" t="n">
        <v>0</v>
      </c>
    </row>
    <row r="1747" customFormat="false" ht="15" hidden="false" customHeight="false" outlineLevel="0" collapsed="false">
      <c r="A1747" s="79" t="n">
        <v>46124</v>
      </c>
      <c r="B1747" s="80" t="n">
        <v>0</v>
      </c>
    </row>
    <row r="1748" customFormat="false" ht="15" hidden="false" customHeight="false" outlineLevel="0" collapsed="false">
      <c r="A1748" s="79" t="n">
        <v>46125</v>
      </c>
      <c r="B1748" s="80" t="n">
        <v>0</v>
      </c>
    </row>
    <row r="1749" customFormat="false" ht="15" hidden="false" customHeight="false" outlineLevel="0" collapsed="false">
      <c r="A1749" s="79" t="n">
        <v>46126</v>
      </c>
      <c r="B1749" s="80" t="n">
        <v>0</v>
      </c>
    </row>
    <row r="1750" customFormat="false" ht="15" hidden="false" customHeight="false" outlineLevel="0" collapsed="false">
      <c r="A1750" s="79" t="n">
        <v>46127</v>
      </c>
      <c r="B1750" s="80" t="n">
        <v>1</v>
      </c>
    </row>
    <row r="1751" customFormat="false" ht="15" hidden="false" customHeight="false" outlineLevel="0" collapsed="false">
      <c r="A1751" s="79" t="n">
        <v>46128</v>
      </c>
      <c r="B1751" s="80" t="n">
        <v>0</v>
      </c>
    </row>
    <row r="1752" customFormat="false" ht="15" hidden="false" customHeight="false" outlineLevel="0" collapsed="false">
      <c r="A1752" s="79" t="n">
        <v>46129</v>
      </c>
      <c r="B1752" s="80" t="n">
        <v>1</v>
      </c>
    </row>
    <row r="1753" customFormat="false" ht="15" hidden="false" customHeight="false" outlineLevel="0" collapsed="false">
      <c r="A1753" s="79" t="n">
        <v>46130</v>
      </c>
      <c r="B1753" s="80" t="n">
        <v>0</v>
      </c>
    </row>
    <row r="1754" customFormat="false" ht="15" hidden="false" customHeight="false" outlineLevel="0" collapsed="false">
      <c r="A1754" s="79" t="n">
        <v>46131</v>
      </c>
      <c r="B1754" s="80" t="n">
        <v>0</v>
      </c>
    </row>
    <row r="1755" customFormat="false" ht="15" hidden="false" customHeight="false" outlineLevel="0" collapsed="false">
      <c r="A1755" s="79" t="n">
        <v>46132</v>
      </c>
      <c r="B1755" s="80" t="n">
        <v>1</v>
      </c>
    </row>
    <row r="1756" customFormat="false" ht="15" hidden="false" customHeight="false" outlineLevel="0" collapsed="false">
      <c r="A1756" s="79" t="n">
        <v>46133</v>
      </c>
      <c r="B1756" s="80" t="n">
        <v>0</v>
      </c>
    </row>
    <row r="1757" customFormat="false" ht="15" hidden="false" customHeight="false" outlineLevel="0" collapsed="false">
      <c r="A1757" s="79" t="n">
        <v>46134</v>
      </c>
      <c r="B1757" s="80" t="n">
        <v>0</v>
      </c>
    </row>
    <row r="1758" customFormat="false" ht="15" hidden="false" customHeight="false" outlineLevel="0" collapsed="false">
      <c r="A1758" s="79" t="n">
        <v>46135</v>
      </c>
      <c r="B1758" s="80" t="n">
        <v>0</v>
      </c>
    </row>
    <row r="1759" customFormat="false" ht="15" hidden="false" customHeight="false" outlineLevel="0" collapsed="false">
      <c r="A1759" s="79" t="n">
        <v>46136</v>
      </c>
      <c r="B1759" s="80" t="n">
        <v>3</v>
      </c>
    </row>
    <row r="1760" customFormat="false" ht="15" hidden="false" customHeight="false" outlineLevel="0" collapsed="false">
      <c r="A1760" s="79" t="n">
        <v>46137</v>
      </c>
      <c r="B1760" s="80" t="n">
        <v>28</v>
      </c>
    </row>
    <row r="1761" customFormat="false" ht="15" hidden="false" customHeight="false" outlineLevel="0" collapsed="false">
      <c r="A1761" s="79" t="n">
        <v>46138</v>
      </c>
      <c r="B1761" s="80" t="n">
        <v>730</v>
      </c>
    </row>
    <row r="1762" customFormat="false" ht="15" hidden="false" customHeight="false" outlineLevel="0" collapsed="false">
      <c r="A1762" s="79" t="n">
        <v>46139</v>
      </c>
      <c r="B1762" s="80" t="n">
        <v>12</v>
      </c>
    </row>
    <row r="1763" customFormat="false" ht="15" hidden="false" customHeight="false" outlineLevel="0" collapsed="false">
      <c r="A1763" s="79" t="n">
        <v>46140</v>
      </c>
      <c r="B1763" s="80" t="n">
        <v>8</v>
      </c>
    </row>
    <row r="1764" customFormat="false" ht="15" hidden="false" customHeight="false" outlineLevel="0" collapsed="false">
      <c r="A1764" s="79" t="n">
        <v>46141</v>
      </c>
      <c r="B1764" s="80" t="n">
        <v>8</v>
      </c>
    </row>
    <row r="1765" customFormat="false" ht="15" hidden="false" customHeight="false" outlineLevel="0" collapsed="false">
      <c r="A1765" s="79" t="n">
        <v>46142</v>
      </c>
      <c r="B1765" s="80" t="n">
        <v>3</v>
      </c>
    </row>
    <row r="1766" customFormat="false" ht="15" hidden="false" customHeight="false" outlineLevel="0" collapsed="false">
      <c r="A1766" s="79" t="n">
        <v>46143</v>
      </c>
      <c r="B1766" s="80" t="n">
        <v>1</v>
      </c>
    </row>
    <row r="1767" customFormat="false" ht="15" hidden="false" customHeight="false" outlineLevel="0" collapsed="false">
      <c r="A1767" s="79" t="n">
        <v>46144</v>
      </c>
      <c r="B1767" s="80" t="n">
        <v>4</v>
      </c>
    </row>
    <row r="1768" customFormat="false" ht="15" hidden="false" customHeight="false" outlineLevel="0" collapsed="false">
      <c r="A1768" s="79" t="n">
        <v>46145</v>
      </c>
      <c r="B1768" s="80" t="n">
        <v>2</v>
      </c>
    </row>
    <row r="1769" customFormat="false" ht="15" hidden="false" customHeight="false" outlineLevel="0" collapsed="false">
      <c r="A1769" s="79" t="n">
        <v>46146</v>
      </c>
      <c r="B1769" s="80" t="n">
        <v>3</v>
      </c>
    </row>
    <row r="1770" customFormat="false" ht="15" hidden="false" customHeight="false" outlineLevel="0" collapsed="false">
      <c r="A1770" s="79" t="n">
        <v>46147</v>
      </c>
      <c r="B1770" s="80" t="n">
        <v>9</v>
      </c>
    </row>
    <row r="1771" customFormat="false" ht="15" hidden="false" customHeight="false" outlineLevel="0" collapsed="false">
      <c r="A1771" s="79" t="n">
        <v>46148</v>
      </c>
      <c r="B1771" s="80" t="n">
        <v>9</v>
      </c>
    </row>
    <row r="1772" customFormat="false" ht="15" hidden="false" customHeight="false" outlineLevel="0" collapsed="false">
      <c r="A1772" s="79" t="n">
        <v>46149</v>
      </c>
      <c r="B1772" s="80" t="n">
        <v>1</v>
      </c>
    </row>
    <row r="1773" customFormat="false" ht="15" hidden="false" customHeight="false" outlineLevel="0" collapsed="false">
      <c r="A1773" s="79" t="n">
        <v>46150</v>
      </c>
      <c r="B1773" s="80" t="n">
        <v>0</v>
      </c>
    </row>
    <row r="1774" customFormat="false" ht="15" hidden="false" customHeight="false" outlineLevel="0" collapsed="false">
      <c r="A1774" s="79" t="n">
        <v>46151</v>
      </c>
      <c r="B1774" s="80" t="n">
        <v>29</v>
      </c>
    </row>
    <row r="1775" customFormat="false" ht="15" hidden="false" customHeight="false" outlineLevel="0" collapsed="false">
      <c r="A1775" s="79" t="n">
        <v>46152</v>
      </c>
      <c r="B1775" s="80" t="n">
        <v>88</v>
      </c>
    </row>
    <row r="1776" customFormat="false" ht="15" hidden="false" customHeight="false" outlineLevel="0" collapsed="false">
      <c r="A1776" s="79" t="n">
        <v>46153</v>
      </c>
      <c r="B1776" s="80" t="n">
        <v>2</v>
      </c>
    </row>
    <row r="1777" customFormat="false" ht="15" hidden="false" customHeight="false" outlineLevel="0" collapsed="false">
      <c r="A1777" s="79" t="n">
        <v>46154</v>
      </c>
      <c r="B1777" s="80" t="n">
        <v>102</v>
      </c>
    </row>
    <row r="1778" customFormat="false" ht="15" hidden="false" customHeight="false" outlineLevel="0" collapsed="false">
      <c r="A1778" s="79" t="n">
        <v>46155</v>
      </c>
      <c r="B1778" s="80" t="n">
        <v>71</v>
      </c>
    </row>
    <row r="1779" customFormat="false" ht="15" hidden="false" customHeight="false" outlineLevel="0" collapsed="false">
      <c r="A1779" s="79" t="n">
        <v>46156</v>
      </c>
      <c r="B1779" s="80" t="n">
        <v>84</v>
      </c>
    </row>
    <row r="1780" customFormat="false" ht="15" hidden="false" customHeight="false" outlineLevel="0" collapsed="false">
      <c r="A1780" s="79" t="n">
        <v>46157</v>
      </c>
      <c r="B1780" s="80" t="n">
        <v>1</v>
      </c>
    </row>
    <row r="1781" customFormat="false" ht="15" hidden="false" customHeight="false" outlineLevel="0" collapsed="false">
      <c r="A1781" s="79" t="n">
        <v>46158</v>
      </c>
      <c r="B1781" s="80" t="n">
        <v>40</v>
      </c>
    </row>
    <row r="1782" customFormat="false" ht="15" hidden="false" customHeight="false" outlineLevel="0" collapsed="false">
      <c r="A1782" s="79" t="n">
        <v>46159</v>
      </c>
      <c r="B1782" s="80" t="n">
        <v>128</v>
      </c>
    </row>
    <row r="1783" customFormat="false" ht="15" hidden="false" customHeight="false" outlineLevel="0" collapsed="false">
      <c r="A1783" s="79" t="n">
        <v>46160</v>
      </c>
      <c r="B1783" s="80" t="n">
        <v>83</v>
      </c>
    </row>
    <row r="1784" customFormat="false" ht="15" hidden="false" customHeight="false" outlineLevel="0" collapsed="false">
      <c r="A1784" s="79" t="n">
        <v>46161</v>
      </c>
      <c r="B1784" s="80" t="n">
        <v>82</v>
      </c>
    </row>
    <row r="1785" customFormat="false" ht="15" hidden="false" customHeight="false" outlineLevel="0" collapsed="false">
      <c r="A1785" s="79" t="n">
        <v>46162</v>
      </c>
      <c r="B1785" s="80" t="n">
        <v>94</v>
      </c>
    </row>
    <row r="1786" customFormat="false" ht="15" hidden="false" customHeight="false" outlineLevel="0" collapsed="false">
      <c r="A1786" s="79" t="n">
        <v>46163</v>
      </c>
      <c r="B1786" s="80" t="n">
        <v>101</v>
      </c>
    </row>
    <row r="1787" customFormat="false" ht="15" hidden="false" customHeight="false" outlineLevel="0" collapsed="false">
      <c r="A1787" s="79" t="n">
        <v>46164</v>
      </c>
      <c r="B1787" s="80" t="n">
        <v>73</v>
      </c>
    </row>
    <row r="1788" customFormat="false" ht="15" hidden="false" customHeight="false" outlineLevel="0" collapsed="false">
      <c r="A1788" s="79" t="n">
        <v>46165</v>
      </c>
      <c r="B1788" s="80" t="n">
        <v>5</v>
      </c>
    </row>
    <row r="1789" customFormat="false" ht="15" hidden="false" customHeight="false" outlineLevel="0" collapsed="false">
      <c r="A1789" s="79" t="n">
        <v>46166</v>
      </c>
      <c r="B1789" s="80" t="n">
        <v>102</v>
      </c>
    </row>
    <row r="1790" customFormat="false" ht="15" hidden="false" customHeight="false" outlineLevel="0" collapsed="false">
      <c r="A1790" s="79" t="n">
        <v>46167</v>
      </c>
      <c r="B1790" s="80" t="n">
        <v>3</v>
      </c>
    </row>
    <row r="1791" customFormat="false" ht="15" hidden="false" customHeight="false" outlineLevel="0" collapsed="false">
      <c r="A1791" s="79" t="n">
        <v>46168</v>
      </c>
      <c r="B1791" s="80" t="n">
        <v>140</v>
      </c>
    </row>
    <row r="1792" customFormat="false" ht="15" hidden="false" customHeight="false" outlineLevel="0" collapsed="false">
      <c r="A1792" s="79" t="n">
        <v>46169</v>
      </c>
      <c r="B1792" s="80" t="n">
        <v>121</v>
      </c>
    </row>
    <row r="1793" customFormat="false" ht="15" hidden="false" customHeight="false" outlineLevel="0" collapsed="false">
      <c r="A1793" s="79" t="n">
        <v>46170</v>
      </c>
      <c r="B1793" s="80" t="n">
        <v>30</v>
      </c>
    </row>
    <row r="1794" customFormat="false" ht="15" hidden="false" customHeight="false" outlineLevel="0" collapsed="false">
      <c r="A1794" s="79" t="n">
        <v>46171</v>
      </c>
      <c r="B1794" s="80" t="n">
        <v>6</v>
      </c>
    </row>
    <row r="1795" customFormat="false" ht="15" hidden="false" customHeight="false" outlineLevel="0" collapsed="false">
      <c r="A1795" s="79" t="n">
        <v>46172</v>
      </c>
      <c r="B1795" s="80" t="n">
        <v>49</v>
      </c>
    </row>
    <row r="1796" customFormat="false" ht="15" hidden="false" customHeight="false" outlineLevel="0" collapsed="false">
      <c r="A1796" s="79" t="n">
        <v>46173</v>
      </c>
      <c r="B1796" s="80" t="n">
        <v>165</v>
      </c>
    </row>
    <row r="1797" customFormat="false" ht="15" hidden="false" customHeight="false" outlineLevel="0" collapsed="false">
      <c r="A1797" s="79" t="n">
        <v>46174</v>
      </c>
      <c r="B1797" s="80" t="n">
        <v>188</v>
      </c>
    </row>
    <row r="1798" customFormat="false" ht="15" hidden="false" customHeight="false" outlineLevel="0" collapsed="false">
      <c r="A1798" s="79" t="n">
        <v>46175</v>
      </c>
      <c r="B1798" s="80" t="n">
        <v>3</v>
      </c>
    </row>
    <row r="1799" customFormat="false" ht="15" hidden="false" customHeight="false" outlineLevel="0" collapsed="false">
      <c r="A1799" s="79" t="n">
        <v>46176</v>
      </c>
      <c r="B1799" s="80" t="n">
        <v>12</v>
      </c>
    </row>
    <row r="1800" customFormat="false" ht="15" hidden="false" customHeight="false" outlineLevel="0" collapsed="false">
      <c r="A1800" s="79" t="n">
        <v>46177</v>
      </c>
      <c r="B1800" s="80" t="n">
        <v>5</v>
      </c>
    </row>
    <row r="1801" customFormat="false" ht="15" hidden="false" customHeight="false" outlineLevel="0" collapsed="false">
      <c r="A1801" s="79" t="n">
        <v>46178</v>
      </c>
      <c r="B1801" s="80" t="n">
        <v>16</v>
      </c>
    </row>
    <row r="1802" customFormat="false" ht="15" hidden="false" customHeight="false" outlineLevel="0" collapsed="false">
      <c r="A1802" s="79" t="n">
        <v>46179</v>
      </c>
      <c r="B1802" s="80" t="n">
        <v>6</v>
      </c>
    </row>
    <row r="1803" customFormat="false" ht="15" hidden="false" customHeight="false" outlineLevel="0" collapsed="false">
      <c r="A1803" s="79" t="n">
        <v>46180</v>
      </c>
      <c r="B1803" s="80" t="n">
        <v>351</v>
      </c>
    </row>
    <row r="1804" customFormat="false" ht="15" hidden="false" customHeight="false" outlineLevel="0" collapsed="false">
      <c r="A1804" s="79" t="n">
        <v>46181</v>
      </c>
      <c r="B1804" s="80" t="n">
        <v>1</v>
      </c>
    </row>
    <row r="1805" customFormat="false" ht="15" hidden="false" customHeight="false" outlineLevel="0" collapsed="false">
      <c r="A1805" s="79" t="n">
        <v>46182</v>
      </c>
      <c r="B1805" s="80" t="n">
        <v>3</v>
      </c>
    </row>
    <row r="1806" customFormat="false" ht="15" hidden="false" customHeight="false" outlineLevel="0" collapsed="false">
      <c r="A1806" s="79" t="n">
        <v>46183</v>
      </c>
      <c r="B1806" s="80" t="n">
        <v>1</v>
      </c>
    </row>
    <row r="1807" customFormat="false" ht="15" hidden="false" customHeight="false" outlineLevel="0" collapsed="false">
      <c r="A1807" s="79" t="n">
        <v>46184</v>
      </c>
      <c r="B1807" s="80" t="n">
        <v>1</v>
      </c>
    </row>
    <row r="1808" customFormat="false" ht="15" hidden="false" customHeight="false" outlineLevel="0" collapsed="false">
      <c r="A1808" s="79" t="n">
        <v>46185</v>
      </c>
      <c r="B1808" s="80" t="n">
        <v>0</v>
      </c>
    </row>
    <row r="1809" customFormat="false" ht="15" hidden="false" customHeight="false" outlineLevel="0" collapsed="false">
      <c r="A1809" s="79" t="n">
        <v>46186</v>
      </c>
      <c r="B1809" s="80" t="n">
        <v>2</v>
      </c>
    </row>
    <row r="1810" customFormat="false" ht="15" hidden="false" customHeight="false" outlineLevel="0" collapsed="false">
      <c r="A1810" s="79" t="n">
        <v>46187</v>
      </c>
      <c r="B1810" s="80" t="n">
        <v>914</v>
      </c>
    </row>
    <row r="1811" customFormat="false" ht="15" hidden="false" customHeight="false" outlineLevel="0" collapsed="false">
      <c r="A1811" s="79" t="n">
        <v>46188</v>
      </c>
      <c r="B1811" s="80" t="n">
        <v>563</v>
      </c>
    </row>
    <row r="1812" customFormat="false" ht="15" hidden="false" customHeight="false" outlineLevel="0" collapsed="false">
      <c r="A1812" s="79" t="n">
        <v>46189</v>
      </c>
      <c r="B1812" s="80" t="n">
        <v>48</v>
      </c>
    </row>
    <row r="1813" customFormat="false" ht="15" hidden="false" customHeight="false" outlineLevel="0" collapsed="false">
      <c r="A1813" s="79" t="n">
        <v>46190</v>
      </c>
      <c r="B1813" s="80" t="n">
        <v>0</v>
      </c>
    </row>
    <row r="1814" customFormat="false" ht="15" hidden="false" customHeight="false" outlineLevel="0" collapsed="false">
      <c r="A1814" s="79" t="n">
        <v>46191</v>
      </c>
      <c r="B1814" s="80" t="n">
        <v>1</v>
      </c>
    </row>
    <row r="1815" customFormat="false" ht="15" hidden="false" customHeight="false" outlineLevel="0" collapsed="false">
      <c r="A1815" s="79" t="n">
        <v>46192</v>
      </c>
      <c r="B1815" s="80" t="n">
        <v>0</v>
      </c>
    </row>
    <row r="1816" customFormat="false" ht="15" hidden="false" customHeight="false" outlineLevel="0" collapsed="false">
      <c r="A1816" s="79" t="n">
        <v>46193</v>
      </c>
      <c r="B1816" s="80" t="n">
        <v>0</v>
      </c>
    </row>
    <row r="1817" customFormat="false" ht="15" hidden="false" customHeight="false" outlineLevel="0" collapsed="false">
      <c r="A1817" s="79" t="n">
        <v>46194</v>
      </c>
      <c r="B1817" s="80" t="n">
        <v>147</v>
      </c>
    </row>
    <row r="1818" customFormat="false" ht="15" hidden="false" customHeight="false" outlineLevel="0" collapsed="false">
      <c r="A1818" s="79" t="n">
        <v>46195</v>
      </c>
      <c r="B1818" s="80" t="n">
        <v>1</v>
      </c>
    </row>
    <row r="1819" customFormat="false" ht="15" hidden="false" customHeight="false" outlineLevel="0" collapsed="false">
      <c r="A1819" s="79" t="n">
        <v>46196</v>
      </c>
      <c r="B1819" s="80" t="n">
        <v>1</v>
      </c>
    </row>
    <row r="1820" customFormat="false" ht="15" hidden="false" customHeight="false" outlineLevel="0" collapsed="false">
      <c r="A1820" s="79" t="n">
        <v>46197</v>
      </c>
      <c r="B1820" s="80" t="n">
        <v>0</v>
      </c>
    </row>
    <row r="1821" customFormat="false" ht="15" hidden="false" customHeight="false" outlineLevel="0" collapsed="false">
      <c r="A1821" s="79" t="n">
        <v>46198</v>
      </c>
      <c r="B1821" s="80" t="n">
        <v>0</v>
      </c>
    </row>
    <row r="1822" customFormat="false" ht="15" hidden="false" customHeight="false" outlineLevel="0" collapsed="false">
      <c r="A1822" s="79" t="n">
        <v>46199</v>
      </c>
      <c r="B1822" s="80" t="n">
        <v>6</v>
      </c>
    </row>
    <row r="1823" customFormat="false" ht="15" hidden="false" customHeight="false" outlineLevel="0" collapsed="false">
      <c r="A1823" s="79" t="n">
        <v>46200</v>
      </c>
      <c r="B1823" s="80" t="n">
        <v>4</v>
      </c>
    </row>
    <row r="1824" customFormat="false" ht="15" hidden="false" customHeight="false" outlineLevel="0" collapsed="false">
      <c r="A1824" s="79" t="n">
        <v>46201</v>
      </c>
      <c r="B1824" s="80" t="n">
        <v>48</v>
      </c>
    </row>
    <row r="1825" customFormat="false" ht="15" hidden="false" customHeight="false" outlineLevel="0" collapsed="false">
      <c r="A1825" s="79" t="n">
        <v>46202</v>
      </c>
      <c r="B1825" s="80" t="n">
        <v>35</v>
      </c>
    </row>
    <row r="1826" customFormat="false" ht="15" hidden="false" customHeight="false" outlineLevel="0" collapsed="false">
      <c r="A1826" s="79" t="n">
        <v>46203</v>
      </c>
      <c r="B1826" s="80" t="n">
        <v>1</v>
      </c>
    </row>
    <row r="1827" customFormat="false" ht="15" hidden="false" customHeight="false" outlineLevel="0" collapsed="false">
      <c r="A1827" s="79" t="n">
        <v>46204</v>
      </c>
      <c r="B1827" s="80" t="n">
        <v>1</v>
      </c>
    </row>
    <row r="1828" customFormat="false" ht="15" hidden="false" customHeight="false" outlineLevel="0" collapsed="false">
      <c r="A1828" s="79" t="n">
        <v>46205</v>
      </c>
      <c r="B1828" s="80" t="n">
        <v>0</v>
      </c>
    </row>
    <row r="1829" customFormat="false" ht="15" hidden="false" customHeight="false" outlineLevel="0" collapsed="false">
      <c r="A1829" s="79" t="n">
        <v>46206</v>
      </c>
      <c r="B1829" s="80" t="n">
        <v>1</v>
      </c>
    </row>
    <row r="1830" customFormat="false" ht="15" hidden="false" customHeight="false" outlineLevel="0" collapsed="false">
      <c r="A1830" s="79" t="n">
        <v>46207</v>
      </c>
      <c r="B1830" s="80" t="n">
        <v>1</v>
      </c>
    </row>
    <row r="1831" customFormat="false" ht="15" hidden="false" customHeight="false" outlineLevel="0" collapsed="false">
      <c r="A1831" s="79" t="n">
        <v>46208</v>
      </c>
      <c r="B1831" s="80" t="n">
        <v>1</v>
      </c>
    </row>
    <row r="1832" customFormat="false" ht="15" hidden="false" customHeight="false" outlineLevel="0" collapsed="false">
      <c r="A1832" s="79" t="n">
        <v>46209</v>
      </c>
      <c r="B1832" s="80" t="n">
        <v>2</v>
      </c>
    </row>
    <row r="1833" customFormat="false" ht="15" hidden="false" customHeight="false" outlineLevel="0" collapsed="false">
      <c r="A1833" s="79" t="n">
        <v>46210</v>
      </c>
      <c r="B1833" s="80" t="n">
        <v>0</v>
      </c>
    </row>
    <row r="1834" customFormat="false" ht="15" hidden="false" customHeight="false" outlineLevel="0" collapsed="false">
      <c r="A1834" s="79" t="n">
        <v>46211</v>
      </c>
      <c r="B1834" s="80" t="n">
        <v>0</v>
      </c>
    </row>
    <row r="1835" customFormat="false" ht="15" hidden="false" customHeight="false" outlineLevel="0" collapsed="false">
      <c r="A1835" s="79" t="n">
        <v>46212</v>
      </c>
      <c r="B1835" s="80" t="n">
        <v>0</v>
      </c>
    </row>
    <row r="1836" customFormat="false" ht="15" hidden="false" customHeight="false" outlineLevel="0" collapsed="false">
      <c r="A1836" s="79" t="n">
        <v>46213</v>
      </c>
      <c r="B1836" s="80" t="n">
        <v>1</v>
      </c>
    </row>
    <row r="1837" customFormat="false" ht="15" hidden="false" customHeight="false" outlineLevel="0" collapsed="false">
      <c r="A1837" s="79" t="n">
        <v>46214</v>
      </c>
      <c r="B1837" s="80" t="n">
        <v>0</v>
      </c>
    </row>
    <row r="1838" customFormat="false" ht="15" hidden="false" customHeight="false" outlineLevel="0" collapsed="false">
      <c r="A1838" s="79" t="n">
        <v>46215</v>
      </c>
      <c r="B1838" s="80" t="n">
        <v>0</v>
      </c>
    </row>
    <row r="1839" customFormat="false" ht="15" hidden="false" customHeight="false" outlineLevel="0" collapsed="false">
      <c r="A1839" s="79" t="n">
        <v>46216</v>
      </c>
      <c r="B1839" s="80" t="n">
        <v>2</v>
      </c>
    </row>
    <row r="1840" customFormat="false" ht="15" hidden="false" customHeight="false" outlineLevel="0" collapsed="false">
      <c r="A1840" s="79" t="n">
        <v>46217</v>
      </c>
      <c r="B1840" s="80" t="n">
        <v>2</v>
      </c>
    </row>
    <row r="1841" customFormat="false" ht="15" hidden="false" customHeight="false" outlineLevel="0" collapsed="false">
      <c r="A1841" s="79" t="n">
        <v>46218</v>
      </c>
      <c r="B1841" s="80" t="n">
        <v>8</v>
      </c>
    </row>
    <row r="1842" customFormat="false" ht="15" hidden="false" customHeight="false" outlineLevel="0" collapsed="false">
      <c r="A1842" s="79" t="n">
        <v>46219</v>
      </c>
      <c r="B1842" s="80" t="n">
        <v>0</v>
      </c>
    </row>
    <row r="1843" customFormat="false" ht="15" hidden="false" customHeight="false" outlineLevel="0" collapsed="false">
      <c r="A1843" s="79" t="n">
        <v>46220</v>
      </c>
      <c r="B1843" s="80" t="n">
        <v>0</v>
      </c>
    </row>
    <row r="1844" customFormat="false" ht="15" hidden="false" customHeight="false" outlineLevel="0" collapsed="false">
      <c r="A1844" s="79" t="n">
        <v>46221</v>
      </c>
      <c r="B1844" s="80" t="n">
        <v>0</v>
      </c>
    </row>
    <row r="1845" customFormat="false" ht="15" hidden="false" customHeight="false" outlineLevel="0" collapsed="false">
      <c r="A1845" s="79" t="n">
        <v>46222</v>
      </c>
      <c r="B1845" s="80" t="n">
        <v>0</v>
      </c>
    </row>
    <row r="1846" customFormat="false" ht="15" hidden="false" customHeight="false" outlineLevel="0" collapsed="false">
      <c r="A1846" s="79" t="n">
        <v>46223</v>
      </c>
      <c r="B1846" s="80" t="n">
        <v>1</v>
      </c>
    </row>
    <row r="1847" customFormat="false" ht="15" hidden="false" customHeight="false" outlineLevel="0" collapsed="false">
      <c r="A1847" s="79" t="n">
        <v>46224</v>
      </c>
      <c r="B1847" s="80" t="n">
        <v>1</v>
      </c>
    </row>
    <row r="1848" customFormat="false" ht="15" hidden="false" customHeight="false" outlineLevel="0" collapsed="false">
      <c r="A1848" s="79" t="n">
        <v>46225</v>
      </c>
      <c r="B1848" s="80" t="n">
        <v>0</v>
      </c>
    </row>
    <row r="1849" customFormat="false" ht="15" hidden="false" customHeight="false" outlineLevel="0" collapsed="false">
      <c r="A1849" s="79" t="n">
        <v>46226</v>
      </c>
      <c r="B1849" s="80" t="n">
        <v>3</v>
      </c>
    </row>
    <row r="1850" customFormat="false" ht="15" hidden="false" customHeight="false" outlineLevel="0" collapsed="false">
      <c r="A1850" s="79" t="n">
        <v>46227</v>
      </c>
      <c r="B1850" s="80" t="n">
        <v>2</v>
      </c>
    </row>
    <row r="1851" customFormat="false" ht="15" hidden="false" customHeight="false" outlineLevel="0" collapsed="false">
      <c r="A1851" s="79" t="n">
        <v>46228</v>
      </c>
      <c r="B1851" s="80" t="n">
        <v>4</v>
      </c>
    </row>
    <row r="1852" customFormat="false" ht="15" hidden="false" customHeight="false" outlineLevel="0" collapsed="false">
      <c r="A1852" s="79" t="n">
        <v>46229</v>
      </c>
      <c r="B1852" s="80" t="n">
        <v>2</v>
      </c>
    </row>
    <row r="1853" customFormat="false" ht="15" hidden="false" customHeight="false" outlineLevel="0" collapsed="false">
      <c r="A1853" s="79" t="n">
        <v>46230</v>
      </c>
      <c r="B1853" s="80" t="n">
        <v>0</v>
      </c>
    </row>
    <row r="1854" customFormat="false" ht="15" hidden="false" customHeight="false" outlineLevel="0" collapsed="false">
      <c r="A1854" s="79" t="n">
        <v>46231</v>
      </c>
      <c r="B1854" s="80" t="n">
        <v>0</v>
      </c>
    </row>
    <row r="1855" customFormat="false" ht="15" hidden="false" customHeight="false" outlineLevel="0" collapsed="false">
      <c r="A1855" s="79" t="n">
        <v>46232</v>
      </c>
      <c r="B1855" s="80" t="n">
        <v>0</v>
      </c>
    </row>
    <row r="1856" customFormat="false" ht="15" hidden="false" customHeight="false" outlineLevel="0" collapsed="false">
      <c r="A1856" s="79" t="n">
        <v>46233</v>
      </c>
      <c r="B1856" s="80" t="n">
        <v>0</v>
      </c>
    </row>
    <row r="1857" customFormat="false" ht="15" hidden="false" customHeight="false" outlineLevel="0" collapsed="false">
      <c r="A1857" s="79" t="n">
        <v>46234</v>
      </c>
      <c r="B1857" s="80" t="n">
        <v>0</v>
      </c>
    </row>
    <row r="1858" customFormat="false" ht="15" hidden="false" customHeight="false" outlineLevel="0" collapsed="false">
      <c r="A1858" s="79" t="n">
        <v>46235</v>
      </c>
      <c r="B1858" s="80" t="n">
        <v>1</v>
      </c>
    </row>
    <row r="1859" customFormat="false" ht="15" hidden="false" customHeight="false" outlineLevel="0" collapsed="false">
      <c r="A1859" s="79" t="n">
        <v>46236</v>
      </c>
      <c r="B1859" s="80" t="n">
        <v>1</v>
      </c>
    </row>
    <row r="1860" customFormat="false" ht="15" hidden="false" customHeight="false" outlineLevel="0" collapsed="false">
      <c r="A1860" s="79" t="n">
        <v>46237</v>
      </c>
      <c r="B1860" s="80" t="n">
        <v>1</v>
      </c>
    </row>
    <row r="1861" customFormat="false" ht="15" hidden="false" customHeight="false" outlineLevel="0" collapsed="false">
      <c r="A1861" s="79" t="n">
        <v>46238</v>
      </c>
      <c r="B1861" s="80" t="n">
        <v>1</v>
      </c>
    </row>
    <row r="1862" customFormat="false" ht="15" hidden="false" customHeight="false" outlineLevel="0" collapsed="false">
      <c r="A1862" s="79" t="n">
        <v>46239</v>
      </c>
      <c r="B1862" s="80" t="n">
        <v>2</v>
      </c>
    </row>
    <row r="1863" customFormat="false" ht="15" hidden="false" customHeight="false" outlineLevel="0" collapsed="false">
      <c r="A1863" s="79" t="n">
        <v>46240</v>
      </c>
      <c r="B1863" s="80" t="n">
        <v>0</v>
      </c>
    </row>
    <row r="1864" customFormat="false" ht="15" hidden="false" customHeight="false" outlineLevel="0" collapsed="false">
      <c r="A1864" s="79" t="n">
        <v>46241</v>
      </c>
      <c r="B1864" s="80" t="n">
        <v>2</v>
      </c>
    </row>
    <row r="1865" customFormat="false" ht="15" hidden="false" customHeight="false" outlineLevel="0" collapsed="false">
      <c r="A1865" s="79" t="n">
        <v>46242</v>
      </c>
      <c r="B1865" s="80" t="n">
        <v>0</v>
      </c>
    </row>
    <row r="1866" customFormat="false" ht="15" hidden="false" customHeight="false" outlineLevel="0" collapsed="false">
      <c r="A1866" s="79" t="n">
        <v>46243</v>
      </c>
      <c r="B1866" s="80" t="n">
        <v>2</v>
      </c>
    </row>
    <row r="1867" customFormat="false" ht="15" hidden="false" customHeight="false" outlineLevel="0" collapsed="false">
      <c r="A1867" s="79" t="n">
        <v>46244</v>
      </c>
      <c r="B1867" s="80" t="n">
        <v>1</v>
      </c>
    </row>
    <row r="1868" customFormat="false" ht="15" hidden="false" customHeight="false" outlineLevel="0" collapsed="false">
      <c r="A1868" s="79" t="n">
        <v>46245</v>
      </c>
      <c r="B1868" s="80" t="n">
        <v>0</v>
      </c>
    </row>
    <row r="1869" customFormat="false" ht="15" hidden="false" customHeight="false" outlineLevel="0" collapsed="false">
      <c r="A1869" s="79" t="n">
        <v>46246</v>
      </c>
      <c r="B1869" s="80" t="n">
        <v>0</v>
      </c>
    </row>
    <row r="1870" customFormat="false" ht="15" hidden="false" customHeight="false" outlineLevel="0" collapsed="false">
      <c r="A1870" s="79" t="n">
        <v>46247</v>
      </c>
      <c r="B1870" s="80" t="n">
        <v>0</v>
      </c>
    </row>
    <row r="1871" customFormat="false" ht="15" hidden="false" customHeight="false" outlineLevel="0" collapsed="false">
      <c r="A1871" s="79" t="n">
        <v>46248</v>
      </c>
      <c r="B1871" s="80" t="n">
        <v>0</v>
      </c>
    </row>
    <row r="1872" customFormat="false" ht="15" hidden="false" customHeight="false" outlineLevel="0" collapsed="false">
      <c r="A1872" s="79" t="n">
        <v>46249</v>
      </c>
      <c r="B1872" s="80" t="n">
        <v>1</v>
      </c>
    </row>
    <row r="1873" customFormat="false" ht="15" hidden="false" customHeight="false" outlineLevel="0" collapsed="false">
      <c r="A1873" s="79" t="n">
        <v>46250</v>
      </c>
      <c r="B1873" s="80" t="n">
        <v>0</v>
      </c>
    </row>
    <row r="1874" customFormat="false" ht="15" hidden="false" customHeight="false" outlineLevel="0" collapsed="false">
      <c r="A1874" s="79" t="n">
        <v>46251</v>
      </c>
      <c r="B1874" s="80" t="n">
        <v>0</v>
      </c>
    </row>
    <row r="1875" customFormat="false" ht="15" hidden="false" customHeight="false" outlineLevel="0" collapsed="false">
      <c r="A1875" s="79" t="n">
        <v>46252</v>
      </c>
      <c r="B1875" s="80" t="n">
        <v>1</v>
      </c>
    </row>
    <row r="1876" customFormat="false" ht="15" hidden="false" customHeight="false" outlineLevel="0" collapsed="false">
      <c r="A1876" s="79" t="n">
        <v>46253</v>
      </c>
      <c r="B1876" s="80" t="n">
        <v>1</v>
      </c>
    </row>
    <row r="1877" customFormat="false" ht="15" hidden="false" customHeight="false" outlineLevel="0" collapsed="false">
      <c r="A1877" s="79" t="n">
        <v>46254</v>
      </c>
      <c r="B1877" s="80" t="n">
        <v>0</v>
      </c>
    </row>
    <row r="1878" customFormat="false" ht="15" hidden="false" customHeight="false" outlineLevel="0" collapsed="false">
      <c r="A1878" s="79" t="n">
        <v>46255</v>
      </c>
      <c r="B1878" s="80" t="n">
        <v>0</v>
      </c>
    </row>
    <row r="1879" customFormat="false" ht="15" hidden="false" customHeight="false" outlineLevel="0" collapsed="false">
      <c r="A1879" s="79" t="n">
        <v>46256</v>
      </c>
      <c r="B1879" s="80" t="n">
        <v>0</v>
      </c>
    </row>
    <row r="1880" customFormat="false" ht="15" hidden="false" customHeight="false" outlineLevel="0" collapsed="false">
      <c r="A1880" s="79" t="n">
        <v>46257</v>
      </c>
      <c r="B1880" s="80" t="n">
        <v>0</v>
      </c>
    </row>
    <row r="1881" customFormat="false" ht="15" hidden="false" customHeight="false" outlineLevel="0" collapsed="false">
      <c r="A1881" s="79" t="n">
        <v>46258</v>
      </c>
      <c r="B1881" s="80" t="n">
        <v>0</v>
      </c>
    </row>
    <row r="1882" customFormat="false" ht="15" hidden="false" customHeight="false" outlineLevel="0" collapsed="false">
      <c r="A1882" s="79" t="n">
        <v>46259</v>
      </c>
      <c r="B1882" s="80" t="n">
        <v>0</v>
      </c>
    </row>
    <row r="1883" customFormat="false" ht="15" hidden="false" customHeight="false" outlineLevel="0" collapsed="false">
      <c r="A1883" s="79" t="n">
        <v>46260</v>
      </c>
      <c r="B1883" s="80" t="n">
        <v>0</v>
      </c>
    </row>
    <row r="1884" customFormat="false" ht="15" hidden="false" customHeight="false" outlineLevel="0" collapsed="false">
      <c r="A1884" s="79" t="n">
        <v>46261</v>
      </c>
      <c r="B1884" s="80" t="n">
        <v>2</v>
      </c>
    </row>
    <row r="1885" customFormat="false" ht="15" hidden="false" customHeight="false" outlineLevel="0" collapsed="false">
      <c r="A1885" s="79" t="n">
        <v>46262</v>
      </c>
      <c r="B1885" s="80" t="n">
        <v>0</v>
      </c>
    </row>
    <row r="1886" customFormat="false" ht="15" hidden="false" customHeight="false" outlineLevel="0" collapsed="false">
      <c r="A1886" s="79" t="n">
        <v>46263</v>
      </c>
      <c r="B1886" s="80" t="n">
        <v>0</v>
      </c>
    </row>
    <row r="1887" customFormat="false" ht="15" hidden="false" customHeight="false" outlineLevel="0" collapsed="false">
      <c r="A1887" s="79" t="n">
        <v>46264</v>
      </c>
      <c r="B1887" s="80" t="n">
        <v>0</v>
      </c>
    </row>
    <row r="1888" customFormat="false" ht="15" hidden="false" customHeight="false" outlineLevel="0" collapsed="false">
      <c r="A1888" s="79" t="n">
        <v>46265</v>
      </c>
      <c r="B1888" s="80" t="n">
        <v>3</v>
      </c>
    </row>
    <row r="1889" customFormat="false" ht="15" hidden="false" customHeight="false" outlineLevel="0" collapsed="false">
      <c r="A1889" s="79" t="n">
        <v>46266</v>
      </c>
      <c r="B1889" s="80" t="n">
        <v>0</v>
      </c>
    </row>
    <row r="1890" customFormat="false" ht="15" hidden="false" customHeight="false" outlineLevel="0" collapsed="false">
      <c r="A1890" s="79" t="n">
        <v>46267</v>
      </c>
      <c r="B1890" s="80" t="n">
        <v>1</v>
      </c>
    </row>
    <row r="1891" customFormat="false" ht="15" hidden="false" customHeight="false" outlineLevel="0" collapsed="false">
      <c r="A1891" s="79" t="n">
        <v>46268</v>
      </c>
      <c r="B1891" s="80" t="n">
        <v>0</v>
      </c>
    </row>
    <row r="1892" customFormat="false" ht="15" hidden="false" customHeight="false" outlineLevel="0" collapsed="false">
      <c r="A1892" s="79" t="n">
        <v>46269</v>
      </c>
      <c r="B1892" s="80" t="n">
        <v>3</v>
      </c>
    </row>
    <row r="1893" customFormat="false" ht="15" hidden="false" customHeight="false" outlineLevel="0" collapsed="false">
      <c r="A1893" s="79" t="n">
        <v>46270</v>
      </c>
      <c r="B1893" s="80" t="n">
        <v>1</v>
      </c>
    </row>
    <row r="1894" customFormat="false" ht="15" hidden="false" customHeight="false" outlineLevel="0" collapsed="false">
      <c r="A1894" s="79" t="n">
        <v>46271</v>
      </c>
      <c r="B1894" s="80" t="n">
        <v>0</v>
      </c>
    </row>
    <row r="1895" customFormat="false" ht="15" hidden="false" customHeight="false" outlineLevel="0" collapsed="false">
      <c r="A1895" s="79" t="n">
        <v>46272</v>
      </c>
      <c r="B1895" s="80" t="n">
        <v>0</v>
      </c>
    </row>
    <row r="1896" customFormat="false" ht="15" hidden="false" customHeight="false" outlineLevel="0" collapsed="false">
      <c r="A1896" s="79" t="n">
        <v>46273</v>
      </c>
      <c r="B1896" s="80" t="n">
        <v>3</v>
      </c>
    </row>
    <row r="1897" customFormat="false" ht="15" hidden="false" customHeight="false" outlineLevel="0" collapsed="false">
      <c r="A1897" s="79" t="n">
        <v>46274</v>
      </c>
      <c r="B1897" s="80" t="n">
        <v>2</v>
      </c>
    </row>
    <row r="1898" customFormat="false" ht="15" hidden="false" customHeight="false" outlineLevel="0" collapsed="false">
      <c r="A1898" s="79" t="n">
        <v>46275</v>
      </c>
      <c r="B1898" s="80" t="n">
        <v>0</v>
      </c>
    </row>
    <row r="1899" customFormat="false" ht="15" hidden="false" customHeight="false" outlineLevel="0" collapsed="false">
      <c r="A1899" s="79" t="n">
        <v>46276</v>
      </c>
      <c r="B1899" s="80" t="n">
        <v>0</v>
      </c>
    </row>
    <row r="1900" customFormat="false" ht="15" hidden="false" customHeight="false" outlineLevel="0" collapsed="false">
      <c r="A1900" s="79" t="n">
        <v>46277</v>
      </c>
      <c r="B1900" s="80" t="n">
        <v>5</v>
      </c>
    </row>
    <row r="1901" customFormat="false" ht="15" hidden="false" customHeight="false" outlineLevel="0" collapsed="false">
      <c r="A1901" s="79" t="n">
        <v>46278</v>
      </c>
      <c r="B1901" s="80" t="n">
        <v>4</v>
      </c>
    </row>
    <row r="1902" customFormat="false" ht="15" hidden="false" customHeight="false" outlineLevel="0" collapsed="false">
      <c r="A1902" s="79" t="n">
        <v>46279</v>
      </c>
      <c r="B1902" s="80" t="n">
        <v>6</v>
      </c>
    </row>
    <row r="1903" customFormat="false" ht="15" hidden="false" customHeight="false" outlineLevel="0" collapsed="false">
      <c r="A1903" s="79" t="n">
        <v>46280</v>
      </c>
      <c r="B1903" s="80" t="n">
        <v>1</v>
      </c>
    </row>
    <row r="1904" customFormat="false" ht="15" hidden="false" customHeight="false" outlineLevel="0" collapsed="false">
      <c r="A1904" s="79" t="n">
        <v>46281</v>
      </c>
      <c r="B1904" s="80" t="n">
        <v>1</v>
      </c>
    </row>
    <row r="1905" customFormat="false" ht="15" hidden="false" customHeight="false" outlineLevel="0" collapsed="false">
      <c r="A1905" s="79" t="n">
        <v>46282</v>
      </c>
      <c r="B1905" s="80" t="n">
        <v>2</v>
      </c>
    </row>
    <row r="1906" customFormat="false" ht="15" hidden="false" customHeight="false" outlineLevel="0" collapsed="false">
      <c r="A1906" s="79" t="n">
        <v>46283</v>
      </c>
      <c r="B1906" s="80" t="n">
        <v>0</v>
      </c>
    </row>
    <row r="1907" customFormat="false" ht="15" hidden="false" customHeight="false" outlineLevel="0" collapsed="false">
      <c r="A1907" s="79" t="n">
        <v>46284</v>
      </c>
      <c r="B1907" s="80" t="n">
        <v>2</v>
      </c>
    </row>
    <row r="1908" customFormat="false" ht="15" hidden="false" customHeight="false" outlineLevel="0" collapsed="false">
      <c r="A1908" s="79" t="n">
        <v>46285</v>
      </c>
      <c r="B1908" s="80" t="n">
        <v>0</v>
      </c>
    </row>
    <row r="1909" customFormat="false" ht="15" hidden="false" customHeight="false" outlineLevel="0" collapsed="false">
      <c r="A1909" s="79" t="n">
        <v>46286</v>
      </c>
      <c r="B1909" s="80" t="n">
        <v>3</v>
      </c>
    </row>
    <row r="1910" customFormat="false" ht="15" hidden="false" customHeight="false" outlineLevel="0" collapsed="false">
      <c r="A1910" s="79" t="n">
        <v>46287</v>
      </c>
      <c r="B1910" s="80" t="n">
        <v>3</v>
      </c>
    </row>
    <row r="1911" customFormat="false" ht="15" hidden="false" customHeight="false" outlineLevel="0" collapsed="false">
      <c r="A1911" s="79" t="n">
        <v>46288</v>
      </c>
      <c r="B1911" s="80" t="n">
        <v>5</v>
      </c>
    </row>
    <row r="1912" customFormat="false" ht="15" hidden="false" customHeight="false" outlineLevel="0" collapsed="false">
      <c r="A1912" s="79" t="n">
        <v>46289</v>
      </c>
      <c r="B1912" s="80" t="n">
        <v>0</v>
      </c>
    </row>
    <row r="1913" customFormat="false" ht="15" hidden="false" customHeight="false" outlineLevel="0" collapsed="false">
      <c r="A1913" s="79" t="n">
        <v>46290</v>
      </c>
      <c r="B1913" s="80" t="n">
        <v>2</v>
      </c>
    </row>
    <row r="1914" customFormat="false" ht="15" hidden="false" customHeight="false" outlineLevel="0" collapsed="false">
      <c r="A1914" s="79" t="n">
        <v>46291</v>
      </c>
      <c r="B1914" s="80" t="n">
        <v>0</v>
      </c>
    </row>
    <row r="1915" customFormat="false" ht="15" hidden="false" customHeight="false" outlineLevel="0" collapsed="false">
      <c r="A1915" s="79" t="n">
        <v>46292</v>
      </c>
      <c r="B1915" s="80" t="n">
        <v>1</v>
      </c>
    </row>
    <row r="1916" customFormat="false" ht="15" hidden="false" customHeight="false" outlineLevel="0" collapsed="false">
      <c r="A1916" s="79" t="n">
        <v>46293</v>
      </c>
      <c r="B1916" s="80" t="n">
        <v>1</v>
      </c>
    </row>
    <row r="1917" customFormat="false" ht="15" hidden="false" customHeight="false" outlineLevel="0" collapsed="false">
      <c r="A1917" s="79" t="n">
        <v>46294</v>
      </c>
      <c r="B1917" s="80" t="n">
        <v>1</v>
      </c>
    </row>
    <row r="1918" customFormat="false" ht="15" hidden="false" customHeight="false" outlineLevel="0" collapsed="false">
      <c r="A1918" s="79" t="n">
        <v>46295</v>
      </c>
      <c r="B1918" s="80" t="n">
        <v>0</v>
      </c>
    </row>
    <row r="1919" customFormat="false" ht="15" hidden="false" customHeight="false" outlineLevel="0" collapsed="false">
      <c r="A1919" s="79" t="n">
        <v>46296</v>
      </c>
      <c r="B1919" s="80" t="n">
        <v>0</v>
      </c>
    </row>
    <row r="1920" customFormat="false" ht="15" hidden="false" customHeight="false" outlineLevel="0" collapsed="false">
      <c r="A1920" s="79" t="n">
        <v>46297</v>
      </c>
      <c r="B1920" s="80" t="n">
        <v>0</v>
      </c>
    </row>
    <row r="1921" customFormat="false" ht="15" hidden="false" customHeight="false" outlineLevel="0" collapsed="false">
      <c r="A1921" s="79" t="n">
        <v>46298</v>
      </c>
      <c r="B1921" s="80" t="n">
        <v>0</v>
      </c>
    </row>
    <row r="1922" customFormat="false" ht="15" hidden="false" customHeight="false" outlineLevel="0" collapsed="false">
      <c r="A1922" s="79" t="n">
        <v>46299</v>
      </c>
      <c r="B1922" s="80" t="n">
        <v>1</v>
      </c>
    </row>
    <row r="1923" customFormat="false" ht="15" hidden="false" customHeight="false" outlineLevel="0" collapsed="false">
      <c r="A1923" s="79" t="n">
        <v>46300</v>
      </c>
      <c r="B1923" s="80" t="n">
        <v>0</v>
      </c>
    </row>
    <row r="1924" customFormat="false" ht="15" hidden="false" customHeight="false" outlineLevel="0" collapsed="false">
      <c r="A1924" s="79" t="n">
        <v>46301</v>
      </c>
      <c r="B1924" s="80" t="n">
        <v>0</v>
      </c>
    </row>
    <row r="1925" customFormat="false" ht="15" hidden="false" customHeight="false" outlineLevel="0" collapsed="false">
      <c r="A1925" s="79" t="n">
        <v>46302</v>
      </c>
      <c r="B1925" s="80" t="n">
        <v>2</v>
      </c>
    </row>
    <row r="1926" customFormat="false" ht="15" hidden="false" customHeight="false" outlineLevel="0" collapsed="false">
      <c r="A1926" s="79" t="n">
        <v>46303</v>
      </c>
      <c r="B1926" s="80" t="n">
        <v>0</v>
      </c>
    </row>
    <row r="1927" customFormat="false" ht="15" hidden="false" customHeight="false" outlineLevel="0" collapsed="false">
      <c r="A1927" s="79" t="n">
        <v>46304</v>
      </c>
      <c r="B1927" s="80" t="n">
        <v>0</v>
      </c>
    </row>
    <row r="1928" customFormat="false" ht="15" hidden="false" customHeight="false" outlineLevel="0" collapsed="false">
      <c r="A1928" s="79" t="n">
        <v>46305</v>
      </c>
      <c r="B1928" s="80" t="n">
        <v>0</v>
      </c>
    </row>
    <row r="1929" customFormat="false" ht="15" hidden="false" customHeight="false" outlineLevel="0" collapsed="false">
      <c r="A1929" s="79" t="n">
        <v>46306</v>
      </c>
      <c r="B1929" s="80" t="n">
        <v>0</v>
      </c>
    </row>
    <row r="1930" customFormat="false" ht="15" hidden="false" customHeight="false" outlineLevel="0" collapsed="false">
      <c r="A1930" s="79" t="n">
        <v>46307</v>
      </c>
      <c r="B1930" s="80" t="n">
        <v>0</v>
      </c>
    </row>
    <row r="1931" customFormat="false" ht="15" hidden="false" customHeight="false" outlineLevel="0" collapsed="false">
      <c r="A1931" s="79" t="n">
        <v>46308</v>
      </c>
      <c r="B1931" s="80" t="n">
        <v>2</v>
      </c>
    </row>
    <row r="1932" customFormat="false" ht="15" hidden="false" customHeight="false" outlineLevel="0" collapsed="false">
      <c r="A1932" s="79" t="n">
        <v>46309</v>
      </c>
      <c r="B1932" s="80" t="n">
        <v>1</v>
      </c>
    </row>
    <row r="1933" customFormat="false" ht="15" hidden="false" customHeight="false" outlineLevel="0" collapsed="false">
      <c r="A1933" s="79" t="n">
        <v>46310</v>
      </c>
      <c r="B1933" s="80" t="n">
        <v>0</v>
      </c>
    </row>
    <row r="1934" customFormat="false" ht="15" hidden="false" customHeight="false" outlineLevel="0" collapsed="false">
      <c r="A1934" s="79" t="n">
        <v>46311</v>
      </c>
      <c r="B1934" s="80" t="n">
        <v>1</v>
      </c>
    </row>
    <row r="1935" customFormat="false" ht="15" hidden="false" customHeight="false" outlineLevel="0" collapsed="false">
      <c r="A1935" s="79" t="n">
        <v>46312</v>
      </c>
      <c r="B1935" s="80" t="n">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2026-10-18T09:42:34Z</dcterms:created>
  <dc:creator>openpyxl</dc:creator>
  <dc:description/>
  <dc:language>en-US</dc:language>
  <cp:lastModifiedBy/>
  <dcterms:modified xsi:type="dcterms:W3CDTF">2026-10-18T09:42:36Z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