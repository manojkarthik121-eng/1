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ll Videos" sheetId="2" state="visible" r:id="rId4"/>
    <sheet name="Monthly Trend" sheetId="3" state="visible" r:id="rId5"/>
    <sheet name="Top 5 Trajectories" sheetId="4" state="visible" r:id="rId6"/>
    <sheet name="Breakdowns" sheetId="5" state="visible" r:id="rId7"/>
    <sheet name="Deep Analysis" sheetId="6" state="visible" r:id="rId8"/>
    <sheet name="Market Research 2026" sheetId="7" state="visible" r:id="rId9"/>
    <sheet name="Action Plan" sheetId="8" state="visible" r:id="rId10"/>
    <sheet name="Content Playbook" sheetId="9" state="visible" r:id="rId11"/>
    <sheet name="Glossary &amp; Missing Data" sheetId="10" state="visible" r:id="rId12"/>
    <sheet name="Daily Views (raw)" sheetId="11" state="visible" r:id="rId13"/>
  </sheets>
  <definedNames>
    <definedName function="false" hidden="true" localSheetId="1" name="_xlnm._FilterDatabase" vbProcedure="false">'All Videos'!$A$4:$U$76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5" authorId="0">
      <text>
        <r>
          <rPr>
            <sz val="10"/>
            <rFont val="Arial"/>
            <family val="2"/>
          </rPr>
          <t xml:space="preserve">Weighted CTR of your 5 long-form videos (see Breakdowns, table 3).</t>
        </r>
      </text>
    </comment>
    <comment ref="B26" authorId="0">
      <text>
        <r>
          <rPr>
            <sz val="10"/>
            <rFont val="Arial"/>
            <family val="2"/>
          </rPr>
          <t xml:space="preserve">Estimated range 4–18% across your 5 long videos; ~15% is the midpoint of the better ones.</t>
        </r>
      </text>
    </comment>
  </commentList>
</comments>
</file>

<file path=xl/sharedStrings.xml><?xml version="1.0" encoding="utf-8"?>
<sst xmlns="http://schemas.openxmlformats.org/spreadsheetml/2006/main" count="1035" uniqueCount="613">
  <si>
    <t xml:space="preserve">YOUR OLD YOUTUBE CHANNEL — PERFORMANCE ASSESSMENT</t>
  </si>
  <si>
    <t xml:space="preserve">Data: YouTube Studio export (lifetime, Jul 2022 – Oct 2026) · 72 uploads · Built 19 Oct 2026. Start here, then follow the tabs left → right.</t>
  </si>
  <si>
    <t xml:space="preserve">CHANNEL AT A GLANCE (lifetime)</t>
  </si>
  <si>
    <t xml:space="preserve">Total views</t>
  </si>
  <si>
    <t xml:space="preserve">Watch time (hrs)</t>
  </si>
  <si>
    <t xml:space="preserve">Subscribers gained</t>
  </si>
  <si>
    <t xml:space="preserve">Thumbnail impressions</t>
  </si>
  <si>
    <t xml:space="preserve">Thumbnail CTR</t>
  </si>
  <si>
    <t xml:space="preserve">Videos uploaded</t>
  </si>
  <si>
    <t xml:space="preserve">Channel total from Studio</t>
  </si>
  <si>
    <t xml:space="preserve">Channel total. Reported gaming avg ≈ 8.5% (Focus Digital)</t>
  </si>
  <si>
    <t xml:space="preserve">Counted from All Videos</t>
  </si>
  <si>
    <t xml:space="preserve">Subs per 1,000 views</t>
  </si>
  <si>
    <t xml:space="preserve">Median views per video</t>
  </si>
  <si>
    <t xml:space="preserve">Share of views from #1 video</t>
  </si>
  <si>
    <t xml:space="preserve">Avg watch per view (sec)</t>
  </si>
  <si>
    <t xml:space="preserve">Videos with 1,000+ views</t>
  </si>
  <si>
    <t xml:space="preserve">Videos under 200 views</t>
  </si>
  <si>
    <t xml:space="preserve">Views → fans conversion</t>
  </si>
  <si>
    <t xml:space="preserve">Typical video (not skewed by 1 viral hit)</t>
  </si>
  <si>
    <t xml:space="preserve">Dependence on one viral clip</t>
  </si>
  <si>
    <t xml:space="preserve">Watch time ÷ views</t>
  </si>
  <si>
    <t xml:space="preserve">"HIT" tier</t>
  </si>
  <si>
    <t xml:space="preserve">"LOW" tier</t>
  </si>
  <si>
    <t xml:space="preserve">Red numbers = biggest weak spots · Blue = exported totals · Navy = calculated</t>
  </si>
  <si>
    <t xml:space="preserve">THE 6 THINGS THAT MATTER MOST</t>
  </si>
  <si>
    <t xml:space="preserve">STRENGTH</t>
  </si>
  <si>
    <t xml:space="preserve">You found a format that works: cricket-game "Umpire / Out-or-not-out?" drama. 26 such clips = about two-thirds of all video views, ~4x the views per video of your other cricket clips.</t>
  </si>
  <si>
    <t xml:space="preserve">Your long-form packaging works: long videos earned 7–16% thumbnail CTR on small samples, at or above the ~8.5% average reported for gaming. People WANT to click.</t>
  </si>
  <si>
    <t xml:space="preserve">WEAKNESS</t>
  </si>
  <si>
    <t xml:space="preserve">Views only happen while you upload. Bursts (Dec 22, Mar 24, Nov 25, Jun 26) are followed by near-zero months because uploads stop. No back-catalogue engine.</t>
  </si>
  <si>
    <t xml:space="preserve">Viewers don't become fans: ~1.8 subs per 1,000 views and ~10 seconds watched per view. 3–5 sec clips with no voice, face, series name or call-to-action give nobody a reason to follow YOU.</t>
  </si>
  <si>
    <t xml:space="preserve">Titles hurt you: hashtag-stuffed titles (often irrelevant: #minecraft, #nfl, #valve on cricket) averaged less than a quarter of the views of clean titles (~125 vs ~555). Profanity titles ("F***ing", "MOFOS") limit ads and reach.</t>
  </si>
  <si>
    <t xml:space="preserve">OPPORTUNITY</t>
  </si>
  <si>
    <t xml:space="preserve">Cricket is India's biggest streaming category (T20 WC 2026 ≈ 246M, IPL 2026 ≈ 228M viewers; Ormax). Real Cricket hit a record 3.5M downloads in Apr 2026. Ride the cricket calendar with a recognisable series and a real voice.</t>
  </si>
  <si>
    <t xml:space="preserve">TOP 5 VIDEOS (live from All Videos)</t>
  </si>
  <si>
    <t xml:space="preserve">#</t>
  </si>
  <si>
    <t xml:space="preserve">Title</t>
  </si>
  <si>
    <t xml:space="preserve">Views</t>
  </si>
  <si>
    <t xml:space="preserve">Length (s)</t>
  </si>
  <si>
    <t xml:space="preserve">Avg % viewed</t>
  </si>
  <si>
    <t xml:space="preserve">Subs</t>
  </si>
  <si>
    <t xml:space="preserve">Angle</t>
  </si>
  <si>
    <t xml:space="preserve">CHARTS</t>
  </si>
  <si>
    <t xml:space="preserve">TAB GUIDE →  All Videos (every stat) · Monthly Trend · Top 5 Trajectories · Breakdowns · Deep Analysis · Market Research 2026 · Action Plan · Content Playbook · Glossary &amp; Missing Data</t>
  </si>
  <si>
    <t xml:space="preserve">ALL VIDEOS — every upload, ranked by views</t>
  </si>
  <si>
    <t xml:space="preserve">Raw stats from your YouTube Studio export (blue = exported data) + calculated columns (black). Use the filter arrows on row 4 to slice by game, format, angle, tier.</t>
  </si>
  <si>
    <t xml:space="preserve">Rank</t>
  </si>
  <si>
    <t xml:space="preserve">Video ID</t>
  </si>
  <si>
    <t xml:space="preserve">Published</t>
  </si>
  <si>
    <t xml:space="preserve">Year</t>
  </si>
  <si>
    <t xml:space="preserve">Game</t>
  </si>
  <si>
    <t xml:space="preserve">Content angle</t>
  </si>
  <si>
    <t xml:space="preserve">Format</t>
  </si>
  <si>
    <t xml:space="preserve">Length (sec)</t>
  </si>
  <si>
    <t xml:space="preserve">Subs gained</t>
  </si>
  <si>
    <t xml:space="preserve">Avg view duration (sec)</t>
  </si>
  <si>
    <t xml:space="preserve">Avg % viewed (est.)</t>
  </si>
  <si>
    <t xml:space="preserve">Subs per 1k views</t>
  </si>
  <si>
    <t xml:space="preserve"># hashtags in title</t>
  </si>
  <si>
    <t xml:space="preserve">Title style</t>
  </si>
  <si>
    <t xml:space="preserve">Length bucket</t>
  </si>
  <si>
    <t xml:space="preserve">Performance tier</t>
  </si>
  <si>
    <t xml:space="preserve">9srtvMvNdHE</t>
  </si>
  <si>
    <t xml:space="preserve">Umpire Caught Cheating In Cricket 07</t>
  </si>
  <si>
    <t xml:space="preserve">Cricket 07</t>
  </si>
  <si>
    <t xml:space="preserve">Umpire / decision drama</t>
  </si>
  <si>
    <t xml:space="preserve">Short</t>
  </si>
  <si>
    <t xml:space="preserve">uhVoNiY4MBg</t>
  </si>
  <si>
    <t xml:space="preserve">How Is That NOT OUT?! 😳</t>
  </si>
  <si>
    <t xml:space="preserve">RAfXFnj14Vo</t>
  </si>
  <si>
    <t xml:space="preserve">counter strike condition zero#counterstrike#counterstrikeconditionzero#shorts</t>
  </si>
  <si>
    <t xml:space="preserve">Counter-Strike CZ</t>
  </si>
  <si>
    <t xml:space="preserve">Gameplay clip (other game)</t>
  </si>
  <si>
    <t xml:space="preserve">ME765cmAuUY</t>
  </si>
  <si>
    <t xml:space="preserve">The Calm Before LBW</t>
  </si>
  <si>
    <t xml:space="preserve">JO21rkfLXIU</t>
  </si>
  <si>
    <t xml:space="preserve">BLIND UMPIRE</t>
  </si>
  <si>
    <t xml:space="preserve">QHivJyx-aYs</t>
  </si>
  <si>
    <t xml:space="preserve">Plum LBW As F***ing Hell #1</t>
  </si>
  <si>
    <t xml:space="preserve">iZzVJQU-c_g</t>
  </si>
  <si>
    <t xml:space="preserve">CRICKET 07 2011 THE TENTH WORLD WAR!</t>
  </si>
  <si>
    <t xml:space="preserve">Cricket moments &amp; gameplay</t>
  </si>
  <si>
    <t xml:space="preserve">Long-form</t>
  </si>
  <si>
    <t xml:space="preserve">dG3Y_PJcRac</t>
  </si>
  <si>
    <t xml:space="preserve">Impossible CS: Condition Zero Shot – You Won’t Believe This!</t>
  </si>
  <si>
    <t xml:space="preserve">eDSHeMeqqRw</t>
  </si>
  <si>
    <t xml:space="preserve">Eventful First Over#shorts #ipl</t>
  </si>
  <si>
    <t xml:space="preserve">Q5GFat6Xcrs</t>
  </si>
  <si>
    <t xml:space="preserve">EA SPORTS CRICKET 07 2011 world cup patch#wc2011#yt20 #easports #easportscricket07 #msdhoni#shorts</t>
  </si>
  <si>
    <t xml:space="preserve">9keTUQcwKD4</t>
  </si>
  <si>
    <t xml:space="preserve">An Outstanding Collapse In Just 1 Over</t>
  </si>
  <si>
    <t xml:space="preserve">JGX2UvOZuDM</t>
  </si>
  <si>
    <t xml:space="preserve">OUT GIVEN NOT OUT BY A VERY MUCH OF A BONEHEAD UMPIRE</t>
  </si>
  <si>
    <t xml:space="preserve">MC0O2wouTtY</t>
  </si>
  <si>
    <t xml:space="preserve">Worst LBW Decision Ever!? #shorts</t>
  </si>
  <si>
    <t xml:space="preserve">wgBipPmStXg</t>
  </si>
  <si>
    <t xml:space="preserve">EA SPORTS CRICKET 07 2011 WORLD CUP PATCH#easports#eacricket07 #2011worldcup#shorts#YT20#shorts</t>
  </si>
  <si>
    <t xml:space="preserve">tXk79jKSJfA</t>
  </si>
  <si>
    <t xml:space="preserve">smash hit #smashhit #mediocre #2023 #yt20 #yt20shorts #kabam #valve #mcoc #ytshorts</t>
  </si>
  <si>
    <t xml:space="preserve">Smash Hit</t>
  </si>
  <si>
    <t xml:space="preserve">_IrJCfSDmnY</t>
  </si>
  <si>
    <t xml:space="preserve">Umpire Absolutely Spot On 👏</t>
  </si>
  <si>
    <t xml:space="preserve">58PePzfjFec</t>
  </si>
  <si>
    <t xml:space="preserve">EA Cricket 07 Gameplay#2023 #Cricket07#gaming#videogames#2011WorldCup#Patch #indvaus #easports</t>
  </si>
  <si>
    <t xml:space="preserve">txa0-v0i8b4</t>
  </si>
  <si>
    <t xml:space="preserve">Ricky Ponting Watching The LBW Like 👀</t>
  </si>
  <si>
    <t xml:space="preserve">oWW3btuZlKc</t>
  </si>
  <si>
    <t xml:space="preserve">smash hit #smashhit #yt20 #mediocre #shorts#2023#yt20shorts#2022inshort</t>
  </si>
  <si>
    <t xml:space="preserve">fyprtSDvTFM</t>
  </si>
  <si>
    <t xml:space="preserve">Even the Replay Couldn’t Decide! Umpire’s Call</t>
  </si>
  <si>
    <t xml:space="preserve">zBFiIFSUpQA</t>
  </si>
  <si>
    <t xml:space="preserve">smash hit #smashhit #2022inshort #yt20 #shorts #mediocre #2023 #yt20shorts</t>
  </si>
  <si>
    <t xml:space="preserve">4k0wprDQoW0</t>
  </si>
  <si>
    <t xml:space="preserve">COUNTER STRIKE CONDITION ZERO#shorts #ytshorts #valve #csgo #valve #counterstrike  #cscz</t>
  </si>
  <si>
    <t xml:space="preserve">4gIP1vRVTxA</t>
  </si>
  <si>
    <t xml:space="preserve">WESTERN AUSTRALIA VS VICTORIA BUSHRANGERS#youtubeshorts #youtube #2024 #shorts #cricket #easports</t>
  </si>
  <si>
    <t xml:space="preserve">3J88bocUWoo</t>
  </si>
  <si>
    <t xml:space="preserve">smash hit#smashhit#mediocre#shorts</t>
  </si>
  <si>
    <t xml:space="preserve">JbqeifCho3o</t>
  </si>
  <si>
    <t xml:space="preserve">HOOK SHOT GONE WRONG IN THE FIRST CLASS MATCH#youtubeshorts #youtube#2024 #shorts #cricket #easports</t>
  </si>
  <si>
    <t xml:space="preserve">hDjkIVWNP94</t>
  </si>
  <si>
    <t xml:space="preserve">marvel contest of champions#mcoc#kabam#shorts</t>
  </si>
  <si>
    <t xml:space="preserve">Marvel Contest of Champions</t>
  </si>
  <si>
    <t xml:space="preserve">CODppQdEyEA</t>
  </si>
  <si>
    <t xml:space="preserve">Was it OUT Or NOT OUT 🤔</t>
  </si>
  <si>
    <t xml:space="preserve">uQQAxwp5DIA</t>
  </si>
  <si>
    <t xml:space="preserve">smash hit#shorts#ytshorts#yt20#yt20shorts#valve#2023#counterstrike2#minecraft#csgo#kabam#mcoc</t>
  </si>
  <si>
    <t xml:space="preserve">SxnUx7lDb7s</t>
  </si>
  <si>
    <t xml:space="preserve">Smash Hit 100% Skill or Luck? Crazy Level!</t>
  </si>
  <si>
    <t xml:space="preserve">h8FFKUmiNAc</t>
  </si>
  <si>
    <t xml:space="preserve">smash hit#smashhit#mediocre#yt20#shorts#2022inshort</t>
  </si>
  <si>
    <t xml:space="preserve">ukocplLF07g</t>
  </si>
  <si>
    <t xml:space="preserve">l5bsL_B8qN0</t>
  </si>
  <si>
    <t xml:space="preserve">smash hit#smashhit #shorts #mediocre #2022inshort #yt20 #2023 #yt20shorts #kabam #mcoc #valve</t>
  </si>
  <si>
    <t xml:space="preserve">A1bChjJnc3E</t>
  </si>
  <si>
    <t xml:space="preserve">marvel contest of champions#mcoc#kabam#shorts#2022inshort#yt20#yt20#hulkbuster</t>
  </si>
  <si>
    <t xml:space="preserve">X1vHJ-CBLzM</t>
  </si>
  <si>
    <t xml:space="preserve">Marvel contest of champions#mcoc#kabam #2023 #yt20#valve#shorts#ytshorts#yt20#yt20shorts</t>
  </si>
  <si>
    <t xml:space="preserve">yIyFoksyNes</t>
  </si>
  <si>
    <t xml:space="preserve">smash hit#shorts#ytshorts#yt20#yt20shorts#valve#minecraft#smashhit#mediocre#2023#mcoc #csgo</t>
  </si>
  <si>
    <t xml:space="preserve">VRz3XMQVRiM</t>
  </si>
  <si>
    <t xml:space="preserve">ckIiJzpvcaE</t>
  </si>
  <si>
    <t xml:space="preserve">When EA Umpires Lose Their Mind 😂💀</t>
  </si>
  <si>
    <t xml:space="preserve">yPgxxdDKlHc</t>
  </si>
  <si>
    <t xml:space="preserve">I Played a "Belter" Pitch and This Happened... (Cricket 07 2020 IC patch Gameplay)</t>
  </si>
  <si>
    <t xml:space="preserve">GAKo_CXCN7c</t>
  </si>
  <si>
    <t xml:space="preserve">“Worst LBW Decision Ever?#shorts #cricket #ytshorts #easports #cricket07 #gaming #minecraft</t>
  </si>
  <si>
    <t xml:space="preserve">AvnPqs2bKwU</t>
  </si>
  <si>
    <t xml:space="preserve">smash hit #shorts #mediocre #smashhit #2022inshort #yt20 #2023 #yt20shorts #kabam #mcoc #valve</t>
  </si>
  <si>
    <t xml:space="preserve">20a0y2jclEY</t>
  </si>
  <si>
    <t xml:space="preserve">smash hit #shorts #mediocre #smashhit #2022inshort #yt20 #2023 #yt20shorts #kabam #mcoc</t>
  </si>
  <si>
    <t xml:space="preserve">KAOHEFhUeN4</t>
  </si>
  <si>
    <t xml:space="preserve">That's out for sure for sure💯</t>
  </si>
  <si>
    <t xml:space="preserve">UwBZtx9ol1M</t>
  </si>
  <si>
    <t xml:space="preserve">OUT OR NOTOUT??#youtubeshorts #youtube#2024 #shorts #cricket #easports #ytshorts #minecraft</t>
  </si>
  <si>
    <t xml:space="preserve">-J6f72chzzc</t>
  </si>
  <si>
    <t xml:space="preserve">EA Cricket 07 Gameplay#2023  #youtubeshorts#gaming#videogames#ytshorts#Patch#easports#youtube</t>
  </si>
  <si>
    <t xml:space="preserve">JqvTo8bbit8</t>
  </si>
  <si>
    <t xml:space="preserve">Smash Hit Gameplay#smashhit#mediocre#2023#2024#gaming#videogame#minecraft#counterstrike #yt#youtube</t>
  </si>
  <si>
    <t xml:space="preserve">D0gY6BsPb7A</t>
  </si>
  <si>
    <t xml:space="preserve">CLEAR OUT... But Given NOT OUT 😭</t>
  </si>
  <si>
    <t xml:space="preserve">rejiK9lAgT0</t>
  </si>
  <si>
    <t xml:space="preserve">Umpire Was Blind or What? 😂</t>
  </si>
  <si>
    <t xml:space="preserve">aBAa8G_OpME</t>
  </si>
  <si>
    <t xml:space="preserve">AMAEZING CATCH BY THE FIELDER#youtubeshorts #youtube#2024 #shorts #cricket #easports #ytshorts</t>
  </si>
  <si>
    <t xml:space="preserve">Fe4BxpW8tGQ</t>
  </si>
  <si>
    <t xml:space="preserve">A DOUBLE HAT-TRICK</t>
  </si>
  <si>
    <t xml:space="preserve">8EArb0adq_E</t>
  </si>
  <si>
    <t xml:space="preserve">out or not out#shorts #ipl#cricket #easports</t>
  </si>
  <si>
    <t xml:space="preserve">W-2vgakHtBA</t>
  </si>
  <si>
    <t xml:space="preserve">Worst Umpiring Ever?! This Makes NO Sense 🤯</t>
  </si>
  <si>
    <t xml:space="preserve">wHJOUeaoW8o</t>
  </si>
  <si>
    <t xml:space="preserve">smash hit#shorts#ytshorts#yt20#yt20shorts#valve#2023#counterstrike2#minecraft#csgo#mcoc #gaming</t>
  </si>
  <si>
    <t xml:space="preserve">Ys_ZDyZxCRA</t>
  </si>
  <si>
    <t xml:space="preserve">OUT OR NOT OUT#youtube #youtubeshorts #shorts #ytshorts</t>
  </si>
  <si>
    <t xml:space="preserve">fm_19QwAMvc</t>
  </si>
  <si>
    <t xml:space="preserve">Plum LBW As F***ing Hell #2</t>
  </si>
  <si>
    <t xml:space="preserve">GMnEztKsx2w</t>
  </si>
  <si>
    <t xml:space="preserve">Umpire’s Call... And Everyone Lost It 😳 #shorts #minecraft #cricket #easports #nfl</t>
  </si>
  <si>
    <t xml:space="preserve">1n5WVTg2dZg</t>
  </si>
  <si>
    <t xml:space="preserve">First ball of the match😭😭</t>
  </si>
  <si>
    <t xml:space="preserve">FjECTz6iBGU</t>
  </si>
  <si>
    <t xml:space="preserve">tgYdpE5Lnlo</t>
  </si>
  <si>
    <t xml:space="preserve">EA Cricket 07 Gameplay#2023 #gaming#videogames#patch #easports #cricketworldcup2023 #indvsnz #cwc23</t>
  </si>
  <si>
    <t xml:space="preserve">h8pkGF0LksA</t>
  </si>
  <si>
    <t xml:space="preserve">Was That Really Out?  #shorts  #cricket #sports#minecraft #easports #cricket07  #gaming #nfl</t>
  </si>
  <si>
    <t xml:space="preserve">csFz9h-MAbQ</t>
  </si>
  <si>
    <t xml:space="preserve">NOT OUT As F***ing Hell #1</t>
  </si>
  <si>
    <t xml:space="preserve">nC1xaNta2Kg</t>
  </si>
  <si>
    <t xml:space="preserve">EA Cricket but in 2x Speed ⚡</t>
  </si>
  <si>
    <t xml:space="preserve">50HvTx46xIk</t>
  </si>
  <si>
    <t xml:space="preserve">BRILLIANT CATCH BY FIELDER IN SQUARE LEG</t>
  </si>
  <si>
    <t xml:space="preserve">i3faz37FJYk</t>
  </si>
  <si>
    <t xml:space="preserve">No clue whether it was out or not out?🤔</t>
  </si>
  <si>
    <t xml:space="preserve">9YoTDB33KBA</t>
  </si>
  <si>
    <t xml:space="preserve">I just want your attention MOFOS😅!</t>
  </si>
  <si>
    <t xml:space="preserve">JoqXwqybq6s</t>
  </si>
  <si>
    <t xml:space="preserve">November 5, 2025</t>
  </si>
  <si>
    <t xml:space="preserve">I0VmUmyhn74</t>
  </si>
  <si>
    <t xml:space="preserve">How's the view😎?</t>
  </si>
  <si>
    <t xml:space="preserve">jMDByBDlfg4</t>
  </si>
  <si>
    <t xml:space="preserve">Worst LBW Decision Ever 😭 #shorts #cricket07 #easports #cricket #sports #gaming</t>
  </si>
  <si>
    <t xml:space="preserve">rjWGpO8Tg3M</t>
  </si>
  <si>
    <t xml:space="preserve">MK ts_4 Live Stream</t>
  </si>
  <si>
    <t xml:space="preserve">Live stream</t>
  </si>
  <si>
    <t xml:space="preserve">Live</t>
  </si>
  <si>
    <t xml:space="preserve">p9VLvAFslRY</t>
  </si>
  <si>
    <t xml:space="preserve">The Worst Shot Ever Played In Cricket 07😂</t>
  </si>
  <si>
    <t xml:space="preserve">ON3H_GZQfcg</t>
  </si>
  <si>
    <t xml:space="preserve">Did it for views MOFOS!😎</t>
  </si>
  <si>
    <t xml:space="preserve">5xArjQWTUGk</t>
  </si>
  <si>
    <t xml:space="preserve">The most bonehead shot ever😅</t>
  </si>
  <si>
    <t xml:space="preserve">q4TuG5CO8n4</t>
  </si>
  <si>
    <t xml:space="preserve">A BIG SWING FOR NOTHING AND ENDED UP BEING CAUGHT BY THE KEEPER</t>
  </si>
  <si>
    <t xml:space="preserve">HOW TO READ THIS SHEET</t>
  </si>
  <si>
    <t xml:space="preserve">Performance tier: HIT = 1,000+ views · OK = 200–999 · LOW = under 200 · NO DATA = YouTube exported no views (unlisted/brand-new/never surfaced).</t>
  </si>
  <si>
    <t xml:space="preserve">Avg % viewed (est.) = avg view duration ÷ length. Over 100% means people re-watched / looped the Short. It is an estimate from watch-time hours, not the exact Studio figure.</t>
  </si>
  <si>
    <t xml:space="preserve">Thumbnail CTR on Shorts is NOT meaningful: Shorts are mostly swiped to in the Shorts feed, not clicked from a thumbnail (e.g. "How Is That NOT OUT?!" got 2,006 views from just 80 thumbnail impressions). Judge Shorts by "Viewed vs swiped away" instead.</t>
  </si>
  <si>
    <t xml:space="preserve">Format: Short = 3 min or less (YouTube allows Shorts up to 3 min since Oct 2024). Game &amp; Content angle were tagged from each title.</t>
  </si>
  <si>
    <t xml:space="preserve">Per-video totals sum to fewer views than the channel total (29,044) because YouTube keeps views from deleted/private videos and channel-page activity in the channel total only. Same for subscribers (51 channel vs per-video sum).</t>
  </si>
  <si>
    <t xml:space="preserve">Data quirks kept as-exported: one video titled "November 5, 2025" (no real title set), a 0-sec live stream, and a -1 subscriber value (someone unsubscribed after watching).</t>
  </si>
  <si>
    <t xml:space="preserve">MONTHLY TREND — views vs. uploads</t>
  </si>
  <si>
    <t xml:space="preserve">Views are summed from Daily Views (raw); uploads counted from All Videos. Notice: views only show up in the months you were uploading.</t>
  </si>
  <si>
    <t xml:space="preserve">Month</t>
  </si>
  <si>
    <t xml:space="preserve">Uploads that month</t>
  </si>
  <si>
    <t xml:space="preserve">Views per upload</t>
  </si>
  <si>
    <t xml:space="preserve">Phase</t>
  </si>
  <si>
    <t xml:space="preserve">What happened</t>
  </si>
  <si>
    <t xml:space="preserve">2022: Multi-game start</t>
  </si>
  <si>
    <t xml:space="preserve">Channel goes live (first live stream)</t>
  </si>
  <si>
    <t xml:space="preserve">First Cricket 07 2011-WC-patch Shorts + MCOC</t>
  </si>
  <si>
    <t xml:space="preserve">Counter-Strike CZ Short hits 1,595 views in ONE day (Dec 6)</t>
  </si>
  <si>
    <t xml:space="preserve">2023: Smash Hit / mixed</t>
  </si>
  <si>
    <t xml:space="preserve">Smash Hit Shorts batch — steady but small</t>
  </si>
  <si>
    <t xml:space="preserve">Last Smash Hit batch; then uploads slow down</t>
  </si>
  <si>
    <t xml:space="preserve">Upload gap → views collapse</t>
  </si>
  <si>
    <t xml:space="preserve">Back to Cricket 07 gameplay</t>
  </si>
  <si>
    <t xml:space="preserve">"Umpire Caught Cheating" (3-sec clip) uploaded</t>
  </si>
  <si>
    <t xml:space="preserve">2024: Viral clip → silence</t>
  </si>
  <si>
    <t xml:space="preserve">That clip starts getting pushed by the Shorts feed</t>
  </si>
  <si>
    <t xml:space="preserve">Delayed viral wave continues</t>
  </si>
  <si>
    <t xml:space="preserve">Peak month: 4,607 views — almost all from one 3-sec clip, 4 months after upload</t>
  </si>
  <si>
    <t xml:space="preserve">Wave ends; few new uploads to catch the traffic</t>
  </si>
  <si>
    <t xml:space="preserve">Long quiet period (~1 upload in 18 months)</t>
  </si>
  <si>
    <t xml:space="preserve">Smash Hit long-form (27 min) — 145 views</t>
  </si>
  <si>
    <t xml:space="preserve">2025: Dormant → umpire comeback</t>
  </si>
  <si>
    <t xml:space="preserve">Comeback: 12 umpire/LBW Shorts in a month → 4,781 views</t>
  </si>
  <si>
    <t xml:space="preserve">Uploads stop → views drop 96%</t>
  </si>
  <si>
    <t xml:space="preserve">2026: Cricket clips, consistent then stop</t>
  </si>
  <si>
    <t xml:space="preserve">New cricket batch, "Eventful First Over" spikes (730 views in a day)</t>
  </si>
  <si>
    <t xml:space="preserve">Most consistent stretch — uploads every few days</t>
  </si>
  <si>
    <t xml:space="preserve">"BLIND UMPIRE" 914 views on day 1</t>
  </si>
  <si>
    <t xml:space="preserve">Profanity-titled / filler Shorts; uploads stop → views fade</t>
  </si>
  <si>
    <t xml:space="preserve">TOP 5 VIDEOS — how their views arrived over time (weekly)</t>
  </si>
  <si>
    <t xml:space="preserve">Source: Chart_data.csv (YouTube exports daily views only for your top 5). Shows WHEN each hit was pushed — often months after upload.</t>
  </si>
  <si>
    <t xml:space="preserve">Week starting</t>
  </si>
  <si>
    <t xml:space="preserve">What this shows</t>
  </si>
  <si>
    <t xml:space="preserve">• "Umpire Caught Cheating In Cricket 07" was uploaded 18 Nov 2023 but got ~89% of its 8,609 views between mid-Jan and early-Apr 2024. The Shorts feed re-tested it weeks later and it took off.</t>
  </si>
  <si>
    <t xml:space="preserve">• Every other top video peaked within 1–3 days of upload and then flat-lined. That is normal Shorts behaviour: one push, then done, unless the clip gets re-tested.</t>
  </si>
  <si>
    <t xml:space="preserve">• Lesson: Shorts can go viral late. Don't delete "flops" early, and keep uploading so a viral moment has more videos for new viewers to binge.</t>
  </si>
  <si>
    <t xml:space="preserve">BREAKDOWNS — what kind of content actually worked</t>
  </si>
  <si>
    <t xml:space="preserve">All numbers are live formulas over the All Videos sheet. Green = best in table, red = worst.</t>
  </si>
  <si>
    <t xml:space="preserve">1) BY GAME</t>
  </si>
  <si>
    <t xml:space="preserve">Group</t>
  </si>
  <si>
    <t xml:space="preserve"># videos</t>
  </si>
  <si>
    <t xml:space="preserve">Share of views</t>
  </si>
  <si>
    <t xml:space="preserve">Avg views / video</t>
  </si>
  <si>
    <t xml:space="preserve">Weighted thumbnail CTR</t>
  </si>
  <si>
    <t xml:space="preserve">Verdict</t>
  </si>
  <si>
    <t xml:space="preserve">WINNER — 4 in 5 of your views. This is your niche.</t>
  </si>
  <si>
    <t xml:space="preserve">Few uploads but one 1,600-view Short. A clip-friendly game, but off-niche.</t>
  </si>
  <si>
    <t xml:space="preserve">14 uploads, low ceiling (≈140 views each). Drop it.</t>
  </si>
  <si>
    <t xml:space="preserve">Weakest. Generic gameplay with no hook.</t>
  </si>
  <si>
    <t xml:space="preserve">One stream, no views.</t>
  </si>
  <si>
    <t xml:space="preserve">2) BY CONTENT ANGLE</t>
  </si>
  <si>
    <t xml:space="preserve">YOUR SIGNATURE: about 4x the views per video of other cricket clips. Controversy + "was it out?" invites debate.</t>
  </si>
  <si>
    <t xml:space="preserve">Decent when there is a story (collapse, hat-trick); weak as plain gameplay.</t>
  </si>
  <si>
    <t xml:space="preserve">Spread too thin across games; no identity.</t>
  </si>
  <si>
    <t xml:space="preserve">3) BY FORMAT</t>
  </si>
  <si>
    <t xml:space="preserve">Shorts brought nearly all your reach.</t>
  </si>
  <si>
    <t xml:space="preserve">Best thumbnail CTR on the channel, but viewers leave fast (4–18% watched).</t>
  </si>
  <si>
    <t xml:space="preserve">Untested.</t>
  </si>
  <si>
    <t xml:space="preserve">4) BY LENGTH</t>
  </si>
  <si>
    <t xml:space="preserve">0–10 sec</t>
  </si>
  <si>
    <t xml:space="preserve">Ultra-short clips loop; the biggest hits are here. But each view is worth ~2 sec of watch time and almost no subs.</t>
  </si>
  <si>
    <t xml:space="preserve">11–60 sec</t>
  </si>
  <si>
    <t xml:space="preserve">The sweet spot for adding a hook, context and a call-to-action.</t>
  </si>
  <si>
    <t xml:space="preserve">61–180 sec</t>
  </si>
  <si>
    <t xml:space="preserve">Fine for over/match recaps with a story.</t>
  </si>
  <si>
    <t xml:space="preserve">3 min +</t>
  </si>
  <si>
    <t xml:space="preserve">Needs much stronger editing and structure to hold people.</t>
  </si>
  <si>
    <t xml:space="preserve">5) BY TITLE STYLE</t>
  </si>
  <si>
    <t xml:space="preserve">Clean title</t>
  </si>
  <si>
    <t xml:space="preserve">Clean, human titles got the most views per video.</t>
  </si>
  <si>
    <t xml:space="preserve">Light hashtags</t>
  </si>
  <si>
    <t xml:space="preserve">OK when 1–3 relevant tags.</t>
  </si>
  <si>
    <t xml:space="preserve">Hashtag-stuffed</t>
  </si>
  <si>
    <t xml:space="preserve">4+ tags (often irrelevant: #minecraft #nfl #valve on cricket) ≈ 125 views per video vs ~555 for clean titles.</t>
  </si>
  <si>
    <t xml:space="preserve">6) BY UPLOAD YEAR</t>
  </si>
  <si>
    <t xml:space="preserve">Multi-game experimenting.</t>
  </si>
  <si>
    <t xml:space="preserve">Most uploads; one 8.6k-view outlier.</t>
  </si>
  <si>
    <t xml:space="preserve">Only 7 uploads — momentum lost right after the viral wave.</t>
  </si>
  <si>
    <t xml:space="preserve">Comeback with the umpire format.</t>
  </si>
  <si>
    <t xml:space="preserve">Consistent in May–June, then stopped.</t>
  </si>
  <si>
    <t xml:space="preserve">Weighted thumbnail CTR = clicks ÷ impressions for the whole group, so videos with more impressions count more. For Shorts it is not meaningful (see All Videos notes).</t>
  </si>
  <si>
    <t xml:space="preserve">DEEP ANALYSIS — what your data is really saying</t>
  </si>
  <si>
    <t xml:space="preserve">Each finding: the evidence from YOUR numbers → why it matters → what to change on the new channel.</t>
  </si>
  <si>
    <t xml:space="preserve">Type</t>
  </si>
  <si>
    <t xml:space="preserve">Finding</t>
  </si>
  <si>
    <t xml:space="preserve">Evidence (your data)</t>
  </si>
  <si>
    <t xml:space="preserve">Why it matters</t>
  </si>
  <si>
    <t xml:space="preserve">What to do on the new channel</t>
  </si>
  <si>
    <t xml:space="preserve">You already found a winning angle: the umpire / "Out or Not Out?" debate</t>
  </si>
  <si>
    <t xml:space="preserve">26 umpire/decision clips = 17,191 views (~66% of all per-video views), avg ~660 views each vs ~160 for other cricket clips. 4 of your top 5 videos are this angle.</t>
  </si>
  <si>
    <t xml:space="preserve">A debatable moment makes people re-watch, judge and argue. That is exactly what the Shorts feed rewards: re-watches and engagement.</t>
  </si>
  <si>
    <t xml:space="preserve">Make it an official, named SERIES (e.g. "OUT or NOT OUT? #12"). Same opening frame, same verdict sticker, ask viewers to vote in comments every time.</t>
  </si>
  <si>
    <t xml:space="preserve">Ultra-short clips get near-100% completion and loops</t>
  </si>
  <si>
    <t xml:space="preserve">"Umpire Caught Cheating" (3 sec): ~99% avg viewed, 8,609 views. 0–10 sec clips are your highest views-per-video bucket.</t>
  </si>
  <si>
    <t xml:space="preserve">Completion and re-watch rate are the strongest Shorts signals, so tiny loops get distributed.</t>
  </si>
  <si>
    <t xml:space="preserve">Keep the loop-able payoff, but wrap it in 12–25 sec: 1-sec hook text → replay → slow-mo → your verdict. More context = more watch time + more reason to subscribe.</t>
  </si>
  <si>
    <t xml:space="preserve">Reach does not turn into fans</t>
  </si>
  <si>
    <t xml:space="preserve">51 subs from 29,044 views (≈1.8 per 1,000 views). Avg ≈10 sec watched per view. Most top clips gained 0–1 subs.</t>
  </si>
  <si>
    <t xml:space="preserve">Shorts viewers subscribe to a PERSON or SERIES, not a random clip. Without a voice, face, channel identity or call-to-action there is nothing to follow.</t>
  </si>
  <si>
    <t xml:space="preserve">Add your voice (live commentary or a 2-word reaction), consistent branding, a pinned comment, and link every Short to a related long video (Related Video feature).</t>
  </si>
  <si>
    <t xml:space="preserve">Inconsistent uploading = views drop to zero</t>
  </si>
  <si>
    <t xml:space="preserve">Views jump in upload months then crash: Nov 2025 4,781 → Dec 201 → Jan 14. 2025 Jan–Oct: under 15 views/month with no uploads.</t>
  </si>
  <si>
    <t xml:space="preserve">The algorithm tests each new video. Stop uploading and you stop getting tests. After a viral spike, new viewers found almost nothing new to watch.</t>
  </si>
  <si>
    <t xml:space="preserve">Batch-record and schedule. Minimum 3 Shorts + 1 long video per week for 90 days. Keep a backlog of 10 clips so a viral moment is never wasted.</t>
  </si>
  <si>
    <t xml:space="preserve">Titles were hurting discovery</t>
  </si>
  <si>
    <t xml:space="preserve">Clean titles: 32 videos, avg ~555 views. Hashtag-stuffed titles (4+ tags): 32 videos, avg ~125, less than a quarter. Many tags were irrelevant (#minecraft, #nfl, #valve, #mcoc on cricket clips).</t>
  </si>
  <si>
    <t xml:space="preserve">Irrelevant tags confuse who YouTube shows the video to, and clutter the title people read. Unrelated tags can also count as misleading metadata.</t>
  </si>
  <si>
    <t xml:space="preserve">Title = one punchy human sentence + max 1–2 RELEVANT tags (#cricket, #shorts). Put extra keywords in the description.</t>
  </si>
  <si>
    <t xml:space="preserve">Long-form loses viewers fast</t>
  </si>
  <si>
    <t xml:space="preserve">5 long videos: estimated avg viewed 4–18% (27-min Smash Hit video: 145 views, ~70 sec watched).</t>
  </si>
  <si>
    <t xml:space="preserve">Low retention tells YouTube not to recommend the video further. Raw unedited gameplay rarely holds strangers.</t>
  </si>
  <si>
    <t xml:space="preserve">Long-form must have a STORY: challenge, career mode arc, "I simulated…", top-10 compilations. Cut dead time hard; target 8–12 min, 35%+ avg viewed.</t>
  </si>
  <si>
    <t xml:space="preserve">Your packaging can earn clicks</t>
  </si>
  <si>
    <t xml:space="preserve">Long-form CTR: 15.6%, 7.9%, 7.4% on small impression counts; the Shorts winner "Umpire Caught Cheating" had 8.3%. Reported gaming organic average ≈ 8.5%.</t>
  </si>
  <si>
    <t xml:space="preserve">CTR is half the battle. You know how to make people curious ("Skill or Luck?", "THE TENTH WORLD WAR!").</t>
  </si>
  <si>
    <t xml:space="preserve">Keep curiosity titles. Add readable thumbnails: 1 big face/emotion or the key frame + 3 words max.</t>
  </si>
  <si>
    <t xml:space="preserve">RISK</t>
  </si>
  <si>
    <t xml:space="preserve">Profanity and "for views" titles</t>
  </si>
  <si>
    <t xml:space="preserve">"Plum LBW As F***ing Hell #2" 18 views, "Did it for views MOFOS" ~0, "I just want your attention MOFOS" 2 views.</t>
  </si>
  <si>
    <t xml:space="preserve">Profanity in titles/first seconds limits ads and can shrink the audience YouTube will test you with. "For views" titles signal low effort.</t>
  </si>
  <si>
    <t xml:space="preserve">Keep the attitude, drop the swearing in titles and thumbnails. Edgy-but-clean ("Umpire needs glasses 👓") travels further.</t>
  </si>
  <si>
    <t xml:space="preserve">Too many games, no identity (2022–23)</t>
  </si>
  <si>
    <t xml:space="preserve">Smash Hit (14 uploads, avg ≈140 views), MCOC (3, ≈137), CS:CZ (4, ≈670 but driven by one clip) vs Cricket 07 (50 uploads, 81% of views).</t>
  </si>
  <si>
    <t xml:space="preserve">YouTube needs to know who to show you to. Jumping between games resets your audience every time.</t>
  </si>
  <si>
    <t xml:space="preserve">Pick ONE pillar (cricket gaming) for the first 90 days. Other games only as a clearly separate playlist, if at all.</t>
  </si>
  <si>
    <t xml:space="preserve">Viral hits can come late and be re-tested</t>
  </si>
  <si>
    <t xml:space="preserve">"Umpire Caught Cheating": uploaded 18 Nov 2023, ~89% of its views came 2–5 months later.</t>
  </si>
  <si>
    <t xml:space="preserve">Shorts get re-tested with new audiences. A good clip is an asset, not a one-day lottery ticket.</t>
  </si>
  <si>
    <t xml:space="preserve">Never delete under-performers early. Re-cut winners into new versions (different hook text, different length) after 30–60 days.</t>
  </si>
  <si>
    <t xml:space="preserve">Ride the cricket calendar</t>
  </si>
  <si>
    <t xml:space="preserve">Your May–Jun 2026 run was your most consistent and overlapped the IPL season; "Eventful First Over #ipl" got 730 views in a day.</t>
  </si>
  <si>
    <t xml:space="preserve">Search and feed interest in cricket spikes around the IPL, World Cups and big India series.</t>
  </si>
  <si>
    <t xml:space="preserve">Plan content around fixtures: recreate real controversial decisions in-game within 24 hrs ("We replayed last night's LBW in Cricket 07").</t>
  </si>
  <si>
    <t xml:space="preserve">Data you never tracked: comments, likes, shares, swipe rate</t>
  </si>
  <si>
    <t xml:space="preserve">The export has no likes, comments, shares, traffic sources or "viewed vs swiped away".</t>
  </si>
  <si>
    <t xml:space="preserve">Comments are the strongest sign of a community and they help you get recommended. You can't improve what you don't measure.</t>
  </si>
  <si>
    <t xml:space="preserve">See the Glossary &amp; Missing Data tab for how to export these from Studio. Track them weekly on the new channel.</t>
  </si>
  <si>
    <t xml:space="preserve">MARKET RESEARCH — content creation, gaming &amp; AI in 2026</t>
  </si>
  <si>
    <t xml:space="preserve">Research done Oct 2026. Many YouTube "benchmarks" come from tool vendors — treat numbers as directional, and trust your own analytics most.</t>
  </si>
  <si>
    <t xml:space="preserve">Area</t>
  </si>
  <si>
    <t xml:space="preserve">What the research says</t>
  </si>
  <si>
    <t xml:space="preserve">What it means for you</t>
  </si>
  <si>
    <t xml:space="preserve">Source</t>
  </si>
  <si>
    <t xml:space="preserve">Shorts algorithm</t>
  </si>
  <si>
    <t xml:space="preserve">Swipe-away rate in the first ~2 seconds and completion / re-watch are consistently reported as the main signals. Videos are tested on a small audience first, then expanded in waves.</t>
  </si>
  <si>
    <t xml:space="preserve">Your first frame must already show the controversial moment or a question on screen. No logos, no slow intro.</t>
  </si>
  <si>
    <t xml:space="preserve">https://vidiq.com/blog/post/youtube-shorts-algorithm/</t>
  </si>
  <si>
    <t xml:space="preserve">Shorts views vs engaged views</t>
  </si>
  <si>
    <t xml:space="preserve">Since 31 Mar 2025 a Shorts "view" counts on any start/replay; "Engaged views" (the older stricter metric) are what count toward monetization.</t>
  </si>
  <si>
    <t xml:space="preserve">Raw view counts look bigger now. Judge success by engaged views, subs and comments.</t>
  </si>
  <si>
    <t xml:space="preserve">CTR benchmarks</t>
  </si>
  <si>
    <t xml:space="preserve">Reported organic CTR: ~4–6% across niches; gaming ≈ 8.5% (highest niche); browse traffic often 2–5%, search higher. Single-vendor data.</t>
  </si>
  <si>
    <t xml:space="preserve">Your channel CTR of 5.44% sits below the reported gaming average. Thumbnails are a clear upgrade area for long-form.</t>
  </si>
  <si>
    <t xml:space="preserve">https://focus-digital.co/average-youtube-ctr-organic-paid-benchmarks-2026/</t>
  </si>
  <si>
    <t xml:space="preserve">Shorts → subscribers</t>
  </si>
  <si>
    <t xml:space="preserve">Shorts and long-form run on largely separate recommendation systems. Conversion needs to be built on purpose: Related Video links, pinned comments, open-loop endings, aligned topics.</t>
  </si>
  <si>
    <t xml:space="preserve">Every Short should point to a long video on the same topic ("full over / full match on the channel").</t>
  </si>
  <si>
    <t xml:space="preserve">https://subscribr.ai/youtube-strategy/convert-shorts-viewers-to-subscribers</t>
  </si>
  <si>
    <t xml:space="preserve">Shorts vs long-form money</t>
  </si>
  <si>
    <t xml:space="preserve">Vendors report long-form RPM far higher than Shorts (e.g. $3–8 vs $0.03–0.08 per 1,000 views). Shorts = discovery, long-form = income + loyalty.</t>
  </si>
  <si>
    <t xml:space="preserve">Use Shorts to find people, long-form to keep them and get paid.</t>
  </si>
  <si>
    <t xml:space="preserve">https://blog.eklipse.gg/basic-knowledge/youtube-shorts-vs-long-form-gaming-which-grows-faster.html</t>
  </si>
  <si>
    <t xml:space="preserve">Gaming Shorts craft</t>
  </si>
  <si>
    <t xml:space="preserve">Funny / unexpected moments often beat pure skill clips because people watch to the end. Captions matter (lots of sound-off viewing). 20–55 sec commonly recommended.</t>
  </si>
  <si>
    <t xml:space="preserve">Your "umpire fail" humour is the right instinct. Add burned-in captions and a verdict.</t>
  </si>
  <si>
    <t xml:space="preserve">https://blog.eklipse.gg/beginner-guide-2/youtube-shorts-strategy-gamers.html</t>
  </si>
  <si>
    <t xml:space="preserve">Hashtags</t>
  </si>
  <si>
    <t xml:space="preserve">Hard cap: over 60 hashtags and YouTube ignores them all. Best practice: #Shorts + 2–3 relevant topic tags. Relevance beats volume.</t>
  </si>
  <si>
    <t xml:space="preserve">Your old titles had up to 12 tags, many off-topic. Use 1–3 relevant ones.</t>
  </si>
  <si>
    <t xml:space="preserve">https://www.opus.pro/blog/maximize-your-views-choosing-the-right-hashtags-for-youtube-shorts</t>
  </si>
  <si>
    <t xml:space="preserve">Monetization (YPP) 2026</t>
  </si>
  <si>
    <t xml:space="preserve">500-sub tier (fan funding/shopping): 3k watch hrs or 3M Shorts views in 90 days. Full ads: 1,000 subs + 4k watch hrs (12 mo) or 10M Shorts views (90 days). Reported: from 1 Feb 2027 new creators may need 8k watch hrs or 20M Shorts views.</t>
  </si>
  <si>
    <t xml:space="preserve">The Shorts-only route is getting harder. Plan long-form from day one. Watch hours are the more realistic path.</t>
  </si>
  <si>
    <t xml:space="preserve">https://air.io/en/monetization/youtube-partner-program-requirements-2026-the-complete-guide</t>
  </si>
  <si>
    <t xml:space="preserve">AI content policy</t>
  </si>
  <si>
    <t xml:space="preserve">July 2026 clarification targets mass-produced, templated, repetitive AI output ("inauthentic content"). No blanket ban on AI tools or faceless channels. Enforcement is channel-wide, based on patterns.</t>
  </si>
  <si>
    <t xml:space="preserve">Use AI to SPEED UP your work, not replace your voice. 50 near-identical clip uploads with no commentary is the pattern that gets demonetized.</t>
  </si>
  <si>
    <t xml:space="preserve">https://logie.ai/news/youtube-ai-slop-crackdown-2026-monetization/</t>
  </si>
  <si>
    <t xml:space="preserve">AI tools for creators</t>
  </si>
  <si>
    <t xml:space="preserve">YouTube brought Veo 3 to Shorts plus "Edit with AI" and auto-highlights from lives (Sep 2025). Common third-party stack: OpusClip (clipping), CapCut (captions), Descript (editing), Canva (thumbnails), ChatGPT/Claude (ideas, titles).</t>
  </si>
  <si>
    <t xml:space="preserve">Stream → auto-clip → you pick and add commentary. Use AI for captions, title variations and thumbnail drafts.</t>
  </si>
  <si>
    <t xml:space="preserve">https://www.websitebuilderexpert.com/news/youtube-shorts-ai-tools/</t>
  </si>
  <si>
    <t xml:space="preserve">Cricket audience size</t>
  </si>
  <si>
    <t xml:space="preserve">Ormax H1 2026: T20 World Cup ≈ 246M and IPL 2026 ≈ 228.4M streaming viewers, the two biggest properties in India.</t>
  </si>
  <si>
    <t xml:space="preserve">Huge, passionate audience that loves debating umpire decisions. Your niche sits right next to it.</t>
  </si>
  <si>
    <t xml:space="preserve">https://varietyindia.com/cricket-rules-indias-streaming-viewership-in-new-ormax-streamview-report/</t>
  </si>
  <si>
    <t xml:space="preserve">Cricket gaming momentum</t>
  </si>
  <si>
    <t xml:space="preserve">Real Cricket (now published by Krafton): ~70M downloads, record 3.5M downloads in Apr 2026; #2 mobile sports game by downloads in 2026.</t>
  </si>
  <si>
    <t xml:space="preserve">Add a CURRENT game (Real Cricket / latest console cricket title) next to Cricket 07 nostalgia to catch search demand from new players.</t>
  </si>
  <si>
    <t xml:space="preserve">https://view.asiae.co.kr/en/article/2026060111040820860</t>
  </si>
  <si>
    <t xml:space="preserve">Live streaming</t>
  </si>
  <si>
    <t xml:space="preserve">Guides recommend clipping 2–3 best moments from each stream into Shorts. Shorts are reported to boost live viewing hours.</t>
  </si>
  <si>
    <t xml:space="preserve">A weekly "Cricket 07 career / patch" stream gives you watch hours AND a clip supply.</t>
  </si>
  <si>
    <t xml:space="preserve">https://blog.eklipse.gg/beginner-guide-2/how-to-grow-youtube-gaming-channel-from-zero.html</t>
  </si>
  <si>
    <t xml:space="preserve">ACTION PLAN — what to do on the new channel, in order</t>
  </si>
  <si>
    <t xml:space="preserve">P1 = do before / at launch · P2 = first 30–60 days · P3 = once the engine is running. Tick the Status column as you go.</t>
  </si>
  <si>
    <t xml:space="preserve">Priority</t>
  </si>
  <si>
    <t xml:space="preserve">Action</t>
  </si>
  <si>
    <t xml:space="preserve">Exactly how</t>
  </si>
  <si>
    <t xml:space="preserve">Metric to watch</t>
  </si>
  <si>
    <t xml:space="preserve">Target (my recommendation)</t>
  </si>
  <si>
    <t xml:space="preserve">When</t>
  </si>
  <si>
    <t xml:space="preserve">Status</t>
  </si>
  <si>
    <t xml:space="preserve">P1 — DO FIRST</t>
  </si>
  <si>
    <t xml:space="preserve">Pick ONE niche &amp; name the channel around it</t>
  </si>
  <si>
    <t xml:space="preserve">Cricket-gaming drama &amp; funny moments. Name/banner/avatar should say "cricket gaming" in 1 second.</t>
  </si>
  <si>
    <t xml:space="preserve">% of uploads on-niche</t>
  </si>
  <si>
    <t xml:space="preserve">100% for first 90 days</t>
  </si>
  <si>
    <t xml:space="preserve">Before launch</t>
  </si>
  <si>
    <t xml:space="preserve">☐</t>
  </si>
  <si>
    <t xml:space="preserve">Turn your best format into a named series</t>
  </si>
  <si>
    <t xml:space="preserve">"OUT or NOT OUT? #1, #2…" + "Umpire Fails" + "1-Over Collapses". Same intro frame, same font, same verdict sticker.</t>
  </si>
  <si>
    <t xml:space="preserve">Avg views / Short</t>
  </si>
  <si>
    <t xml:space="preserve">Beat old median (129) by week 4; 500+ by month 3</t>
  </si>
  <si>
    <t xml:space="preserve">Week 1</t>
  </si>
  <si>
    <t xml:space="preserve">Fix titles</t>
  </si>
  <si>
    <t xml:space="preserve">1 clear human sentence + max 2 relevant tags. No profanity, no off-topic tags (#minecraft, #nfl).</t>
  </si>
  <si>
    <t xml:space="preserve">Shorts "viewed" %</t>
  </si>
  <si>
    <t xml:space="preserve">70%+ viewed (vs swiped)</t>
  </si>
  <si>
    <t xml:space="preserve">Every upload</t>
  </si>
  <si>
    <t xml:space="preserve">Hook in the first second</t>
  </si>
  <si>
    <t xml:space="preserve">Open on the moment itself + on-screen text question ("Was this OUT? 🤔"). No logo, no build-up.</t>
  </si>
  <si>
    <t xml:space="preserve">Shorts "viewed vs swiped away"</t>
  </si>
  <si>
    <t xml:space="preserve">70%+ viewed</t>
  </si>
  <si>
    <t xml:space="preserve">Add YOUR voice</t>
  </si>
  <si>
    <t xml:space="preserve">Quick voice reaction or text commentary + burned-in captions. Gives people a reason to follow you, and protects you from "repetitive content" rules.</t>
  </si>
  <si>
    <t xml:space="preserve">5+ (old: 1.8)</t>
  </si>
  <si>
    <t xml:space="preserve">Lock a schedule you can keep</t>
  </si>
  <si>
    <t xml:space="preserve">Batch-record on weekends. 3 Shorts + 1 long-form per week. Keep a 10-clip backlog. Schedule uploads in Studio.</t>
  </si>
  <si>
    <t xml:space="preserve">Uploads / week</t>
  </si>
  <si>
    <t xml:space="preserve">4 per week, no gaps &gt; 7 days</t>
  </si>
  <si>
    <t xml:space="preserve">Weeks 1–12</t>
  </si>
  <si>
    <t xml:space="preserve">P2 — NEXT</t>
  </si>
  <si>
    <t xml:space="preserve">Launch a long-form pillar</t>
  </si>
  <si>
    <t xml:space="preserve">Pick 1: "Top 10 worst umpire decisions in Cricket 07", career-mode story series, patch reviews, or recreating real IPL controversies in-game. 8–12 min, tight edit.</t>
  </si>
  <si>
    <t xml:space="preserve">Avg % viewed (long)</t>
  </si>
  <si>
    <t xml:space="preserve">35%+ (old: 4–18%)</t>
  </si>
  <si>
    <t xml:space="preserve">Weeks 2–4</t>
  </si>
  <si>
    <t xml:space="preserve">Connect Shorts to long-form</t>
  </si>
  <si>
    <t xml:space="preserve">Use "Related video" on every Short, pinned comment linking the long video, end screens + playlists on long-form.</t>
  </si>
  <si>
    <t xml:space="preserve">Returning viewers; long-form views from Shorts</t>
  </si>
  <si>
    <t xml:space="preserve">Rising week on week</t>
  </si>
  <si>
    <t xml:space="preserve">Real thumbnails for long-form</t>
  </si>
  <si>
    <t xml:space="preserve">Key frame + big expression/emoji + max 3 words. Make 2 versions and use YouTube's Test &amp; Compare.</t>
  </si>
  <si>
    <t xml:space="preserve">Long-form CTR</t>
  </si>
  <si>
    <t xml:space="preserve">6–10% (gaming avg ≈ 8.5%)</t>
  </si>
  <si>
    <t xml:space="preserve">Each long video</t>
  </si>
  <si>
    <t xml:space="preserve">Build comments into every video</t>
  </si>
  <si>
    <t xml:space="preserve">End with a vote: "Comment OUT or NOT OUT". Reply to every comment in the first hour. Pin the funniest.</t>
  </si>
  <si>
    <t xml:space="preserve">Comments per 1k views</t>
  </si>
  <si>
    <t xml:space="preserve">Track weekly; aim up</t>
  </si>
  <si>
    <t xml:space="preserve">Follow the cricket calendar</t>
  </si>
  <si>
    <t xml:space="preserve">Keep a fixture calendar (IPL, World Cups, India series). Recreate a viral real-life decision in-game within 24 hrs.</t>
  </si>
  <si>
    <t xml:space="preserve">Views on topical uploads vs normal</t>
  </si>
  <si>
    <t xml:space="preserve">2x normal</t>
  </si>
  <si>
    <t xml:space="preserve">Ongoing</t>
  </si>
  <si>
    <t xml:space="preserve">Add a current game</t>
  </si>
  <si>
    <t xml:space="preserve">Mix Cricket 07 nostalgia with Real Cricket / the latest console cricket game to catch new-player search traffic.</t>
  </si>
  <si>
    <t xml:space="preserve">Search traffic %</t>
  </si>
  <si>
    <t xml:space="preserve">Rising</t>
  </si>
  <si>
    <t xml:space="preserve">Month 2</t>
  </si>
  <si>
    <t xml:space="preserve">P3 — LATER</t>
  </si>
  <si>
    <t xml:space="preserve">Weekly live stream</t>
  </si>
  <si>
    <t xml:space="preserve">1 stream/week (career mode, viewer challenges). Clip 2–3 best moments into Shorts with OpusClip or YouTube auto-highlights.</t>
  </si>
  <si>
    <t xml:space="preserve">Watch hours</t>
  </si>
  <si>
    <t xml:space="preserve">Toward 4,000 hrs (YPP)</t>
  </si>
  <si>
    <t xml:space="preserve">Month 2–3</t>
  </si>
  <si>
    <t xml:space="preserve">AI-assisted workflow</t>
  </si>
  <si>
    <t xml:space="preserve">AI for: clip-finding, captions, 10 title variations, thumbnail drafts, script outlines. YOU do: picking moments, voice, opinions.</t>
  </si>
  <si>
    <t xml:space="preserve">Hours per video</t>
  </si>
  <si>
    <t xml:space="preserve">Down 30–50%</t>
  </si>
  <si>
    <t xml:space="preserve">Re-cut winners</t>
  </si>
  <si>
    <t xml:space="preserve">Any Short over 2x your average → make 2 new versions (new hook, new length) after 30–60 days.</t>
  </si>
  <si>
    <t xml:space="preserve">Views on re-cuts</t>
  </si>
  <si>
    <t xml:space="preserve">≥ original</t>
  </si>
  <si>
    <t xml:space="preserve">Monthly</t>
  </si>
  <si>
    <t xml:space="preserve">Weekly 15-min analytics review</t>
  </si>
  <si>
    <t xml:space="preserve">Fill the KPI scorecard below every Sunday. Double down on what beats the average, drop what doesn't.</t>
  </si>
  <si>
    <t xml:space="preserve">All KPIs</t>
  </si>
  <si>
    <t xml:space="preserve">—</t>
  </si>
  <si>
    <t xml:space="preserve">Weekly</t>
  </si>
  <si>
    <t xml:space="preserve">KPI SCORECARD — old channel vs targets for the new one (fill the yellow column weekly)</t>
  </si>
  <si>
    <t xml:space="preserve">KPI</t>
  </si>
  <si>
    <t xml:space="preserve">Old channel</t>
  </si>
  <si>
    <t xml:space="preserve">Target</t>
  </si>
  <si>
    <t xml:space="preserve">New channel (you fill)</t>
  </si>
  <si>
    <t xml:space="preserve">How to find it in Studio</t>
  </si>
  <si>
    <t xml:space="preserve">Analytics → Audience</t>
  </si>
  <si>
    <t xml:space="preserve">Thumbnail CTR (long-form)</t>
  </si>
  <si>
    <t xml:space="preserve">Analytics → Reach</t>
  </si>
  <si>
    <t xml:space="preserve">Avg % viewed (long-form)</t>
  </si>
  <si>
    <t xml:space="preserve">Analytics → Engagement</t>
  </si>
  <si>
    <t xml:space="preserve">Shorts "viewed" (vs swiped)</t>
  </si>
  <si>
    <t xml:space="preserve">not exported</t>
  </si>
  <si>
    <t xml:space="preserve">Content → Shorts → Viewed vs swiped away</t>
  </si>
  <si>
    <t xml:space="preserve">Content tab</t>
  </si>
  <si>
    <t xml:space="preserve">Uploads per week</t>
  </si>
  <si>
    <t xml:space="preserve">Comments per 1,000 views</t>
  </si>
  <si>
    <t xml:space="preserve">set after month 1</t>
  </si>
  <si>
    <t xml:space="preserve">Advanced mode → Comments added</t>
  </si>
  <si>
    <t xml:space="preserve">Targets are my recommendations, based on your old numbers and the 2026 research. Adjust them after your first 30 days.</t>
  </si>
  <si>
    <t xml:space="preserve">CONTENT PLAYBOOK — templates you can copy</t>
  </si>
  <si>
    <t xml:space="preserve">Concrete rewrites of YOUR old titles, hook formulas, series ideas and an upload checklist.</t>
  </si>
  <si>
    <t xml:space="preserve">Category</t>
  </si>
  <si>
    <t xml:space="preserve">Old / problem</t>
  </si>
  <si>
    <t xml:space="preserve">Better version</t>
  </si>
  <si>
    <t xml:space="preserve">Why it works</t>
  </si>
  <si>
    <t xml:space="preserve">Title rewrite</t>
  </si>
  <si>
    <t xml:space="preserve">I Recreated India vs NZ World Cup Semi in Cricket 07… It Got Ugly</t>
  </si>
  <si>
    <t xml:space="preserve">Story + stakes + topical. Tags go in the description.</t>
  </si>
  <si>
    <t xml:space="preserve">(drop the game) → OUT or NOT OUT? #14 — The Umpire Saw Something Nobody Else Did</t>
  </si>
  <si>
    <t xml:space="preserve">Series name + curiosity. On-niche.</t>
  </si>
  <si>
    <t xml:space="preserve">Plumb LBW… Given NOT OUT 😤 (OUT or NOT OUT? #3)</t>
  </si>
  <si>
    <t xml:space="preserve">Same attitude, advertiser-safe, also fixes "plum" → "plumb" (the real cricket term people search).</t>
  </si>
  <si>
    <t xml:space="preserve">Is This the Worst Shot in Cricket 07 History? 😂</t>
  </si>
  <si>
    <t xml:space="preserve">Gives viewers a reason to watch instead of telling them you want views.</t>
  </si>
  <si>
    <t xml:space="preserve">Was This OUT? 99% Get It Wrong 🤔 #cricket</t>
  </si>
  <si>
    <t xml:space="preserve">Challenge invites comments; 1 relevant tag.</t>
  </si>
  <si>
    <t xml:space="preserve">Hook formula</t>
  </si>
  <si>
    <t xml:space="preserve">Starting with gameplay before the moment</t>
  </si>
  <si>
    <t xml:space="preserve">Second 0: freeze-frame of the appeal + text "OUT or NOT OUT?" → 0:01 replay → slow-mo → verdict → "Comment your call"</t>
  </si>
  <si>
    <t xml:space="preserve">Stops the swipe, creates a debate, ends on a call-to-action.</t>
  </si>
  <si>
    <t xml:space="preserve">No context on why the clip matters</t>
  </si>
  <si>
    <t xml:space="preserve">"The umpire gave THIS not out…" / "Watch the keeper's face 👀" / "This is why EA umpires need glasses"</t>
  </si>
  <si>
    <t xml:space="preserve">Tells the viewer what to look for, so they watch to the end and often again.</t>
  </si>
  <si>
    <t xml:space="preserve">Series idea</t>
  </si>
  <si>
    <t xml:space="preserve">OUT or NOT OUT? (weekly numbered Short)</t>
  </si>
  <si>
    <t xml:space="preserve">Recurring format = people come back for the next episode; easy to binge.</t>
  </si>
  <si>
    <t xml:space="preserve">"Real vs Game": recreate last night's controversial IPL / international decision in Cricket 07</t>
  </si>
  <si>
    <t xml:space="preserve">Rides huge real-world interest within 24 hrs.</t>
  </si>
  <si>
    <t xml:space="preserve">Long-form: "Top 10 Worst Umpire Decisions in Cricket 07" (monthly compilation)</t>
  </si>
  <si>
    <t xml:space="preserve">Re-uses your Shorts footage into watch hours; perfect "Related video" for Shorts.</t>
  </si>
  <si>
    <t xml:space="preserve">Long-form: "Cricket 07 Career Mode — Rags to Riches" story series</t>
  </si>
  <si>
    <t xml:space="preserve">Story arc keeps retention up; episodic = returning viewers.</t>
  </si>
  <si>
    <t xml:space="preserve">Long-form/live: "Best Cricket 07 Patches in 2026 (Tested)" + modding how-tos</t>
  </si>
  <si>
    <t xml:space="preserve">Search-driven evergreen; your 2011 WC patch Shorts already showed interest.</t>
  </si>
  <si>
    <t xml:space="preserve">Mobile: Real Cricket funny moments / umpire fails</t>
  </si>
  <si>
    <t xml:space="preserve">Current game, fast-growing player base (record downloads in 2026).</t>
  </si>
  <si>
    <t xml:space="preserve">Upload checklist</t>
  </si>
  <si>
    <t xml:space="preserve">☐ Moment in first second ☐ On-screen question ☐ Captions burned in ☐ Your voice/reaction ☐ Clean title + ≤2 tags ☐ Related video linked ☐ Pinned comment with a vote ☐ Scheduled at your usual time</t>
  </si>
  <si>
    <t xml:space="preserve">Same steps every time = consistent quality, faster uploads.</t>
  </si>
  <si>
    <t xml:space="preserve">AI workflow</t>
  </si>
  <si>
    <t xml:space="preserve">Hours of manual clipping</t>
  </si>
  <si>
    <t xml:space="preserve">Record/stream → OpusClip or YouTube auto-highlights suggest clips → you choose the 3 best → CapCut auto-captions → AI gives 10 title options, you pick/edit 1 → Canva thumbnail</t>
  </si>
  <si>
    <t xml:space="preserve">AI handles the busywork; your taste and voice stay in charge (and stay within YouTube's inauthentic-content rules).</t>
  </si>
  <si>
    <t xml:space="preserve">GLOSSARY &amp; MISSING DATA</t>
  </si>
  <si>
    <t xml:space="preserve">What every metric means, plus the stats your export did NOT include and exactly how to get them.</t>
  </si>
  <si>
    <t xml:space="preserve">Metric</t>
  </si>
  <si>
    <t xml:space="preserve">What it means</t>
  </si>
  <si>
    <t xml:space="preserve">Good sign</t>
  </si>
  <si>
    <t xml:space="preserve">In your export?</t>
  </si>
  <si>
    <t xml:space="preserve">Times the video was played. Shorts count a view on any start/replay (since Mar 2025).</t>
  </si>
  <si>
    <t xml:space="preserve">Steady growth week over week</t>
  </si>
  <si>
    <t xml:space="preserve">Yes</t>
  </si>
  <si>
    <t xml:space="preserve">Total hours people spent watching. Drives recommendations and YPP (4k hrs).</t>
  </si>
  <si>
    <t xml:space="preserve">Rising with each upload</t>
  </si>
  <si>
    <t xml:space="preserve">Net subs attributed to each video (can be negative).</t>
  </si>
  <si>
    <t xml:space="preserve">5+ per 1,000 views</t>
  </si>
  <si>
    <t xml:space="preserve">Times your thumbnail was shown on YouTube (mostly long-form surfaces).</t>
  </si>
  <si>
    <t xml:space="preserve">Growing = YouTube is testing you more</t>
  </si>
  <si>
    <t xml:space="preserve">% of impressions that became a click. Only meaningful for long-form.</t>
  </si>
  <si>
    <t xml:space="preserve">Gaming avg reported ≈ 8.5%</t>
  </si>
  <si>
    <t xml:space="preserve">Avg view duration / Avg % viewed</t>
  </si>
  <si>
    <t xml:space="preserve">How long / how much of the video people watched. Here estimated from watch time ÷ views.</t>
  </si>
  <si>
    <t xml:space="preserve">Shorts: 80–100%+ · Long: 35%+</t>
  </si>
  <si>
    <t xml:space="preserve">Estimated (calculated)</t>
  </si>
  <si>
    <t xml:space="preserve">Viewed vs swiped away (Shorts)</t>
  </si>
  <si>
    <t xml:space="preserve">% of Shorts-feed viewers who chose to watch instead of swiping. The #1 Shorts health metric.</t>
  </si>
  <si>
    <t xml:space="preserve">NO — Content → Shorts tab</t>
  </si>
  <si>
    <t xml:space="preserve">Likes / comments / shares</t>
  </si>
  <si>
    <t xml:space="preserve">Engagement signals and community size.</t>
  </si>
  <si>
    <t xml:space="preserve">Comments rising per 1k views</t>
  </si>
  <si>
    <t xml:space="preserve">NO — Advanced mode: add metrics</t>
  </si>
  <si>
    <t xml:space="preserve">Traffic sources</t>
  </si>
  <si>
    <t xml:space="preserve">Where views came from: Shorts feed, Browse, Search, Suggested, External.</t>
  </si>
  <si>
    <t xml:space="preserve">Search + Suggested growing for long-form</t>
  </si>
  <si>
    <t xml:space="preserve">NO — Advanced mode → Traffic source</t>
  </si>
  <si>
    <t xml:space="preserve">Audience: geography / age / returning</t>
  </si>
  <si>
    <t xml:space="preserve">Who watches and whether they come back.</t>
  </si>
  <si>
    <t xml:space="preserve">Returning viewers rising</t>
  </si>
  <si>
    <t xml:space="preserve">NO — Analytics → Audience</t>
  </si>
  <si>
    <t xml:space="preserve">HOW TO EXPORT THE MISSING DATA</t>
  </si>
  <si>
    <t xml:space="preserve">YouTube Studio → Analytics → Advanced mode → set period "Lifetime" → click "+" to add Likes, Comments added, Shares, Average view duration, Average percentage viewed, Stayed to watch → Export (↓) as CSV. Repeat with the "Traffic source" and "Geography" tabs. Send those CSVs and I can add a likes/comments section to this workbook.</t>
  </si>
  <si>
    <t xml:space="preserve">WHERE THIS DATA CAME FROM</t>
  </si>
  <si>
    <t xml:space="preserve">Table_data.csv (per-video lifetime totals), Totals.csv (daily channel views), Chart_data.csv (daily views for top 5 videos). All exported from YouTube Studio and uploaded by you. I could not log in to YouTube myself.</t>
  </si>
  <si>
    <t xml:space="preserve">DAILY CHANNEL VIEWS — raw export</t>
  </si>
  <si>
    <t xml:space="preserve">Source: Totals.csv from YouTube Studio. Every day since channel creation. Feeds the Monthly Trend sheet.</t>
  </si>
  <si>
    <t xml:space="preserve">Date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</si>
</sst>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#,##0.0"/>
    <numFmt numFmtId="167" formatCode="0.00%"/>
    <numFmt numFmtId="168" formatCode="0"/>
    <numFmt numFmtId="169" formatCode="0.0"/>
    <numFmt numFmtId="170" formatCode="0%"/>
    <numFmt numFmtId="171" formatCode="General"/>
    <numFmt numFmtId="172" formatCode="dd\-mmm\-yyyy"/>
    <numFmt numFmtId="173" formatCode="0.0%"/>
    <numFmt numFmtId="174" formatCode="mmm\ yyyy"/>
    <numFmt numFmtId="175" formatCode="dd\-mmm\-yy"/>
    <numFmt numFmtId="176" formatCode="yyyy\-mm\-dd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20"/>
      <color rgb="FF0000FF"/>
      <name val="Arial"/>
      <family val="0"/>
      <charset val="1"/>
    </font>
    <font>
      <b val="true"/>
      <sz val="20"/>
      <color rgb="FF9C0006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20"/>
      <color rgb="FF0061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000000"/>
      <name val="Calibri"/>
      <family val="2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DEBF7"/>
        <bgColor rgb="FFF2F2F2"/>
      </patternFill>
    </fill>
    <fill>
      <patternFill patternType="solid">
        <fgColor rgb="FF2E75B6"/>
        <bgColor rgb="FF4A7EBB"/>
      </patternFill>
    </fill>
    <fill>
      <patternFill patternType="solid">
        <fgColor rgb="FFF2F2F2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9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2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1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A6D27F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746D"/>
          <bgColor rgb="FF000000"/>
        </patternFill>
      </fill>
    </dxf>
    <dxf>
      <fill>
        <patternFill patternType="solid">
          <fgColor rgb="FFF97E6F"/>
          <bgColor rgb="FF000000"/>
        </patternFill>
      </fill>
    </dxf>
    <dxf>
      <fill>
        <patternFill patternType="solid">
          <fgColor rgb="FFF97F6F"/>
          <bgColor rgb="FF000000"/>
        </patternFill>
      </fill>
    </dxf>
    <dxf>
      <fill>
        <patternFill patternType="solid">
          <fgColor rgb="FFF9806F"/>
          <bgColor rgb="FF000000"/>
        </patternFill>
      </fill>
    </dxf>
    <dxf>
      <fill>
        <patternFill patternType="solid">
          <fgColor rgb="FFF9816F"/>
          <bgColor rgb="FF000000"/>
        </patternFill>
      </fill>
    </dxf>
    <dxf>
      <fill>
        <patternFill patternType="solid">
          <fgColor rgb="FFF98370"/>
          <bgColor rgb="FF000000"/>
        </patternFill>
      </fill>
    </dxf>
    <dxf>
      <fill>
        <patternFill patternType="solid">
          <fgColor rgb="FFF98470"/>
          <bgColor rgb="FF000000"/>
        </patternFill>
      </fill>
    </dxf>
    <dxf>
      <fill>
        <patternFill patternType="solid">
          <fgColor rgb="FFF98971"/>
          <bgColor rgb="FF000000"/>
        </patternFill>
      </fill>
    </dxf>
    <dxf>
      <fill>
        <patternFill patternType="solid">
          <fgColor rgb="FFFA8E72"/>
          <bgColor rgb="FF000000"/>
        </patternFill>
      </fill>
    </dxf>
    <dxf>
      <fill>
        <patternFill patternType="solid">
          <fgColor rgb="FFFA9272"/>
          <bgColor rgb="FF000000"/>
        </patternFill>
      </fill>
    </dxf>
    <dxf>
      <fill>
        <patternFill patternType="solid">
          <fgColor rgb="FFFA9473"/>
          <bgColor rgb="FF000000"/>
        </patternFill>
      </fill>
    </dxf>
    <dxf>
      <fill>
        <patternFill patternType="solid">
          <fgColor rgb="FFFA9B74"/>
          <bgColor rgb="FF000000"/>
        </patternFill>
      </fill>
    </dxf>
    <dxf>
      <fill>
        <patternFill patternType="solid">
          <fgColor rgb="FFFBA175"/>
          <bgColor rgb="FF000000"/>
        </patternFill>
      </fill>
    </dxf>
    <dxf>
      <fill>
        <patternFill patternType="solid">
          <fgColor rgb="FFFBA275"/>
          <bgColor rgb="FF000000"/>
        </patternFill>
      </fill>
    </dxf>
    <dxf>
      <fill>
        <patternFill patternType="solid">
          <fgColor rgb="FFFBA476"/>
          <bgColor rgb="FF000000"/>
        </patternFill>
      </fill>
    </dxf>
    <dxf>
      <fill>
        <patternFill patternType="solid">
          <fgColor rgb="FFFBA877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FBB178"/>
          <bgColor rgb="FF000000"/>
        </patternFill>
      </fill>
    </dxf>
    <dxf>
      <fill>
        <patternFill patternType="solid">
          <fgColor rgb="FFFCBA7A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FCC57C"/>
          <bgColor rgb="FF000000"/>
        </patternFill>
      </fill>
    </dxf>
    <dxf>
      <fill>
        <patternFill patternType="solid">
          <fgColor rgb="FFFDC67C"/>
          <bgColor rgb="FF000000"/>
        </patternFill>
      </fill>
    </dxf>
    <dxf>
      <fill>
        <patternFill patternType="solid">
          <fgColor rgb="FFFDC87D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D7E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DD780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FEE582"/>
          <bgColor rgb="FF000000"/>
        </patternFill>
      </fill>
    </dxf>
    <dxf>
      <fill>
        <patternFill patternType="solid">
          <fgColor rgb="FFFEE783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66BF7C"/>
          <bgColor rgb="FF000000"/>
        </patternFill>
      </fill>
    </dxf>
    <dxf>
      <fill>
        <patternFill patternType="solid">
          <fgColor rgb="FF6BC17C"/>
          <bgColor rgb="FF000000"/>
        </patternFill>
      </fill>
    </dxf>
    <dxf>
      <fill>
        <patternFill patternType="solid">
          <fgColor rgb="FF70C27C"/>
          <bgColor rgb="FF000000"/>
        </patternFill>
      </fill>
    </dxf>
    <dxf>
      <fill>
        <patternFill patternType="solid">
          <fgColor rgb="FF8FCB7E"/>
          <bgColor rgb="FF000000"/>
        </patternFill>
      </fill>
    </dxf>
    <dxf>
      <fill>
        <patternFill patternType="solid">
          <fgColor rgb="FF90CB7E"/>
          <bgColor rgb="FF000000"/>
        </patternFill>
      </fill>
    </dxf>
    <dxf>
      <fill>
        <patternFill patternType="solid">
          <fgColor rgb="FF93CC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1D07F"/>
          <bgColor rgb="FF000000"/>
        </patternFill>
      </fill>
    </dxf>
    <dxf>
      <fill>
        <patternFill patternType="solid">
          <fgColor rgb="FFA5D17F"/>
          <bgColor rgb="FF000000"/>
        </patternFill>
      </fill>
    </dxf>
    <dxf>
      <fill>
        <patternFill patternType="solid">
          <fgColor rgb="FFACD3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D0DE82"/>
          <bgColor rgb="FF000000"/>
        </patternFill>
      </fill>
    </dxf>
    <dxf>
      <fill>
        <patternFill patternType="solid">
          <fgColor rgb="FFDAE182"/>
          <bgColor rgb="FF000000"/>
        </patternFill>
      </fill>
    </dxf>
    <dxf>
      <fill>
        <patternFill patternType="solid">
          <fgColor rgb="FFE0E383"/>
          <bgColor rgb="FF000000"/>
        </patternFill>
      </fill>
    </dxf>
    <dxf>
      <fill>
        <patternFill patternType="solid">
          <fgColor rgb="FFE7E583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8716C"/>
          <bgColor rgb="FF000000"/>
        </patternFill>
      </fill>
    </dxf>
    <dxf>
      <fill>
        <patternFill patternType="solid">
          <fgColor rgb="FFF8736D"/>
          <bgColor rgb="FF000000"/>
        </patternFill>
      </fill>
    </dxf>
    <dxf>
      <fill>
        <patternFill patternType="solid">
          <fgColor rgb="FFF97D6F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98D71"/>
          <bgColor rgb="FF000000"/>
        </patternFill>
      </fill>
    </dxf>
    <dxf>
      <fill>
        <patternFill patternType="solid">
          <fgColor rgb="FFFA9172"/>
          <bgColor rgb="FF000000"/>
        </patternFill>
      </fill>
    </dxf>
    <dxf>
      <fill>
        <patternFill patternType="solid">
          <fgColor rgb="FFFA9773"/>
          <bgColor rgb="FF000000"/>
        </patternFill>
      </fill>
    </dxf>
    <dxf>
      <fill>
        <patternFill patternType="solid">
          <fgColor rgb="FFFA9874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BA276"/>
          <bgColor rgb="FF000000"/>
        </patternFill>
      </fill>
    </dxf>
    <dxf>
      <fill>
        <patternFill patternType="solid">
          <fgColor rgb="FFFBA776"/>
          <bgColor rgb="FF000000"/>
        </patternFill>
      </fill>
    </dxf>
    <dxf>
      <fill>
        <patternFill patternType="solid">
          <fgColor rgb="FFFBA777"/>
          <bgColor rgb="FF000000"/>
        </patternFill>
      </fill>
    </dxf>
    <dxf>
      <fill>
        <patternFill patternType="solid">
          <fgColor rgb="FFFBAE78"/>
          <bgColor rgb="FF000000"/>
        </patternFill>
      </fill>
    </dxf>
    <dxf>
      <fill>
        <patternFill patternType="solid">
          <fgColor rgb="FFFBB179"/>
          <bgColor rgb="FF000000"/>
        </patternFill>
      </fill>
    </dxf>
    <dxf>
      <fill>
        <patternFill patternType="solid">
          <fgColor rgb="FFFBB279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CB87A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CC27C"/>
          <bgColor rgb="FF000000"/>
        </patternFill>
      </fill>
    </dxf>
    <dxf>
      <fill>
        <patternFill patternType="solid">
          <fgColor rgb="FFFDCE7E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47F"/>
          <bgColor rgb="FF000000"/>
        </patternFill>
      </fill>
    </dxf>
    <dxf>
      <fill>
        <patternFill patternType="solid">
          <fgColor rgb="FFFDEB84"/>
          <bgColor rgb="FF000000"/>
        </patternFill>
      </fill>
    </dxf>
    <dxf>
      <fill>
        <patternFill patternType="solid">
          <fgColor rgb="FFFEE683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0AD47"/>
      <rgbColor rgb="FF800080"/>
      <rgbColor rgb="FF4A7EBB"/>
      <rgbColor rgb="FFBFBFBF"/>
      <rgbColor rgb="FF7F7F7F"/>
      <rgbColor rgb="FFA5A5A5"/>
      <rgbColor rgb="FFBE4B48"/>
      <rgbColor rgb="FFF2F2F2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46AAC4"/>
      <rgbColor rgb="FF98B855"/>
      <rgbColor rgb="FFFFCC00"/>
      <rgbColor rgb="FFFF9900"/>
      <rgbColor rgb="FFED7D31"/>
      <rgbColor rgb="FF7D5FA0"/>
      <rgbColor rgb="FF878787"/>
      <rgbColor rgb="FF1F3864"/>
      <rgbColor rgb="FF00B050"/>
      <rgbColor rgb="FF006100"/>
      <rgbColor rgb="FF333300"/>
      <rgbColor rgb="FF9C5700"/>
      <rgbColor rgb="FF7030A0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views (lifetime)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Trend'!B4</c:f>
              <c:strCache>
                <c:ptCount val="1"/>
                <c:pt idx="0">
                  <c:v>Views</c:v>
                </c:pt>
              </c:strCache>
            </c:strRef>
          </c:tx>
          <c:spPr>
            <a:solidFill>
              <a:srgbClr val="2e75b6"/>
            </a:solidFill>
            <a:ln w="284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Trend'!$A$5:$A$56</c:f>
              <c:strCache>
                <c:ptCount val="52"/>
                <c:pt idx="0">
                  <c:v>Jul 2022</c:v>
                </c:pt>
                <c:pt idx="1">
                  <c:v>Aug 2022</c:v>
                </c:pt>
                <c:pt idx="2">
                  <c:v>Sep 2022</c:v>
                </c:pt>
                <c:pt idx="3">
                  <c:v>Oct 2022</c:v>
                </c:pt>
                <c:pt idx="4">
                  <c:v>Nov 2022</c:v>
                </c:pt>
                <c:pt idx="5">
                  <c:v>Dec 2022</c:v>
                </c:pt>
                <c:pt idx="6">
                  <c:v>Jan 2023</c:v>
                </c:pt>
                <c:pt idx="7">
                  <c:v>Feb 2023</c:v>
                </c:pt>
                <c:pt idx="8">
                  <c:v>Mar 2023</c:v>
                </c:pt>
                <c:pt idx="9">
                  <c:v>Apr 2023</c:v>
                </c:pt>
                <c:pt idx="10">
                  <c:v>May 2023</c:v>
                </c:pt>
                <c:pt idx="11">
                  <c:v>Jun 2023</c:v>
                </c:pt>
                <c:pt idx="12">
                  <c:v>Jul 2023</c:v>
                </c:pt>
                <c:pt idx="13">
                  <c:v>Aug 2023</c:v>
                </c:pt>
                <c:pt idx="14">
                  <c:v>Sep 2023</c:v>
                </c:pt>
                <c:pt idx="15">
                  <c:v>Oct 2023</c:v>
                </c:pt>
                <c:pt idx="16">
                  <c:v>Nov 2023</c:v>
                </c:pt>
                <c:pt idx="17">
                  <c:v>Dec 2023</c:v>
                </c:pt>
                <c:pt idx="18">
                  <c:v>Jan 2024</c:v>
                </c:pt>
                <c:pt idx="19">
                  <c:v>Feb 2024</c:v>
                </c:pt>
                <c:pt idx="20">
                  <c:v>Mar 2024</c:v>
                </c:pt>
                <c:pt idx="21">
                  <c:v>Apr 2024</c:v>
                </c:pt>
                <c:pt idx="22">
                  <c:v>May 2024</c:v>
                </c:pt>
                <c:pt idx="23">
                  <c:v>Jun 2024</c:v>
                </c:pt>
                <c:pt idx="24">
                  <c:v>Jul 2024</c:v>
                </c:pt>
                <c:pt idx="25">
                  <c:v>Aug 2024</c:v>
                </c:pt>
                <c:pt idx="26">
                  <c:v>Sep 2024</c:v>
                </c:pt>
                <c:pt idx="27">
                  <c:v>Oct 2024</c:v>
                </c:pt>
                <c:pt idx="28">
                  <c:v>Nov 2024</c:v>
                </c:pt>
                <c:pt idx="29">
                  <c:v>Dec 2024</c:v>
                </c:pt>
                <c:pt idx="30">
                  <c:v>Jan 2025</c:v>
                </c:pt>
                <c:pt idx="31">
                  <c:v>Feb 2025</c:v>
                </c:pt>
                <c:pt idx="32">
                  <c:v>Mar 2025</c:v>
                </c:pt>
                <c:pt idx="33">
                  <c:v>Apr 2025</c:v>
                </c:pt>
                <c:pt idx="34">
                  <c:v>May 2025</c:v>
                </c:pt>
                <c:pt idx="35">
                  <c:v>Jun 2025</c:v>
                </c:pt>
                <c:pt idx="36">
                  <c:v>Jul 2025</c:v>
                </c:pt>
                <c:pt idx="37">
                  <c:v>Aug 2025</c:v>
                </c:pt>
                <c:pt idx="38">
                  <c:v>Sep 2025</c:v>
                </c:pt>
                <c:pt idx="39">
                  <c:v>Oct 2025</c:v>
                </c:pt>
                <c:pt idx="40">
                  <c:v>Nov 2025</c:v>
                </c:pt>
                <c:pt idx="41">
                  <c:v>Dec 2025</c:v>
                </c:pt>
                <c:pt idx="42">
                  <c:v>Jan 2026</c:v>
                </c:pt>
                <c:pt idx="43">
                  <c:v>Feb 2026</c:v>
                </c:pt>
                <c:pt idx="44">
                  <c:v>Mar 2026</c:v>
                </c:pt>
                <c:pt idx="45">
                  <c:v>Apr 2026</c:v>
                </c:pt>
                <c:pt idx="46">
                  <c:v>May 2026</c:v>
                </c:pt>
                <c:pt idx="47">
                  <c:v>Jun 2026</c:v>
                </c:pt>
                <c:pt idx="48">
                  <c:v>Jul 2026</c:v>
                </c:pt>
                <c:pt idx="49">
                  <c:v>Aug 2026</c:v>
                </c:pt>
                <c:pt idx="50">
                  <c:v>Sep 2026</c:v>
                </c:pt>
                <c:pt idx="51">
                  <c:v>Oct 2026</c:v>
                </c:pt>
              </c:strCache>
            </c:strRef>
          </c:cat>
          <c:val>
            <c:numRef>
              <c:f>'Monthly Trend'!$B$5:$B$56</c:f>
              <c:numCache>
                <c:formatCode>#,##0</c:formatCode>
                <c:ptCount val="52"/>
                <c:pt idx="0">
                  <c:v>123</c:v>
                </c:pt>
                <c:pt idx="1">
                  <c:v>36</c:v>
                </c:pt>
                <c:pt idx="2">
                  <c:v>84</c:v>
                </c:pt>
                <c:pt idx="3">
                  <c:v>53</c:v>
                </c:pt>
                <c:pt idx="4">
                  <c:v>1202</c:v>
                </c:pt>
                <c:pt idx="5">
                  <c:v>3193</c:v>
                </c:pt>
                <c:pt idx="6">
                  <c:v>840</c:v>
                </c:pt>
                <c:pt idx="7">
                  <c:v>844</c:v>
                </c:pt>
                <c:pt idx="8">
                  <c:v>731</c:v>
                </c:pt>
                <c:pt idx="9">
                  <c:v>675</c:v>
                </c:pt>
                <c:pt idx="10">
                  <c:v>453</c:v>
                </c:pt>
                <c:pt idx="11">
                  <c:v>89</c:v>
                </c:pt>
                <c:pt idx="12">
                  <c:v>148</c:v>
                </c:pt>
                <c:pt idx="13">
                  <c:v>176</c:v>
                </c:pt>
                <c:pt idx="14">
                  <c:v>71</c:v>
                </c:pt>
                <c:pt idx="15">
                  <c:v>488</c:v>
                </c:pt>
                <c:pt idx="16">
                  <c:v>602</c:v>
                </c:pt>
                <c:pt idx="17">
                  <c:v>357</c:v>
                </c:pt>
                <c:pt idx="18">
                  <c:v>1033</c:v>
                </c:pt>
                <c:pt idx="19">
                  <c:v>2410</c:v>
                </c:pt>
                <c:pt idx="20">
                  <c:v>4607</c:v>
                </c:pt>
                <c:pt idx="21">
                  <c:v>510</c:v>
                </c:pt>
                <c:pt idx="22">
                  <c:v>87</c:v>
                </c:pt>
                <c:pt idx="23">
                  <c:v>24</c:v>
                </c:pt>
                <c:pt idx="24">
                  <c:v>38</c:v>
                </c:pt>
                <c:pt idx="25">
                  <c:v>23</c:v>
                </c:pt>
                <c:pt idx="26">
                  <c:v>16</c:v>
                </c:pt>
                <c:pt idx="27">
                  <c:v>157</c:v>
                </c:pt>
                <c:pt idx="28">
                  <c:v>1</c:v>
                </c:pt>
                <c:pt idx="29">
                  <c:v>9</c:v>
                </c:pt>
                <c:pt idx="30">
                  <c:v>6</c:v>
                </c:pt>
                <c:pt idx="31">
                  <c:v>4</c:v>
                </c:pt>
                <c:pt idx="32">
                  <c:v>10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7</c:v>
                </c:pt>
                <c:pt idx="37">
                  <c:v>3</c:v>
                </c:pt>
                <c:pt idx="38">
                  <c:v>6</c:v>
                </c:pt>
                <c:pt idx="39">
                  <c:v>14</c:v>
                </c:pt>
                <c:pt idx="40">
                  <c:v>4781</c:v>
                </c:pt>
                <c:pt idx="41">
                  <c:v>201</c:v>
                </c:pt>
                <c:pt idx="42">
                  <c:v>14</c:v>
                </c:pt>
                <c:pt idx="43">
                  <c:v>7</c:v>
                </c:pt>
                <c:pt idx="44">
                  <c:v>10</c:v>
                </c:pt>
                <c:pt idx="45">
                  <c:v>803</c:v>
                </c:pt>
                <c:pt idx="46">
                  <c:v>1628</c:v>
                </c:pt>
                <c:pt idx="47">
                  <c:v>2358</c:v>
                </c:pt>
                <c:pt idx="48">
                  <c:v>32</c:v>
                </c:pt>
                <c:pt idx="49">
                  <c:v>19</c:v>
                </c:pt>
                <c:pt idx="50">
                  <c:v>47</c:v>
                </c:pt>
                <c:pt idx="51">
                  <c:v>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397865"/>
        <c:axId val="5992738"/>
      </c:lineChart>
      <c:catAx>
        <c:axId val="41397865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2738"/>
        <c:crosses val="autoZero"/>
        <c:auto val="1"/>
        <c:lblAlgn val="ctr"/>
        <c:lblOffset val="100"/>
        <c:noMultiLvlLbl val="0"/>
      </c:catAx>
      <c:valAx>
        <c:axId val="59927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3978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views by game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Breakdowns!C5</c:f>
              <c:strCache>
                <c:ptCount val="1"/>
                <c:pt idx="0">
                  <c:v>Total views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Breakdowns!$A$6:$A$9</c:f>
              <c:strCache>
                <c:ptCount val="4"/>
                <c:pt idx="0">
                  <c:v>Cricket 07</c:v>
                </c:pt>
                <c:pt idx="1">
                  <c:v>Counter-Strike CZ</c:v>
                </c:pt>
                <c:pt idx="2">
                  <c:v>Smash Hit</c:v>
                </c:pt>
                <c:pt idx="3">
                  <c:v>Marvel Contest of Champions</c:v>
                </c:pt>
              </c:strCache>
            </c:strRef>
          </c:cat>
          <c:val>
            <c:numRef>
              <c:f>Breakdowns!$C$6:$C$9</c:f>
              <c:numCache>
                <c:formatCode>#,##0</c:formatCode>
                <c:ptCount val="4"/>
                <c:pt idx="0">
                  <c:v>21011</c:v>
                </c:pt>
                <c:pt idx="1">
                  <c:v>2696</c:v>
                </c:pt>
                <c:pt idx="2">
                  <c:v>1963</c:v>
                </c:pt>
                <c:pt idx="3">
                  <c:v>410</c:v>
                </c:pt>
              </c:numCache>
            </c:numRef>
          </c:val>
        </c:ser>
        <c:gapWidth val="150"/>
        <c:overlap val="0"/>
        <c:axId val="32987908"/>
        <c:axId val="78654456"/>
      </c:barChart>
      <c:catAx>
        <c:axId val="329879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654456"/>
        <c:crosses val="autoZero"/>
        <c:auto val="1"/>
        <c:lblAlgn val="ctr"/>
        <c:lblOffset val="100"/>
        <c:noMultiLvlLbl val="0"/>
      </c:catAx>
      <c:valAx>
        <c:axId val="786544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9879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views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Trend'!B4</c:f>
              <c:strCache>
                <c:ptCount val="1"/>
                <c:pt idx="0">
                  <c:v>Views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Trend'!$A$5:$A$56</c:f>
              <c:strCache>
                <c:ptCount val="52"/>
                <c:pt idx="0">
                  <c:v>Jul 2022</c:v>
                </c:pt>
                <c:pt idx="1">
                  <c:v>Aug 2022</c:v>
                </c:pt>
                <c:pt idx="2">
                  <c:v>Sep 2022</c:v>
                </c:pt>
                <c:pt idx="3">
                  <c:v>Oct 2022</c:v>
                </c:pt>
                <c:pt idx="4">
                  <c:v>Nov 2022</c:v>
                </c:pt>
                <c:pt idx="5">
                  <c:v>Dec 2022</c:v>
                </c:pt>
                <c:pt idx="6">
                  <c:v>Jan 2023</c:v>
                </c:pt>
                <c:pt idx="7">
                  <c:v>Feb 2023</c:v>
                </c:pt>
                <c:pt idx="8">
                  <c:v>Mar 2023</c:v>
                </c:pt>
                <c:pt idx="9">
                  <c:v>Apr 2023</c:v>
                </c:pt>
                <c:pt idx="10">
                  <c:v>May 2023</c:v>
                </c:pt>
                <c:pt idx="11">
                  <c:v>Jun 2023</c:v>
                </c:pt>
                <c:pt idx="12">
                  <c:v>Jul 2023</c:v>
                </c:pt>
                <c:pt idx="13">
                  <c:v>Aug 2023</c:v>
                </c:pt>
                <c:pt idx="14">
                  <c:v>Sep 2023</c:v>
                </c:pt>
                <c:pt idx="15">
                  <c:v>Oct 2023</c:v>
                </c:pt>
                <c:pt idx="16">
                  <c:v>Nov 2023</c:v>
                </c:pt>
                <c:pt idx="17">
                  <c:v>Dec 2023</c:v>
                </c:pt>
                <c:pt idx="18">
                  <c:v>Jan 2024</c:v>
                </c:pt>
                <c:pt idx="19">
                  <c:v>Feb 2024</c:v>
                </c:pt>
                <c:pt idx="20">
                  <c:v>Mar 2024</c:v>
                </c:pt>
                <c:pt idx="21">
                  <c:v>Apr 2024</c:v>
                </c:pt>
                <c:pt idx="22">
                  <c:v>May 2024</c:v>
                </c:pt>
                <c:pt idx="23">
                  <c:v>Jun 2024</c:v>
                </c:pt>
                <c:pt idx="24">
                  <c:v>Jul 2024</c:v>
                </c:pt>
                <c:pt idx="25">
                  <c:v>Aug 2024</c:v>
                </c:pt>
                <c:pt idx="26">
                  <c:v>Sep 2024</c:v>
                </c:pt>
                <c:pt idx="27">
                  <c:v>Oct 2024</c:v>
                </c:pt>
                <c:pt idx="28">
                  <c:v>Nov 2024</c:v>
                </c:pt>
                <c:pt idx="29">
                  <c:v>Dec 2024</c:v>
                </c:pt>
                <c:pt idx="30">
                  <c:v>Jan 2025</c:v>
                </c:pt>
                <c:pt idx="31">
                  <c:v>Feb 2025</c:v>
                </c:pt>
                <c:pt idx="32">
                  <c:v>Mar 2025</c:v>
                </c:pt>
                <c:pt idx="33">
                  <c:v>Apr 2025</c:v>
                </c:pt>
                <c:pt idx="34">
                  <c:v>May 2025</c:v>
                </c:pt>
                <c:pt idx="35">
                  <c:v>Jun 2025</c:v>
                </c:pt>
                <c:pt idx="36">
                  <c:v>Jul 2025</c:v>
                </c:pt>
                <c:pt idx="37">
                  <c:v>Aug 2025</c:v>
                </c:pt>
                <c:pt idx="38">
                  <c:v>Sep 2025</c:v>
                </c:pt>
                <c:pt idx="39">
                  <c:v>Oct 2025</c:v>
                </c:pt>
                <c:pt idx="40">
                  <c:v>Nov 2025</c:v>
                </c:pt>
                <c:pt idx="41">
                  <c:v>Dec 2025</c:v>
                </c:pt>
                <c:pt idx="42">
                  <c:v>Jan 2026</c:v>
                </c:pt>
                <c:pt idx="43">
                  <c:v>Feb 2026</c:v>
                </c:pt>
                <c:pt idx="44">
                  <c:v>Mar 2026</c:v>
                </c:pt>
                <c:pt idx="45">
                  <c:v>Apr 2026</c:v>
                </c:pt>
                <c:pt idx="46">
                  <c:v>May 2026</c:v>
                </c:pt>
                <c:pt idx="47">
                  <c:v>Jun 2026</c:v>
                </c:pt>
                <c:pt idx="48">
                  <c:v>Jul 2026</c:v>
                </c:pt>
                <c:pt idx="49">
                  <c:v>Aug 2026</c:v>
                </c:pt>
                <c:pt idx="50">
                  <c:v>Sep 2026</c:v>
                </c:pt>
                <c:pt idx="51">
                  <c:v>Oct 2026</c:v>
                </c:pt>
              </c:strCache>
            </c:strRef>
          </c:cat>
          <c:val>
            <c:numRef>
              <c:f>'Monthly Trend'!$B$5:$B$56</c:f>
              <c:numCache>
                <c:formatCode>#,##0</c:formatCode>
                <c:ptCount val="52"/>
                <c:pt idx="0">
                  <c:v>123</c:v>
                </c:pt>
                <c:pt idx="1">
                  <c:v>36</c:v>
                </c:pt>
                <c:pt idx="2">
                  <c:v>84</c:v>
                </c:pt>
                <c:pt idx="3">
                  <c:v>53</c:v>
                </c:pt>
                <c:pt idx="4">
                  <c:v>1202</c:v>
                </c:pt>
                <c:pt idx="5">
                  <c:v>3193</c:v>
                </c:pt>
                <c:pt idx="6">
                  <c:v>840</c:v>
                </c:pt>
                <c:pt idx="7">
                  <c:v>844</c:v>
                </c:pt>
                <c:pt idx="8">
                  <c:v>731</c:v>
                </c:pt>
                <c:pt idx="9">
                  <c:v>675</c:v>
                </c:pt>
                <c:pt idx="10">
                  <c:v>453</c:v>
                </c:pt>
                <c:pt idx="11">
                  <c:v>89</c:v>
                </c:pt>
                <c:pt idx="12">
                  <c:v>148</c:v>
                </c:pt>
                <c:pt idx="13">
                  <c:v>176</c:v>
                </c:pt>
                <c:pt idx="14">
                  <c:v>71</c:v>
                </c:pt>
                <c:pt idx="15">
                  <c:v>488</c:v>
                </c:pt>
                <c:pt idx="16">
                  <c:v>602</c:v>
                </c:pt>
                <c:pt idx="17">
                  <c:v>357</c:v>
                </c:pt>
                <c:pt idx="18">
                  <c:v>1033</c:v>
                </c:pt>
                <c:pt idx="19">
                  <c:v>2410</c:v>
                </c:pt>
                <c:pt idx="20">
                  <c:v>4607</c:v>
                </c:pt>
                <c:pt idx="21">
                  <c:v>510</c:v>
                </c:pt>
                <c:pt idx="22">
                  <c:v>87</c:v>
                </c:pt>
                <c:pt idx="23">
                  <c:v>24</c:v>
                </c:pt>
                <c:pt idx="24">
                  <c:v>38</c:v>
                </c:pt>
                <c:pt idx="25">
                  <c:v>23</c:v>
                </c:pt>
                <c:pt idx="26">
                  <c:v>16</c:v>
                </c:pt>
                <c:pt idx="27">
                  <c:v>157</c:v>
                </c:pt>
                <c:pt idx="28">
                  <c:v>1</c:v>
                </c:pt>
                <c:pt idx="29">
                  <c:v>9</c:v>
                </c:pt>
                <c:pt idx="30">
                  <c:v>6</c:v>
                </c:pt>
                <c:pt idx="31">
                  <c:v>4</c:v>
                </c:pt>
                <c:pt idx="32">
                  <c:v>10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7</c:v>
                </c:pt>
                <c:pt idx="37">
                  <c:v>3</c:v>
                </c:pt>
                <c:pt idx="38">
                  <c:v>6</c:v>
                </c:pt>
                <c:pt idx="39">
                  <c:v>14</c:v>
                </c:pt>
                <c:pt idx="40">
                  <c:v>4781</c:v>
                </c:pt>
                <c:pt idx="41">
                  <c:v>201</c:v>
                </c:pt>
                <c:pt idx="42">
                  <c:v>14</c:v>
                </c:pt>
                <c:pt idx="43">
                  <c:v>7</c:v>
                </c:pt>
                <c:pt idx="44">
                  <c:v>10</c:v>
                </c:pt>
                <c:pt idx="45">
                  <c:v>803</c:v>
                </c:pt>
                <c:pt idx="46">
                  <c:v>1628</c:v>
                </c:pt>
                <c:pt idx="47">
                  <c:v>2358</c:v>
                </c:pt>
                <c:pt idx="48">
                  <c:v>32</c:v>
                </c:pt>
                <c:pt idx="49">
                  <c:v>19</c:v>
                </c:pt>
                <c:pt idx="50">
                  <c:v>47</c:v>
                </c:pt>
                <c:pt idx="51">
                  <c:v>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128698"/>
        <c:axId val="20836887"/>
      </c:lineChart>
      <c:catAx>
        <c:axId val="89128698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836887"/>
        <c:crosses val="autoZero"/>
        <c:auto val="1"/>
        <c:lblAlgn val="ctr"/>
        <c:lblOffset val="100"/>
        <c:noMultiLvlLbl val="0"/>
      </c:catAx>
      <c:valAx>
        <c:axId val="208368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Views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286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Uploads per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Trend'!C4</c:f>
              <c:strCache>
                <c:ptCount val="1"/>
                <c:pt idx="0">
                  <c:v>Uploads that month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Trend'!$A$5:$A$56</c:f>
              <c:strCache>
                <c:ptCount val="52"/>
                <c:pt idx="0">
                  <c:v>Jul 2022</c:v>
                </c:pt>
                <c:pt idx="1">
                  <c:v>Aug 2022</c:v>
                </c:pt>
                <c:pt idx="2">
                  <c:v>Sep 2022</c:v>
                </c:pt>
                <c:pt idx="3">
                  <c:v>Oct 2022</c:v>
                </c:pt>
                <c:pt idx="4">
                  <c:v>Nov 2022</c:v>
                </c:pt>
                <c:pt idx="5">
                  <c:v>Dec 2022</c:v>
                </c:pt>
                <c:pt idx="6">
                  <c:v>Jan 2023</c:v>
                </c:pt>
                <c:pt idx="7">
                  <c:v>Feb 2023</c:v>
                </c:pt>
                <c:pt idx="8">
                  <c:v>Mar 2023</c:v>
                </c:pt>
                <c:pt idx="9">
                  <c:v>Apr 2023</c:v>
                </c:pt>
                <c:pt idx="10">
                  <c:v>May 2023</c:v>
                </c:pt>
                <c:pt idx="11">
                  <c:v>Jun 2023</c:v>
                </c:pt>
                <c:pt idx="12">
                  <c:v>Jul 2023</c:v>
                </c:pt>
                <c:pt idx="13">
                  <c:v>Aug 2023</c:v>
                </c:pt>
                <c:pt idx="14">
                  <c:v>Sep 2023</c:v>
                </c:pt>
                <c:pt idx="15">
                  <c:v>Oct 2023</c:v>
                </c:pt>
                <c:pt idx="16">
                  <c:v>Nov 2023</c:v>
                </c:pt>
                <c:pt idx="17">
                  <c:v>Dec 2023</c:v>
                </c:pt>
                <c:pt idx="18">
                  <c:v>Jan 2024</c:v>
                </c:pt>
                <c:pt idx="19">
                  <c:v>Feb 2024</c:v>
                </c:pt>
                <c:pt idx="20">
                  <c:v>Mar 2024</c:v>
                </c:pt>
                <c:pt idx="21">
                  <c:v>Apr 2024</c:v>
                </c:pt>
                <c:pt idx="22">
                  <c:v>May 2024</c:v>
                </c:pt>
                <c:pt idx="23">
                  <c:v>Jun 2024</c:v>
                </c:pt>
                <c:pt idx="24">
                  <c:v>Jul 2024</c:v>
                </c:pt>
                <c:pt idx="25">
                  <c:v>Aug 2024</c:v>
                </c:pt>
                <c:pt idx="26">
                  <c:v>Sep 2024</c:v>
                </c:pt>
                <c:pt idx="27">
                  <c:v>Oct 2024</c:v>
                </c:pt>
                <c:pt idx="28">
                  <c:v>Nov 2024</c:v>
                </c:pt>
                <c:pt idx="29">
                  <c:v>Dec 2024</c:v>
                </c:pt>
                <c:pt idx="30">
                  <c:v>Jan 2025</c:v>
                </c:pt>
                <c:pt idx="31">
                  <c:v>Feb 2025</c:v>
                </c:pt>
                <c:pt idx="32">
                  <c:v>Mar 2025</c:v>
                </c:pt>
                <c:pt idx="33">
                  <c:v>Apr 2025</c:v>
                </c:pt>
                <c:pt idx="34">
                  <c:v>May 2025</c:v>
                </c:pt>
                <c:pt idx="35">
                  <c:v>Jun 2025</c:v>
                </c:pt>
                <c:pt idx="36">
                  <c:v>Jul 2025</c:v>
                </c:pt>
                <c:pt idx="37">
                  <c:v>Aug 2025</c:v>
                </c:pt>
                <c:pt idx="38">
                  <c:v>Sep 2025</c:v>
                </c:pt>
                <c:pt idx="39">
                  <c:v>Oct 2025</c:v>
                </c:pt>
                <c:pt idx="40">
                  <c:v>Nov 2025</c:v>
                </c:pt>
                <c:pt idx="41">
                  <c:v>Dec 2025</c:v>
                </c:pt>
                <c:pt idx="42">
                  <c:v>Jan 2026</c:v>
                </c:pt>
                <c:pt idx="43">
                  <c:v>Feb 2026</c:v>
                </c:pt>
                <c:pt idx="44">
                  <c:v>Mar 2026</c:v>
                </c:pt>
                <c:pt idx="45">
                  <c:v>Apr 2026</c:v>
                </c:pt>
                <c:pt idx="46">
                  <c:v>May 2026</c:v>
                </c:pt>
                <c:pt idx="47">
                  <c:v>Jun 2026</c:v>
                </c:pt>
                <c:pt idx="48">
                  <c:v>Jul 2026</c:v>
                </c:pt>
                <c:pt idx="49">
                  <c:v>Aug 2026</c:v>
                </c:pt>
                <c:pt idx="50">
                  <c:v>Sep 2026</c:v>
                </c:pt>
                <c:pt idx="51">
                  <c:v>Oct 2026</c:v>
                </c:pt>
              </c:strCache>
            </c:strRef>
          </c:cat>
          <c:val>
            <c:numRef>
              <c:f>'Monthly Trend'!$C$5:$C$56</c:f>
              <c:numCache>
                <c:formatCode>General</c:formatCode>
                <c:ptCount val="5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6</c:v>
                </c:pt>
                <c:pt idx="6">
                  <c:v>4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5</c:v>
                </c:pt>
                <c:pt idx="17">
                  <c:v>1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13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</c:v>
                </c:pt>
                <c:pt idx="46">
                  <c:v>5</c:v>
                </c:pt>
                <c:pt idx="47">
                  <c:v>8</c:v>
                </c:pt>
                <c:pt idx="48">
                  <c:v>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gapWidth val="150"/>
        <c:overlap val="0"/>
        <c:axId val="84637184"/>
        <c:axId val="88121863"/>
      </c:barChart>
      <c:catAx>
        <c:axId val="84637184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21863"/>
        <c:crosses val="autoZero"/>
        <c:auto val="1"/>
        <c:lblAlgn val="ctr"/>
        <c:lblOffset val="100"/>
        <c:noMultiLvlLbl val="0"/>
      </c:catAx>
      <c:valAx>
        <c:axId val="881218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371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views — top 5 videos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'Top 5 Trajectories'!B4</c:f>
              <c:strCache>
                <c:ptCount val="1"/>
                <c:pt idx="0">
                  <c:v>Umpire Caught Cheating In Cricket 07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5 Trajectories'!$A$5:$A$207</c:f>
              <c:strCache>
                <c:ptCount val="203"/>
                <c:pt idx="0">
                  <c:v>28-Nov-22</c:v>
                </c:pt>
                <c:pt idx="1">
                  <c:v>05-Dec-22</c:v>
                </c:pt>
                <c:pt idx="2">
                  <c:v>12-Dec-22</c:v>
                </c:pt>
                <c:pt idx="3">
                  <c:v>19-Dec-22</c:v>
                </c:pt>
                <c:pt idx="4">
                  <c:v>26-Dec-22</c:v>
                </c:pt>
                <c:pt idx="5">
                  <c:v>02-Jan-23</c:v>
                </c:pt>
                <c:pt idx="6">
                  <c:v>09-Jan-23</c:v>
                </c:pt>
                <c:pt idx="7">
                  <c:v>16-Jan-23</c:v>
                </c:pt>
                <c:pt idx="8">
                  <c:v>23-Jan-23</c:v>
                </c:pt>
                <c:pt idx="9">
                  <c:v>30-Jan-23</c:v>
                </c:pt>
                <c:pt idx="10">
                  <c:v>06-Feb-23</c:v>
                </c:pt>
                <c:pt idx="11">
                  <c:v>13-Feb-23</c:v>
                </c:pt>
                <c:pt idx="12">
                  <c:v>20-Feb-23</c:v>
                </c:pt>
                <c:pt idx="13">
                  <c:v>27-Feb-23</c:v>
                </c:pt>
                <c:pt idx="14">
                  <c:v>06-Mar-23</c:v>
                </c:pt>
                <c:pt idx="15">
                  <c:v>13-Mar-23</c:v>
                </c:pt>
                <c:pt idx="16">
                  <c:v>20-Mar-23</c:v>
                </c:pt>
                <c:pt idx="17">
                  <c:v>27-Mar-23</c:v>
                </c:pt>
                <c:pt idx="18">
                  <c:v>03-Apr-23</c:v>
                </c:pt>
                <c:pt idx="19">
                  <c:v>10-Apr-23</c:v>
                </c:pt>
                <c:pt idx="20">
                  <c:v>17-Apr-23</c:v>
                </c:pt>
                <c:pt idx="21">
                  <c:v>24-Apr-23</c:v>
                </c:pt>
                <c:pt idx="22">
                  <c:v>01-May-23</c:v>
                </c:pt>
                <c:pt idx="23">
                  <c:v>08-May-23</c:v>
                </c:pt>
                <c:pt idx="24">
                  <c:v>15-May-23</c:v>
                </c:pt>
                <c:pt idx="25">
                  <c:v>22-May-23</c:v>
                </c:pt>
                <c:pt idx="26">
                  <c:v>29-May-23</c:v>
                </c:pt>
                <c:pt idx="27">
                  <c:v>05-Jun-23</c:v>
                </c:pt>
                <c:pt idx="28">
                  <c:v>12-Jun-23</c:v>
                </c:pt>
                <c:pt idx="29">
                  <c:v>19-Jun-23</c:v>
                </c:pt>
                <c:pt idx="30">
                  <c:v>26-Jun-23</c:v>
                </c:pt>
                <c:pt idx="31">
                  <c:v>03-Jul-23</c:v>
                </c:pt>
                <c:pt idx="32">
                  <c:v>10-Jul-23</c:v>
                </c:pt>
                <c:pt idx="33">
                  <c:v>17-Jul-23</c:v>
                </c:pt>
                <c:pt idx="34">
                  <c:v>24-Jul-23</c:v>
                </c:pt>
                <c:pt idx="35">
                  <c:v>31-Jul-23</c:v>
                </c:pt>
                <c:pt idx="36">
                  <c:v>07-Aug-23</c:v>
                </c:pt>
                <c:pt idx="37">
                  <c:v>14-Aug-23</c:v>
                </c:pt>
                <c:pt idx="38">
                  <c:v>21-Aug-23</c:v>
                </c:pt>
                <c:pt idx="39">
                  <c:v>28-Aug-23</c:v>
                </c:pt>
                <c:pt idx="40">
                  <c:v>04-Sep-23</c:v>
                </c:pt>
                <c:pt idx="41">
                  <c:v>11-Sep-23</c:v>
                </c:pt>
                <c:pt idx="42">
                  <c:v>18-Sep-23</c:v>
                </c:pt>
                <c:pt idx="43">
                  <c:v>25-Sep-23</c:v>
                </c:pt>
                <c:pt idx="44">
                  <c:v>02-Oct-23</c:v>
                </c:pt>
                <c:pt idx="45">
                  <c:v>09-Oct-23</c:v>
                </c:pt>
                <c:pt idx="46">
                  <c:v>16-Oct-23</c:v>
                </c:pt>
                <c:pt idx="47">
                  <c:v>23-Oct-23</c:v>
                </c:pt>
                <c:pt idx="48">
                  <c:v>30-Oct-23</c:v>
                </c:pt>
                <c:pt idx="49">
                  <c:v>06-Nov-23</c:v>
                </c:pt>
                <c:pt idx="50">
                  <c:v>13-Nov-23</c:v>
                </c:pt>
                <c:pt idx="51">
                  <c:v>20-Nov-23</c:v>
                </c:pt>
                <c:pt idx="52">
                  <c:v>27-Nov-23</c:v>
                </c:pt>
                <c:pt idx="53">
                  <c:v>04-Dec-23</c:v>
                </c:pt>
                <c:pt idx="54">
                  <c:v>11-Dec-23</c:v>
                </c:pt>
                <c:pt idx="55">
                  <c:v>18-Dec-23</c:v>
                </c:pt>
                <c:pt idx="56">
                  <c:v>25-Dec-23</c:v>
                </c:pt>
                <c:pt idx="57">
                  <c:v>01-Jan-24</c:v>
                </c:pt>
                <c:pt idx="58">
                  <c:v>08-Jan-24</c:v>
                </c:pt>
                <c:pt idx="59">
                  <c:v>15-Jan-24</c:v>
                </c:pt>
                <c:pt idx="60">
                  <c:v>22-Jan-24</c:v>
                </c:pt>
                <c:pt idx="61">
                  <c:v>29-Jan-24</c:v>
                </c:pt>
                <c:pt idx="62">
                  <c:v>05-Feb-24</c:v>
                </c:pt>
                <c:pt idx="63">
                  <c:v>12-Feb-24</c:v>
                </c:pt>
                <c:pt idx="64">
                  <c:v>19-Feb-24</c:v>
                </c:pt>
                <c:pt idx="65">
                  <c:v>26-Feb-24</c:v>
                </c:pt>
                <c:pt idx="66">
                  <c:v>04-Mar-24</c:v>
                </c:pt>
                <c:pt idx="67">
                  <c:v>11-Mar-24</c:v>
                </c:pt>
                <c:pt idx="68">
                  <c:v>18-Mar-24</c:v>
                </c:pt>
                <c:pt idx="69">
                  <c:v>25-Mar-24</c:v>
                </c:pt>
                <c:pt idx="70">
                  <c:v>01-Apr-24</c:v>
                </c:pt>
                <c:pt idx="71">
                  <c:v>08-Apr-24</c:v>
                </c:pt>
                <c:pt idx="72">
                  <c:v>15-Apr-24</c:v>
                </c:pt>
                <c:pt idx="73">
                  <c:v>22-Apr-24</c:v>
                </c:pt>
                <c:pt idx="74">
                  <c:v>29-Apr-24</c:v>
                </c:pt>
                <c:pt idx="75">
                  <c:v>06-May-24</c:v>
                </c:pt>
                <c:pt idx="76">
                  <c:v>13-May-24</c:v>
                </c:pt>
                <c:pt idx="77">
                  <c:v>20-May-24</c:v>
                </c:pt>
                <c:pt idx="78">
                  <c:v>27-May-24</c:v>
                </c:pt>
                <c:pt idx="79">
                  <c:v>03-Jun-24</c:v>
                </c:pt>
                <c:pt idx="80">
                  <c:v>10-Jun-24</c:v>
                </c:pt>
                <c:pt idx="81">
                  <c:v>17-Jun-24</c:v>
                </c:pt>
                <c:pt idx="82">
                  <c:v>24-Jun-24</c:v>
                </c:pt>
                <c:pt idx="83">
                  <c:v>01-Jul-24</c:v>
                </c:pt>
                <c:pt idx="84">
                  <c:v>08-Jul-24</c:v>
                </c:pt>
                <c:pt idx="85">
                  <c:v>15-Jul-24</c:v>
                </c:pt>
                <c:pt idx="86">
                  <c:v>22-Jul-24</c:v>
                </c:pt>
                <c:pt idx="87">
                  <c:v>29-Jul-24</c:v>
                </c:pt>
                <c:pt idx="88">
                  <c:v>05-Aug-24</c:v>
                </c:pt>
                <c:pt idx="89">
                  <c:v>12-Aug-24</c:v>
                </c:pt>
                <c:pt idx="90">
                  <c:v>19-Aug-24</c:v>
                </c:pt>
                <c:pt idx="91">
                  <c:v>26-Aug-24</c:v>
                </c:pt>
                <c:pt idx="92">
                  <c:v>02-Sep-24</c:v>
                </c:pt>
                <c:pt idx="93">
                  <c:v>09-Sep-24</c:v>
                </c:pt>
                <c:pt idx="94">
                  <c:v>16-Sep-24</c:v>
                </c:pt>
                <c:pt idx="95">
                  <c:v>23-Sep-24</c:v>
                </c:pt>
                <c:pt idx="96">
                  <c:v>30-Sep-24</c:v>
                </c:pt>
                <c:pt idx="97">
                  <c:v>07-Oct-24</c:v>
                </c:pt>
                <c:pt idx="98">
                  <c:v>14-Oct-24</c:v>
                </c:pt>
                <c:pt idx="99">
                  <c:v>21-Oct-24</c:v>
                </c:pt>
                <c:pt idx="100">
                  <c:v>28-Oct-24</c:v>
                </c:pt>
                <c:pt idx="101">
                  <c:v>04-Nov-24</c:v>
                </c:pt>
                <c:pt idx="102">
                  <c:v>11-Nov-24</c:v>
                </c:pt>
                <c:pt idx="103">
                  <c:v>18-Nov-24</c:v>
                </c:pt>
                <c:pt idx="104">
                  <c:v>25-Nov-24</c:v>
                </c:pt>
                <c:pt idx="105">
                  <c:v>02-Dec-24</c:v>
                </c:pt>
                <c:pt idx="106">
                  <c:v>09-Dec-24</c:v>
                </c:pt>
                <c:pt idx="107">
                  <c:v>16-Dec-24</c:v>
                </c:pt>
                <c:pt idx="108">
                  <c:v>23-Dec-24</c:v>
                </c:pt>
                <c:pt idx="109">
                  <c:v>30-Dec-24</c:v>
                </c:pt>
                <c:pt idx="110">
                  <c:v>06-Jan-25</c:v>
                </c:pt>
                <c:pt idx="111">
                  <c:v>13-Jan-25</c:v>
                </c:pt>
                <c:pt idx="112">
                  <c:v>20-Jan-25</c:v>
                </c:pt>
                <c:pt idx="113">
                  <c:v>27-Jan-25</c:v>
                </c:pt>
                <c:pt idx="114">
                  <c:v>03-Feb-25</c:v>
                </c:pt>
                <c:pt idx="115">
                  <c:v>10-Feb-25</c:v>
                </c:pt>
                <c:pt idx="116">
                  <c:v>17-Feb-25</c:v>
                </c:pt>
                <c:pt idx="117">
                  <c:v>24-Feb-25</c:v>
                </c:pt>
                <c:pt idx="118">
                  <c:v>03-Mar-25</c:v>
                </c:pt>
                <c:pt idx="119">
                  <c:v>10-Mar-25</c:v>
                </c:pt>
                <c:pt idx="120">
                  <c:v>17-Mar-25</c:v>
                </c:pt>
                <c:pt idx="121">
                  <c:v>24-Mar-25</c:v>
                </c:pt>
                <c:pt idx="122">
                  <c:v>31-Mar-25</c:v>
                </c:pt>
                <c:pt idx="123">
                  <c:v>07-Apr-25</c:v>
                </c:pt>
                <c:pt idx="124">
                  <c:v>14-Apr-25</c:v>
                </c:pt>
                <c:pt idx="125">
                  <c:v>21-Apr-25</c:v>
                </c:pt>
                <c:pt idx="126">
                  <c:v>28-Apr-25</c:v>
                </c:pt>
                <c:pt idx="127">
                  <c:v>05-May-25</c:v>
                </c:pt>
                <c:pt idx="128">
                  <c:v>12-May-25</c:v>
                </c:pt>
                <c:pt idx="129">
                  <c:v>19-May-25</c:v>
                </c:pt>
                <c:pt idx="130">
                  <c:v>26-May-25</c:v>
                </c:pt>
                <c:pt idx="131">
                  <c:v>02-Jun-25</c:v>
                </c:pt>
                <c:pt idx="132">
                  <c:v>09-Jun-25</c:v>
                </c:pt>
                <c:pt idx="133">
                  <c:v>16-Jun-25</c:v>
                </c:pt>
                <c:pt idx="134">
                  <c:v>23-Jun-25</c:v>
                </c:pt>
                <c:pt idx="135">
                  <c:v>30-Jun-25</c:v>
                </c:pt>
                <c:pt idx="136">
                  <c:v>07-Jul-25</c:v>
                </c:pt>
                <c:pt idx="137">
                  <c:v>14-Jul-25</c:v>
                </c:pt>
                <c:pt idx="138">
                  <c:v>21-Jul-25</c:v>
                </c:pt>
                <c:pt idx="139">
                  <c:v>28-Jul-25</c:v>
                </c:pt>
                <c:pt idx="140">
                  <c:v>04-Aug-25</c:v>
                </c:pt>
                <c:pt idx="141">
                  <c:v>11-Aug-25</c:v>
                </c:pt>
                <c:pt idx="142">
                  <c:v>18-Aug-25</c:v>
                </c:pt>
                <c:pt idx="143">
                  <c:v>25-Aug-25</c:v>
                </c:pt>
                <c:pt idx="144">
                  <c:v>01-Sep-25</c:v>
                </c:pt>
                <c:pt idx="145">
                  <c:v>08-Sep-25</c:v>
                </c:pt>
                <c:pt idx="146">
                  <c:v>15-Sep-25</c:v>
                </c:pt>
                <c:pt idx="147">
                  <c:v>22-Sep-25</c:v>
                </c:pt>
                <c:pt idx="148">
                  <c:v>29-Sep-25</c:v>
                </c:pt>
                <c:pt idx="149">
                  <c:v>06-Oct-25</c:v>
                </c:pt>
                <c:pt idx="150">
                  <c:v>13-Oct-25</c:v>
                </c:pt>
                <c:pt idx="151">
                  <c:v>20-Oct-25</c:v>
                </c:pt>
                <c:pt idx="152">
                  <c:v>27-Oct-25</c:v>
                </c:pt>
                <c:pt idx="153">
                  <c:v>03-Nov-25</c:v>
                </c:pt>
                <c:pt idx="154">
                  <c:v>10-Nov-25</c:v>
                </c:pt>
                <c:pt idx="155">
                  <c:v>17-Nov-25</c:v>
                </c:pt>
                <c:pt idx="156">
                  <c:v>24-Nov-25</c:v>
                </c:pt>
                <c:pt idx="157">
                  <c:v>01-Dec-25</c:v>
                </c:pt>
                <c:pt idx="158">
                  <c:v>08-Dec-25</c:v>
                </c:pt>
                <c:pt idx="159">
                  <c:v>15-Dec-25</c:v>
                </c:pt>
                <c:pt idx="160">
                  <c:v>22-Dec-25</c:v>
                </c:pt>
                <c:pt idx="161">
                  <c:v>29-Dec-25</c:v>
                </c:pt>
                <c:pt idx="162">
                  <c:v>05-Jan-26</c:v>
                </c:pt>
                <c:pt idx="163">
                  <c:v>12-Jan-26</c:v>
                </c:pt>
                <c:pt idx="164">
                  <c:v>19-Jan-26</c:v>
                </c:pt>
                <c:pt idx="165">
                  <c:v>26-Jan-26</c:v>
                </c:pt>
                <c:pt idx="166">
                  <c:v>02-Feb-26</c:v>
                </c:pt>
                <c:pt idx="167">
                  <c:v>09-Feb-26</c:v>
                </c:pt>
                <c:pt idx="168">
                  <c:v>16-Feb-26</c:v>
                </c:pt>
                <c:pt idx="169">
                  <c:v>23-Feb-26</c:v>
                </c:pt>
                <c:pt idx="170">
                  <c:v>02-Mar-26</c:v>
                </c:pt>
                <c:pt idx="171">
                  <c:v>09-Mar-26</c:v>
                </c:pt>
                <c:pt idx="172">
                  <c:v>16-Mar-26</c:v>
                </c:pt>
                <c:pt idx="173">
                  <c:v>23-Mar-26</c:v>
                </c:pt>
                <c:pt idx="174">
                  <c:v>30-Mar-26</c:v>
                </c:pt>
                <c:pt idx="175">
                  <c:v>06-Apr-26</c:v>
                </c:pt>
                <c:pt idx="176">
                  <c:v>13-Apr-26</c:v>
                </c:pt>
                <c:pt idx="177">
                  <c:v>20-Apr-26</c:v>
                </c:pt>
                <c:pt idx="178">
                  <c:v>27-Apr-26</c:v>
                </c:pt>
                <c:pt idx="179">
                  <c:v>04-May-26</c:v>
                </c:pt>
                <c:pt idx="180">
                  <c:v>11-May-26</c:v>
                </c:pt>
                <c:pt idx="181">
                  <c:v>18-May-26</c:v>
                </c:pt>
                <c:pt idx="182">
                  <c:v>25-May-26</c:v>
                </c:pt>
                <c:pt idx="183">
                  <c:v>01-Jun-26</c:v>
                </c:pt>
                <c:pt idx="184">
                  <c:v>08-Jun-26</c:v>
                </c:pt>
                <c:pt idx="185">
                  <c:v>15-Jun-26</c:v>
                </c:pt>
                <c:pt idx="186">
                  <c:v>22-Jun-26</c:v>
                </c:pt>
                <c:pt idx="187">
                  <c:v>29-Jun-26</c:v>
                </c:pt>
                <c:pt idx="188">
                  <c:v>06-Jul-26</c:v>
                </c:pt>
                <c:pt idx="189">
                  <c:v>13-Jul-26</c:v>
                </c:pt>
                <c:pt idx="190">
                  <c:v>20-Jul-26</c:v>
                </c:pt>
                <c:pt idx="191">
                  <c:v>27-Jul-26</c:v>
                </c:pt>
                <c:pt idx="192">
                  <c:v>03-Aug-26</c:v>
                </c:pt>
                <c:pt idx="193">
                  <c:v>10-Aug-26</c:v>
                </c:pt>
                <c:pt idx="194">
                  <c:v>17-Aug-26</c:v>
                </c:pt>
                <c:pt idx="195">
                  <c:v>24-Aug-26</c:v>
                </c:pt>
                <c:pt idx="196">
                  <c:v>31-Aug-26</c:v>
                </c:pt>
                <c:pt idx="197">
                  <c:v>07-Sep-26</c:v>
                </c:pt>
                <c:pt idx="198">
                  <c:v>14-Sep-26</c:v>
                </c:pt>
                <c:pt idx="199">
                  <c:v>21-Sep-26</c:v>
                </c:pt>
                <c:pt idx="200">
                  <c:v>28-Sep-26</c:v>
                </c:pt>
                <c:pt idx="201">
                  <c:v>05-Oct-26</c:v>
                </c:pt>
                <c:pt idx="202">
                  <c:v>12-Oct-26</c:v>
                </c:pt>
              </c:strCache>
            </c:strRef>
          </c:cat>
          <c:val>
            <c:numRef>
              <c:f>'Top 5 Trajectories'!$B$5:$B$207</c:f>
              <c:numCache>
                <c:formatCode>#,##0</c:formatCode>
                <c:ptCount val="2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111</c:v>
                </c:pt>
                <c:pt idx="51">
                  <c:v>164</c:v>
                </c:pt>
                <c:pt idx="52">
                  <c:v>72</c:v>
                </c:pt>
                <c:pt idx="53">
                  <c:v>40</c:v>
                </c:pt>
                <c:pt idx="54">
                  <c:v>39</c:v>
                </c:pt>
                <c:pt idx="55">
                  <c:v>67</c:v>
                </c:pt>
                <c:pt idx="56">
                  <c:v>80</c:v>
                </c:pt>
                <c:pt idx="57">
                  <c:v>126</c:v>
                </c:pt>
                <c:pt idx="58">
                  <c:v>87</c:v>
                </c:pt>
                <c:pt idx="59">
                  <c:v>142</c:v>
                </c:pt>
                <c:pt idx="60">
                  <c:v>130</c:v>
                </c:pt>
                <c:pt idx="61">
                  <c:v>444</c:v>
                </c:pt>
                <c:pt idx="62">
                  <c:v>492</c:v>
                </c:pt>
                <c:pt idx="63">
                  <c:v>423</c:v>
                </c:pt>
                <c:pt idx="64">
                  <c:v>781</c:v>
                </c:pt>
                <c:pt idx="65">
                  <c:v>597</c:v>
                </c:pt>
                <c:pt idx="66">
                  <c:v>728</c:v>
                </c:pt>
                <c:pt idx="67">
                  <c:v>1300</c:v>
                </c:pt>
                <c:pt idx="68">
                  <c:v>1262</c:v>
                </c:pt>
                <c:pt idx="69">
                  <c:v>1005</c:v>
                </c:pt>
                <c:pt idx="70">
                  <c:v>332</c:v>
                </c:pt>
                <c:pt idx="71">
                  <c:v>50</c:v>
                </c:pt>
                <c:pt idx="72">
                  <c:v>78</c:v>
                </c:pt>
                <c:pt idx="73">
                  <c:v>20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4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4</c:v>
                </c:pt>
                <c:pt idx="120">
                  <c:v>1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4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2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3</c:v>
                </c:pt>
                <c:pt idx="176">
                  <c:v>0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'Top 5 Trajectories'!C4</c:f>
              <c:strCache>
                <c:ptCount val="1"/>
                <c:pt idx="0">
                  <c:v>How Is That NOT OUT?! 😳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5 Trajectories'!$A$5:$A$207</c:f>
              <c:strCache>
                <c:ptCount val="203"/>
                <c:pt idx="0">
                  <c:v>28-Nov-22</c:v>
                </c:pt>
                <c:pt idx="1">
                  <c:v>05-Dec-22</c:v>
                </c:pt>
                <c:pt idx="2">
                  <c:v>12-Dec-22</c:v>
                </c:pt>
                <c:pt idx="3">
                  <c:v>19-Dec-22</c:v>
                </c:pt>
                <c:pt idx="4">
                  <c:v>26-Dec-22</c:v>
                </c:pt>
                <c:pt idx="5">
                  <c:v>02-Jan-23</c:v>
                </c:pt>
                <c:pt idx="6">
                  <c:v>09-Jan-23</c:v>
                </c:pt>
                <c:pt idx="7">
                  <c:v>16-Jan-23</c:v>
                </c:pt>
                <c:pt idx="8">
                  <c:v>23-Jan-23</c:v>
                </c:pt>
                <c:pt idx="9">
                  <c:v>30-Jan-23</c:v>
                </c:pt>
                <c:pt idx="10">
                  <c:v>06-Feb-23</c:v>
                </c:pt>
                <c:pt idx="11">
                  <c:v>13-Feb-23</c:v>
                </c:pt>
                <c:pt idx="12">
                  <c:v>20-Feb-23</c:v>
                </c:pt>
                <c:pt idx="13">
                  <c:v>27-Feb-23</c:v>
                </c:pt>
                <c:pt idx="14">
                  <c:v>06-Mar-23</c:v>
                </c:pt>
                <c:pt idx="15">
                  <c:v>13-Mar-23</c:v>
                </c:pt>
                <c:pt idx="16">
                  <c:v>20-Mar-23</c:v>
                </c:pt>
                <c:pt idx="17">
                  <c:v>27-Mar-23</c:v>
                </c:pt>
                <c:pt idx="18">
                  <c:v>03-Apr-23</c:v>
                </c:pt>
                <c:pt idx="19">
                  <c:v>10-Apr-23</c:v>
                </c:pt>
                <c:pt idx="20">
                  <c:v>17-Apr-23</c:v>
                </c:pt>
                <c:pt idx="21">
                  <c:v>24-Apr-23</c:v>
                </c:pt>
                <c:pt idx="22">
                  <c:v>01-May-23</c:v>
                </c:pt>
                <c:pt idx="23">
                  <c:v>08-May-23</c:v>
                </c:pt>
                <c:pt idx="24">
                  <c:v>15-May-23</c:v>
                </c:pt>
                <c:pt idx="25">
                  <c:v>22-May-23</c:v>
                </c:pt>
                <c:pt idx="26">
                  <c:v>29-May-23</c:v>
                </c:pt>
                <c:pt idx="27">
                  <c:v>05-Jun-23</c:v>
                </c:pt>
                <c:pt idx="28">
                  <c:v>12-Jun-23</c:v>
                </c:pt>
                <c:pt idx="29">
                  <c:v>19-Jun-23</c:v>
                </c:pt>
                <c:pt idx="30">
                  <c:v>26-Jun-23</c:v>
                </c:pt>
                <c:pt idx="31">
                  <c:v>03-Jul-23</c:v>
                </c:pt>
                <c:pt idx="32">
                  <c:v>10-Jul-23</c:v>
                </c:pt>
                <c:pt idx="33">
                  <c:v>17-Jul-23</c:v>
                </c:pt>
                <c:pt idx="34">
                  <c:v>24-Jul-23</c:v>
                </c:pt>
                <c:pt idx="35">
                  <c:v>31-Jul-23</c:v>
                </c:pt>
                <c:pt idx="36">
                  <c:v>07-Aug-23</c:v>
                </c:pt>
                <c:pt idx="37">
                  <c:v>14-Aug-23</c:v>
                </c:pt>
                <c:pt idx="38">
                  <c:v>21-Aug-23</c:v>
                </c:pt>
                <c:pt idx="39">
                  <c:v>28-Aug-23</c:v>
                </c:pt>
                <c:pt idx="40">
                  <c:v>04-Sep-23</c:v>
                </c:pt>
                <c:pt idx="41">
                  <c:v>11-Sep-23</c:v>
                </c:pt>
                <c:pt idx="42">
                  <c:v>18-Sep-23</c:v>
                </c:pt>
                <c:pt idx="43">
                  <c:v>25-Sep-23</c:v>
                </c:pt>
                <c:pt idx="44">
                  <c:v>02-Oct-23</c:v>
                </c:pt>
                <c:pt idx="45">
                  <c:v>09-Oct-23</c:v>
                </c:pt>
                <c:pt idx="46">
                  <c:v>16-Oct-23</c:v>
                </c:pt>
                <c:pt idx="47">
                  <c:v>23-Oct-23</c:v>
                </c:pt>
                <c:pt idx="48">
                  <c:v>30-Oct-23</c:v>
                </c:pt>
                <c:pt idx="49">
                  <c:v>06-Nov-23</c:v>
                </c:pt>
                <c:pt idx="50">
                  <c:v>13-Nov-23</c:v>
                </c:pt>
                <c:pt idx="51">
                  <c:v>20-Nov-23</c:v>
                </c:pt>
                <c:pt idx="52">
                  <c:v>27-Nov-23</c:v>
                </c:pt>
                <c:pt idx="53">
                  <c:v>04-Dec-23</c:v>
                </c:pt>
                <c:pt idx="54">
                  <c:v>11-Dec-23</c:v>
                </c:pt>
                <c:pt idx="55">
                  <c:v>18-Dec-23</c:v>
                </c:pt>
                <c:pt idx="56">
                  <c:v>25-Dec-23</c:v>
                </c:pt>
                <c:pt idx="57">
                  <c:v>01-Jan-24</c:v>
                </c:pt>
                <c:pt idx="58">
                  <c:v>08-Jan-24</c:v>
                </c:pt>
                <c:pt idx="59">
                  <c:v>15-Jan-24</c:v>
                </c:pt>
                <c:pt idx="60">
                  <c:v>22-Jan-24</c:v>
                </c:pt>
                <c:pt idx="61">
                  <c:v>29-Jan-24</c:v>
                </c:pt>
                <c:pt idx="62">
                  <c:v>05-Feb-24</c:v>
                </c:pt>
                <c:pt idx="63">
                  <c:v>12-Feb-24</c:v>
                </c:pt>
                <c:pt idx="64">
                  <c:v>19-Feb-24</c:v>
                </c:pt>
                <c:pt idx="65">
                  <c:v>26-Feb-24</c:v>
                </c:pt>
                <c:pt idx="66">
                  <c:v>04-Mar-24</c:v>
                </c:pt>
                <c:pt idx="67">
                  <c:v>11-Mar-24</c:v>
                </c:pt>
                <c:pt idx="68">
                  <c:v>18-Mar-24</c:v>
                </c:pt>
                <c:pt idx="69">
                  <c:v>25-Mar-24</c:v>
                </c:pt>
                <c:pt idx="70">
                  <c:v>01-Apr-24</c:v>
                </c:pt>
                <c:pt idx="71">
                  <c:v>08-Apr-24</c:v>
                </c:pt>
                <c:pt idx="72">
                  <c:v>15-Apr-24</c:v>
                </c:pt>
                <c:pt idx="73">
                  <c:v>22-Apr-24</c:v>
                </c:pt>
                <c:pt idx="74">
                  <c:v>29-Apr-24</c:v>
                </c:pt>
                <c:pt idx="75">
                  <c:v>06-May-24</c:v>
                </c:pt>
                <c:pt idx="76">
                  <c:v>13-May-24</c:v>
                </c:pt>
                <c:pt idx="77">
                  <c:v>20-May-24</c:v>
                </c:pt>
                <c:pt idx="78">
                  <c:v>27-May-24</c:v>
                </c:pt>
                <c:pt idx="79">
                  <c:v>03-Jun-24</c:v>
                </c:pt>
                <c:pt idx="80">
                  <c:v>10-Jun-24</c:v>
                </c:pt>
                <c:pt idx="81">
                  <c:v>17-Jun-24</c:v>
                </c:pt>
                <c:pt idx="82">
                  <c:v>24-Jun-24</c:v>
                </c:pt>
                <c:pt idx="83">
                  <c:v>01-Jul-24</c:v>
                </c:pt>
                <c:pt idx="84">
                  <c:v>08-Jul-24</c:v>
                </c:pt>
                <c:pt idx="85">
                  <c:v>15-Jul-24</c:v>
                </c:pt>
                <c:pt idx="86">
                  <c:v>22-Jul-24</c:v>
                </c:pt>
                <c:pt idx="87">
                  <c:v>29-Jul-24</c:v>
                </c:pt>
                <c:pt idx="88">
                  <c:v>05-Aug-24</c:v>
                </c:pt>
                <c:pt idx="89">
                  <c:v>12-Aug-24</c:v>
                </c:pt>
                <c:pt idx="90">
                  <c:v>19-Aug-24</c:v>
                </c:pt>
                <c:pt idx="91">
                  <c:v>26-Aug-24</c:v>
                </c:pt>
                <c:pt idx="92">
                  <c:v>02-Sep-24</c:v>
                </c:pt>
                <c:pt idx="93">
                  <c:v>09-Sep-24</c:v>
                </c:pt>
                <c:pt idx="94">
                  <c:v>16-Sep-24</c:v>
                </c:pt>
                <c:pt idx="95">
                  <c:v>23-Sep-24</c:v>
                </c:pt>
                <c:pt idx="96">
                  <c:v>30-Sep-24</c:v>
                </c:pt>
                <c:pt idx="97">
                  <c:v>07-Oct-24</c:v>
                </c:pt>
                <c:pt idx="98">
                  <c:v>14-Oct-24</c:v>
                </c:pt>
                <c:pt idx="99">
                  <c:v>21-Oct-24</c:v>
                </c:pt>
                <c:pt idx="100">
                  <c:v>28-Oct-24</c:v>
                </c:pt>
                <c:pt idx="101">
                  <c:v>04-Nov-24</c:v>
                </c:pt>
                <c:pt idx="102">
                  <c:v>11-Nov-24</c:v>
                </c:pt>
                <c:pt idx="103">
                  <c:v>18-Nov-24</c:v>
                </c:pt>
                <c:pt idx="104">
                  <c:v>25-Nov-24</c:v>
                </c:pt>
                <c:pt idx="105">
                  <c:v>02-Dec-24</c:v>
                </c:pt>
                <c:pt idx="106">
                  <c:v>09-Dec-24</c:v>
                </c:pt>
                <c:pt idx="107">
                  <c:v>16-Dec-24</c:v>
                </c:pt>
                <c:pt idx="108">
                  <c:v>23-Dec-24</c:v>
                </c:pt>
                <c:pt idx="109">
                  <c:v>30-Dec-24</c:v>
                </c:pt>
                <c:pt idx="110">
                  <c:v>06-Jan-25</c:v>
                </c:pt>
                <c:pt idx="111">
                  <c:v>13-Jan-25</c:v>
                </c:pt>
                <c:pt idx="112">
                  <c:v>20-Jan-25</c:v>
                </c:pt>
                <c:pt idx="113">
                  <c:v>27-Jan-25</c:v>
                </c:pt>
                <c:pt idx="114">
                  <c:v>03-Feb-25</c:v>
                </c:pt>
                <c:pt idx="115">
                  <c:v>10-Feb-25</c:v>
                </c:pt>
                <c:pt idx="116">
                  <c:v>17-Feb-25</c:v>
                </c:pt>
                <c:pt idx="117">
                  <c:v>24-Feb-25</c:v>
                </c:pt>
                <c:pt idx="118">
                  <c:v>03-Mar-25</c:v>
                </c:pt>
                <c:pt idx="119">
                  <c:v>10-Mar-25</c:v>
                </c:pt>
                <c:pt idx="120">
                  <c:v>17-Mar-25</c:v>
                </c:pt>
                <c:pt idx="121">
                  <c:v>24-Mar-25</c:v>
                </c:pt>
                <c:pt idx="122">
                  <c:v>31-Mar-25</c:v>
                </c:pt>
                <c:pt idx="123">
                  <c:v>07-Apr-25</c:v>
                </c:pt>
                <c:pt idx="124">
                  <c:v>14-Apr-25</c:v>
                </c:pt>
                <c:pt idx="125">
                  <c:v>21-Apr-25</c:v>
                </c:pt>
                <c:pt idx="126">
                  <c:v>28-Apr-25</c:v>
                </c:pt>
                <c:pt idx="127">
                  <c:v>05-May-25</c:v>
                </c:pt>
                <c:pt idx="128">
                  <c:v>12-May-25</c:v>
                </c:pt>
                <c:pt idx="129">
                  <c:v>19-May-25</c:v>
                </c:pt>
                <c:pt idx="130">
                  <c:v>26-May-25</c:v>
                </c:pt>
                <c:pt idx="131">
                  <c:v>02-Jun-25</c:v>
                </c:pt>
                <c:pt idx="132">
                  <c:v>09-Jun-25</c:v>
                </c:pt>
                <c:pt idx="133">
                  <c:v>16-Jun-25</c:v>
                </c:pt>
                <c:pt idx="134">
                  <c:v>23-Jun-25</c:v>
                </c:pt>
                <c:pt idx="135">
                  <c:v>30-Jun-25</c:v>
                </c:pt>
                <c:pt idx="136">
                  <c:v>07-Jul-25</c:v>
                </c:pt>
                <c:pt idx="137">
                  <c:v>14-Jul-25</c:v>
                </c:pt>
                <c:pt idx="138">
                  <c:v>21-Jul-25</c:v>
                </c:pt>
                <c:pt idx="139">
                  <c:v>28-Jul-25</c:v>
                </c:pt>
                <c:pt idx="140">
                  <c:v>04-Aug-25</c:v>
                </c:pt>
                <c:pt idx="141">
                  <c:v>11-Aug-25</c:v>
                </c:pt>
                <c:pt idx="142">
                  <c:v>18-Aug-25</c:v>
                </c:pt>
                <c:pt idx="143">
                  <c:v>25-Aug-25</c:v>
                </c:pt>
                <c:pt idx="144">
                  <c:v>01-Sep-25</c:v>
                </c:pt>
                <c:pt idx="145">
                  <c:v>08-Sep-25</c:v>
                </c:pt>
                <c:pt idx="146">
                  <c:v>15-Sep-25</c:v>
                </c:pt>
                <c:pt idx="147">
                  <c:v>22-Sep-25</c:v>
                </c:pt>
                <c:pt idx="148">
                  <c:v>29-Sep-25</c:v>
                </c:pt>
                <c:pt idx="149">
                  <c:v>06-Oct-25</c:v>
                </c:pt>
                <c:pt idx="150">
                  <c:v>13-Oct-25</c:v>
                </c:pt>
                <c:pt idx="151">
                  <c:v>20-Oct-25</c:v>
                </c:pt>
                <c:pt idx="152">
                  <c:v>27-Oct-25</c:v>
                </c:pt>
                <c:pt idx="153">
                  <c:v>03-Nov-25</c:v>
                </c:pt>
                <c:pt idx="154">
                  <c:v>10-Nov-25</c:v>
                </c:pt>
                <c:pt idx="155">
                  <c:v>17-Nov-25</c:v>
                </c:pt>
                <c:pt idx="156">
                  <c:v>24-Nov-25</c:v>
                </c:pt>
                <c:pt idx="157">
                  <c:v>01-Dec-25</c:v>
                </c:pt>
                <c:pt idx="158">
                  <c:v>08-Dec-25</c:v>
                </c:pt>
                <c:pt idx="159">
                  <c:v>15-Dec-25</c:v>
                </c:pt>
                <c:pt idx="160">
                  <c:v>22-Dec-25</c:v>
                </c:pt>
                <c:pt idx="161">
                  <c:v>29-Dec-25</c:v>
                </c:pt>
                <c:pt idx="162">
                  <c:v>05-Jan-26</c:v>
                </c:pt>
                <c:pt idx="163">
                  <c:v>12-Jan-26</c:v>
                </c:pt>
                <c:pt idx="164">
                  <c:v>19-Jan-26</c:v>
                </c:pt>
                <c:pt idx="165">
                  <c:v>26-Jan-26</c:v>
                </c:pt>
                <c:pt idx="166">
                  <c:v>02-Feb-26</c:v>
                </c:pt>
                <c:pt idx="167">
                  <c:v>09-Feb-26</c:v>
                </c:pt>
                <c:pt idx="168">
                  <c:v>16-Feb-26</c:v>
                </c:pt>
                <c:pt idx="169">
                  <c:v>23-Feb-26</c:v>
                </c:pt>
                <c:pt idx="170">
                  <c:v>02-Mar-26</c:v>
                </c:pt>
                <c:pt idx="171">
                  <c:v>09-Mar-26</c:v>
                </c:pt>
                <c:pt idx="172">
                  <c:v>16-Mar-26</c:v>
                </c:pt>
                <c:pt idx="173">
                  <c:v>23-Mar-26</c:v>
                </c:pt>
                <c:pt idx="174">
                  <c:v>30-Mar-26</c:v>
                </c:pt>
                <c:pt idx="175">
                  <c:v>06-Apr-26</c:v>
                </c:pt>
                <c:pt idx="176">
                  <c:v>13-Apr-26</c:v>
                </c:pt>
                <c:pt idx="177">
                  <c:v>20-Apr-26</c:v>
                </c:pt>
                <c:pt idx="178">
                  <c:v>27-Apr-26</c:v>
                </c:pt>
                <c:pt idx="179">
                  <c:v>04-May-26</c:v>
                </c:pt>
                <c:pt idx="180">
                  <c:v>11-May-26</c:v>
                </c:pt>
                <c:pt idx="181">
                  <c:v>18-May-26</c:v>
                </c:pt>
                <c:pt idx="182">
                  <c:v>25-May-26</c:v>
                </c:pt>
                <c:pt idx="183">
                  <c:v>01-Jun-26</c:v>
                </c:pt>
                <c:pt idx="184">
                  <c:v>08-Jun-26</c:v>
                </c:pt>
                <c:pt idx="185">
                  <c:v>15-Jun-26</c:v>
                </c:pt>
                <c:pt idx="186">
                  <c:v>22-Jun-26</c:v>
                </c:pt>
                <c:pt idx="187">
                  <c:v>29-Jun-26</c:v>
                </c:pt>
                <c:pt idx="188">
                  <c:v>06-Jul-26</c:v>
                </c:pt>
                <c:pt idx="189">
                  <c:v>13-Jul-26</c:v>
                </c:pt>
                <c:pt idx="190">
                  <c:v>20-Jul-26</c:v>
                </c:pt>
                <c:pt idx="191">
                  <c:v>27-Jul-26</c:v>
                </c:pt>
                <c:pt idx="192">
                  <c:v>03-Aug-26</c:v>
                </c:pt>
                <c:pt idx="193">
                  <c:v>10-Aug-26</c:v>
                </c:pt>
                <c:pt idx="194">
                  <c:v>17-Aug-26</c:v>
                </c:pt>
                <c:pt idx="195">
                  <c:v>24-Aug-26</c:v>
                </c:pt>
                <c:pt idx="196">
                  <c:v>31-Aug-26</c:v>
                </c:pt>
                <c:pt idx="197">
                  <c:v>07-Sep-26</c:v>
                </c:pt>
                <c:pt idx="198">
                  <c:v>14-Sep-26</c:v>
                </c:pt>
                <c:pt idx="199">
                  <c:v>21-Sep-26</c:v>
                </c:pt>
                <c:pt idx="200">
                  <c:v>28-Sep-26</c:v>
                </c:pt>
                <c:pt idx="201">
                  <c:v>05-Oct-26</c:v>
                </c:pt>
                <c:pt idx="202">
                  <c:v>12-Oct-26</c:v>
                </c:pt>
              </c:strCache>
            </c:strRef>
          </c:cat>
          <c:val>
            <c:numRef>
              <c:f>'Top 5 Trajectories'!$C$5:$C$207</c:f>
              <c:numCache>
                <c:formatCode>#,##0</c:formatCode>
                <c:ptCount val="2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1856</c:v>
                </c:pt>
                <c:pt idx="157">
                  <c:v>148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2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'Top 5 Trajectories'!D4</c:f>
              <c:strCache>
                <c:ptCount val="1"/>
                <c:pt idx="0">
                  <c:v>counter strike condition zero#counterstrike#counterstrikeconditionzero#shorts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5 Trajectories'!$A$5:$A$207</c:f>
              <c:strCache>
                <c:ptCount val="203"/>
                <c:pt idx="0">
                  <c:v>28-Nov-22</c:v>
                </c:pt>
                <c:pt idx="1">
                  <c:v>05-Dec-22</c:v>
                </c:pt>
                <c:pt idx="2">
                  <c:v>12-Dec-22</c:v>
                </c:pt>
                <c:pt idx="3">
                  <c:v>19-Dec-22</c:v>
                </c:pt>
                <c:pt idx="4">
                  <c:v>26-Dec-22</c:v>
                </c:pt>
                <c:pt idx="5">
                  <c:v>02-Jan-23</c:v>
                </c:pt>
                <c:pt idx="6">
                  <c:v>09-Jan-23</c:v>
                </c:pt>
                <c:pt idx="7">
                  <c:v>16-Jan-23</c:v>
                </c:pt>
                <c:pt idx="8">
                  <c:v>23-Jan-23</c:v>
                </c:pt>
                <c:pt idx="9">
                  <c:v>30-Jan-23</c:v>
                </c:pt>
                <c:pt idx="10">
                  <c:v>06-Feb-23</c:v>
                </c:pt>
                <c:pt idx="11">
                  <c:v>13-Feb-23</c:v>
                </c:pt>
                <c:pt idx="12">
                  <c:v>20-Feb-23</c:v>
                </c:pt>
                <c:pt idx="13">
                  <c:v>27-Feb-23</c:v>
                </c:pt>
                <c:pt idx="14">
                  <c:v>06-Mar-23</c:v>
                </c:pt>
                <c:pt idx="15">
                  <c:v>13-Mar-23</c:v>
                </c:pt>
                <c:pt idx="16">
                  <c:v>20-Mar-23</c:v>
                </c:pt>
                <c:pt idx="17">
                  <c:v>27-Mar-23</c:v>
                </c:pt>
                <c:pt idx="18">
                  <c:v>03-Apr-23</c:v>
                </c:pt>
                <c:pt idx="19">
                  <c:v>10-Apr-23</c:v>
                </c:pt>
                <c:pt idx="20">
                  <c:v>17-Apr-23</c:v>
                </c:pt>
                <c:pt idx="21">
                  <c:v>24-Apr-23</c:v>
                </c:pt>
                <c:pt idx="22">
                  <c:v>01-May-23</c:v>
                </c:pt>
                <c:pt idx="23">
                  <c:v>08-May-23</c:v>
                </c:pt>
                <c:pt idx="24">
                  <c:v>15-May-23</c:v>
                </c:pt>
                <c:pt idx="25">
                  <c:v>22-May-23</c:v>
                </c:pt>
                <c:pt idx="26">
                  <c:v>29-May-23</c:v>
                </c:pt>
                <c:pt idx="27">
                  <c:v>05-Jun-23</c:v>
                </c:pt>
                <c:pt idx="28">
                  <c:v>12-Jun-23</c:v>
                </c:pt>
                <c:pt idx="29">
                  <c:v>19-Jun-23</c:v>
                </c:pt>
                <c:pt idx="30">
                  <c:v>26-Jun-23</c:v>
                </c:pt>
                <c:pt idx="31">
                  <c:v>03-Jul-23</c:v>
                </c:pt>
                <c:pt idx="32">
                  <c:v>10-Jul-23</c:v>
                </c:pt>
                <c:pt idx="33">
                  <c:v>17-Jul-23</c:v>
                </c:pt>
                <c:pt idx="34">
                  <c:v>24-Jul-23</c:v>
                </c:pt>
                <c:pt idx="35">
                  <c:v>31-Jul-23</c:v>
                </c:pt>
                <c:pt idx="36">
                  <c:v>07-Aug-23</c:v>
                </c:pt>
                <c:pt idx="37">
                  <c:v>14-Aug-23</c:v>
                </c:pt>
                <c:pt idx="38">
                  <c:v>21-Aug-23</c:v>
                </c:pt>
                <c:pt idx="39">
                  <c:v>28-Aug-23</c:v>
                </c:pt>
                <c:pt idx="40">
                  <c:v>04-Sep-23</c:v>
                </c:pt>
                <c:pt idx="41">
                  <c:v>11-Sep-23</c:v>
                </c:pt>
                <c:pt idx="42">
                  <c:v>18-Sep-23</c:v>
                </c:pt>
                <c:pt idx="43">
                  <c:v>25-Sep-23</c:v>
                </c:pt>
                <c:pt idx="44">
                  <c:v>02-Oct-23</c:v>
                </c:pt>
                <c:pt idx="45">
                  <c:v>09-Oct-23</c:v>
                </c:pt>
                <c:pt idx="46">
                  <c:v>16-Oct-23</c:v>
                </c:pt>
                <c:pt idx="47">
                  <c:v>23-Oct-23</c:v>
                </c:pt>
                <c:pt idx="48">
                  <c:v>30-Oct-23</c:v>
                </c:pt>
                <c:pt idx="49">
                  <c:v>06-Nov-23</c:v>
                </c:pt>
                <c:pt idx="50">
                  <c:v>13-Nov-23</c:v>
                </c:pt>
                <c:pt idx="51">
                  <c:v>20-Nov-23</c:v>
                </c:pt>
                <c:pt idx="52">
                  <c:v>27-Nov-23</c:v>
                </c:pt>
                <c:pt idx="53">
                  <c:v>04-Dec-23</c:v>
                </c:pt>
                <c:pt idx="54">
                  <c:v>11-Dec-23</c:v>
                </c:pt>
                <c:pt idx="55">
                  <c:v>18-Dec-23</c:v>
                </c:pt>
                <c:pt idx="56">
                  <c:v>25-Dec-23</c:v>
                </c:pt>
                <c:pt idx="57">
                  <c:v>01-Jan-24</c:v>
                </c:pt>
                <c:pt idx="58">
                  <c:v>08-Jan-24</c:v>
                </c:pt>
                <c:pt idx="59">
                  <c:v>15-Jan-24</c:v>
                </c:pt>
                <c:pt idx="60">
                  <c:v>22-Jan-24</c:v>
                </c:pt>
                <c:pt idx="61">
                  <c:v>29-Jan-24</c:v>
                </c:pt>
                <c:pt idx="62">
                  <c:v>05-Feb-24</c:v>
                </c:pt>
                <c:pt idx="63">
                  <c:v>12-Feb-24</c:v>
                </c:pt>
                <c:pt idx="64">
                  <c:v>19-Feb-24</c:v>
                </c:pt>
                <c:pt idx="65">
                  <c:v>26-Feb-24</c:v>
                </c:pt>
                <c:pt idx="66">
                  <c:v>04-Mar-24</c:v>
                </c:pt>
                <c:pt idx="67">
                  <c:v>11-Mar-24</c:v>
                </c:pt>
                <c:pt idx="68">
                  <c:v>18-Mar-24</c:v>
                </c:pt>
                <c:pt idx="69">
                  <c:v>25-Mar-24</c:v>
                </c:pt>
                <c:pt idx="70">
                  <c:v>01-Apr-24</c:v>
                </c:pt>
                <c:pt idx="71">
                  <c:v>08-Apr-24</c:v>
                </c:pt>
                <c:pt idx="72">
                  <c:v>15-Apr-24</c:v>
                </c:pt>
                <c:pt idx="73">
                  <c:v>22-Apr-24</c:v>
                </c:pt>
                <c:pt idx="74">
                  <c:v>29-Apr-24</c:v>
                </c:pt>
                <c:pt idx="75">
                  <c:v>06-May-24</c:v>
                </c:pt>
                <c:pt idx="76">
                  <c:v>13-May-24</c:v>
                </c:pt>
                <c:pt idx="77">
                  <c:v>20-May-24</c:v>
                </c:pt>
                <c:pt idx="78">
                  <c:v>27-May-24</c:v>
                </c:pt>
                <c:pt idx="79">
                  <c:v>03-Jun-24</c:v>
                </c:pt>
                <c:pt idx="80">
                  <c:v>10-Jun-24</c:v>
                </c:pt>
                <c:pt idx="81">
                  <c:v>17-Jun-24</c:v>
                </c:pt>
                <c:pt idx="82">
                  <c:v>24-Jun-24</c:v>
                </c:pt>
                <c:pt idx="83">
                  <c:v>01-Jul-24</c:v>
                </c:pt>
                <c:pt idx="84">
                  <c:v>08-Jul-24</c:v>
                </c:pt>
                <c:pt idx="85">
                  <c:v>15-Jul-24</c:v>
                </c:pt>
                <c:pt idx="86">
                  <c:v>22-Jul-24</c:v>
                </c:pt>
                <c:pt idx="87">
                  <c:v>29-Jul-24</c:v>
                </c:pt>
                <c:pt idx="88">
                  <c:v>05-Aug-24</c:v>
                </c:pt>
                <c:pt idx="89">
                  <c:v>12-Aug-24</c:v>
                </c:pt>
                <c:pt idx="90">
                  <c:v>19-Aug-24</c:v>
                </c:pt>
                <c:pt idx="91">
                  <c:v>26-Aug-24</c:v>
                </c:pt>
                <c:pt idx="92">
                  <c:v>02-Sep-24</c:v>
                </c:pt>
                <c:pt idx="93">
                  <c:v>09-Sep-24</c:v>
                </c:pt>
                <c:pt idx="94">
                  <c:v>16-Sep-24</c:v>
                </c:pt>
                <c:pt idx="95">
                  <c:v>23-Sep-24</c:v>
                </c:pt>
                <c:pt idx="96">
                  <c:v>30-Sep-24</c:v>
                </c:pt>
                <c:pt idx="97">
                  <c:v>07-Oct-24</c:v>
                </c:pt>
                <c:pt idx="98">
                  <c:v>14-Oct-24</c:v>
                </c:pt>
                <c:pt idx="99">
                  <c:v>21-Oct-24</c:v>
                </c:pt>
                <c:pt idx="100">
                  <c:v>28-Oct-24</c:v>
                </c:pt>
                <c:pt idx="101">
                  <c:v>04-Nov-24</c:v>
                </c:pt>
                <c:pt idx="102">
                  <c:v>11-Nov-24</c:v>
                </c:pt>
                <c:pt idx="103">
                  <c:v>18-Nov-24</c:v>
                </c:pt>
                <c:pt idx="104">
                  <c:v>25-Nov-24</c:v>
                </c:pt>
                <c:pt idx="105">
                  <c:v>02-Dec-24</c:v>
                </c:pt>
                <c:pt idx="106">
                  <c:v>09-Dec-24</c:v>
                </c:pt>
                <c:pt idx="107">
                  <c:v>16-Dec-24</c:v>
                </c:pt>
                <c:pt idx="108">
                  <c:v>23-Dec-24</c:v>
                </c:pt>
                <c:pt idx="109">
                  <c:v>30-Dec-24</c:v>
                </c:pt>
                <c:pt idx="110">
                  <c:v>06-Jan-25</c:v>
                </c:pt>
                <c:pt idx="111">
                  <c:v>13-Jan-25</c:v>
                </c:pt>
                <c:pt idx="112">
                  <c:v>20-Jan-25</c:v>
                </c:pt>
                <c:pt idx="113">
                  <c:v>27-Jan-25</c:v>
                </c:pt>
                <c:pt idx="114">
                  <c:v>03-Feb-25</c:v>
                </c:pt>
                <c:pt idx="115">
                  <c:v>10-Feb-25</c:v>
                </c:pt>
                <c:pt idx="116">
                  <c:v>17-Feb-25</c:v>
                </c:pt>
                <c:pt idx="117">
                  <c:v>24-Feb-25</c:v>
                </c:pt>
                <c:pt idx="118">
                  <c:v>03-Mar-25</c:v>
                </c:pt>
                <c:pt idx="119">
                  <c:v>10-Mar-25</c:v>
                </c:pt>
                <c:pt idx="120">
                  <c:v>17-Mar-25</c:v>
                </c:pt>
                <c:pt idx="121">
                  <c:v>24-Mar-25</c:v>
                </c:pt>
                <c:pt idx="122">
                  <c:v>31-Mar-25</c:v>
                </c:pt>
                <c:pt idx="123">
                  <c:v>07-Apr-25</c:v>
                </c:pt>
                <c:pt idx="124">
                  <c:v>14-Apr-25</c:v>
                </c:pt>
                <c:pt idx="125">
                  <c:v>21-Apr-25</c:v>
                </c:pt>
                <c:pt idx="126">
                  <c:v>28-Apr-25</c:v>
                </c:pt>
                <c:pt idx="127">
                  <c:v>05-May-25</c:v>
                </c:pt>
                <c:pt idx="128">
                  <c:v>12-May-25</c:v>
                </c:pt>
                <c:pt idx="129">
                  <c:v>19-May-25</c:v>
                </c:pt>
                <c:pt idx="130">
                  <c:v>26-May-25</c:v>
                </c:pt>
                <c:pt idx="131">
                  <c:v>02-Jun-25</c:v>
                </c:pt>
                <c:pt idx="132">
                  <c:v>09-Jun-25</c:v>
                </c:pt>
                <c:pt idx="133">
                  <c:v>16-Jun-25</c:v>
                </c:pt>
                <c:pt idx="134">
                  <c:v>23-Jun-25</c:v>
                </c:pt>
                <c:pt idx="135">
                  <c:v>30-Jun-25</c:v>
                </c:pt>
                <c:pt idx="136">
                  <c:v>07-Jul-25</c:v>
                </c:pt>
                <c:pt idx="137">
                  <c:v>14-Jul-25</c:v>
                </c:pt>
                <c:pt idx="138">
                  <c:v>21-Jul-25</c:v>
                </c:pt>
                <c:pt idx="139">
                  <c:v>28-Jul-25</c:v>
                </c:pt>
                <c:pt idx="140">
                  <c:v>04-Aug-25</c:v>
                </c:pt>
                <c:pt idx="141">
                  <c:v>11-Aug-25</c:v>
                </c:pt>
                <c:pt idx="142">
                  <c:v>18-Aug-25</c:v>
                </c:pt>
                <c:pt idx="143">
                  <c:v>25-Aug-25</c:v>
                </c:pt>
                <c:pt idx="144">
                  <c:v>01-Sep-25</c:v>
                </c:pt>
                <c:pt idx="145">
                  <c:v>08-Sep-25</c:v>
                </c:pt>
                <c:pt idx="146">
                  <c:v>15-Sep-25</c:v>
                </c:pt>
                <c:pt idx="147">
                  <c:v>22-Sep-25</c:v>
                </c:pt>
                <c:pt idx="148">
                  <c:v>29-Sep-25</c:v>
                </c:pt>
                <c:pt idx="149">
                  <c:v>06-Oct-25</c:v>
                </c:pt>
                <c:pt idx="150">
                  <c:v>13-Oct-25</c:v>
                </c:pt>
                <c:pt idx="151">
                  <c:v>20-Oct-25</c:v>
                </c:pt>
                <c:pt idx="152">
                  <c:v>27-Oct-25</c:v>
                </c:pt>
                <c:pt idx="153">
                  <c:v>03-Nov-25</c:v>
                </c:pt>
                <c:pt idx="154">
                  <c:v>10-Nov-25</c:v>
                </c:pt>
                <c:pt idx="155">
                  <c:v>17-Nov-25</c:v>
                </c:pt>
                <c:pt idx="156">
                  <c:v>24-Nov-25</c:v>
                </c:pt>
                <c:pt idx="157">
                  <c:v>01-Dec-25</c:v>
                </c:pt>
                <c:pt idx="158">
                  <c:v>08-Dec-25</c:v>
                </c:pt>
                <c:pt idx="159">
                  <c:v>15-Dec-25</c:v>
                </c:pt>
                <c:pt idx="160">
                  <c:v>22-Dec-25</c:v>
                </c:pt>
                <c:pt idx="161">
                  <c:v>29-Dec-25</c:v>
                </c:pt>
                <c:pt idx="162">
                  <c:v>05-Jan-26</c:v>
                </c:pt>
                <c:pt idx="163">
                  <c:v>12-Jan-26</c:v>
                </c:pt>
                <c:pt idx="164">
                  <c:v>19-Jan-26</c:v>
                </c:pt>
                <c:pt idx="165">
                  <c:v>26-Jan-26</c:v>
                </c:pt>
                <c:pt idx="166">
                  <c:v>02-Feb-26</c:v>
                </c:pt>
                <c:pt idx="167">
                  <c:v>09-Feb-26</c:v>
                </c:pt>
                <c:pt idx="168">
                  <c:v>16-Feb-26</c:v>
                </c:pt>
                <c:pt idx="169">
                  <c:v>23-Feb-26</c:v>
                </c:pt>
                <c:pt idx="170">
                  <c:v>02-Mar-26</c:v>
                </c:pt>
                <c:pt idx="171">
                  <c:v>09-Mar-26</c:v>
                </c:pt>
                <c:pt idx="172">
                  <c:v>16-Mar-26</c:v>
                </c:pt>
                <c:pt idx="173">
                  <c:v>23-Mar-26</c:v>
                </c:pt>
                <c:pt idx="174">
                  <c:v>30-Mar-26</c:v>
                </c:pt>
                <c:pt idx="175">
                  <c:v>06-Apr-26</c:v>
                </c:pt>
                <c:pt idx="176">
                  <c:v>13-Apr-26</c:v>
                </c:pt>
                <c:pt idx="177">
                  <c:v>20-Apr-26</c:v>
                </c:pt>
                <c:pt idx="178">
                  <c:v>27-Apr-26</c:v>
                </c:pt>
                <c:pt idx="179">
                  <c:v>04-May-26</c:v>
                </c:pt>
                <c:pt idx="180">
                  <c:v>11-May-26</c:v>
                </c:pt>
                <c:pt idx="181">
                  <c:v>18-May-26</c:v>
                </c:pt>
                <c:pt idx="182">
                  <c:v>25-May-26</c:v>
                </c:pt>
                <c:pt idx="183">
                  <c:v>01-Jun-26</c:v>
                </c:pt>
                <c:pt idx="184">
                  <c:v>08-Jun-26</c:v>
                </c:pt>
                <c:pt idx="185">
                  <c:v>15-Jun-26</c:v>
                </c:pt>
                <c:pt idx="186">
                  <c:v>22-Jun-26</c:v>
                </c:pt>
                <c:pt idx="187">
                  <c:v>29-Jun-26</c:v>
                </c:pt>
                <c:pt idx="188">
                  <c:v>06-Jul-26</c:v>
                </c:pt>
                <c:pt idx="189">
                  <c:v>13-Jul-26</c:v>
                </c:pt>
                <c:pt idx="190">
                  <c:v>20-Jul-26</c:v>
                </c:pt>
                <c:pt idx="191">
                  <c:v>27-Jul-26</c:v>
                </c:pt>
                <c:pt idx="192">
                  <c:v>03-Aug-26</c:v>
                </c:pt>
                <c:pt idx="193">
                  <c:v>10-Aug-26</c:v>
                </c:pt>
                <c:pt idx="194">
                  <c:v>17-Aug-26</c:v>
                </c:pt>
                <c:pt idx="195">
                  <c:v>24-Aug-26</c:v>
                </c:pt>
                <c:pt idx="196">
                  <c:v>31-Aug-26</c:v>
                </c:pt>
                <c:pt idx="197">
                  <c:v>07-Sep-26</c:v>
                </c:pt>
                <c:pt idx="198">
                  <c:v>14-Sep-26</c:v>
                </c:pt>
                <c:pt idx="199">
                  <c:v>21-Sep-26</c:v>
                </c:pt>
                <c:pt idx="200">
                  <c:v>28-Sep-26</c:v>
                </c:pt>
                <c:pt idx="201">
                  <c:v>05-Oct-26</c:v>
                </c:pt>
                <c:pt idx="202">
                  <c:v>12-Oct-26</c:v>
                </c:pt>
              </c:strCache>
            </c:strRef>
          </c:cat>
          <c:val>
            <c:numRef>
              <c:f>'Top 5 Trajectories'!$D$5:$D$207</c:f>
              <c:numCache>
                <c:formatCode>#,##0</c:formatCode>
                <c:ptCount val="203"/>
                <c:pt idx="0">
                  <c:v>0</c:v>
                </c:pt>
                <c:pt idx="1">
                  <c:v>1553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2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2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10</c:v>
                </c:pt>
                <c:pt idx="85">
                  <c:v>2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'Top 5 Trajectories'!E4</c:f>
              <c:strCache>
                <c:ptCount val="1"/>
                <c:pt idx="0">
                  <c:v>The Calm Before LBW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5 Trajectories'!$A$5:$A$207</c:f>
              <c:strCache>
                <c:ptCount val="203"/>
                <c:pt idx="0">
                  <c:v>28-Nov-22</c:v>
                </c:pt>
                <c:pt idx="1">
                  <c:v>05-Dec-22</c:v>
                </c:pt>
                <c:pt idx="2">
                  <c:v>12-Dec-22</c:v>
                </c:pt>
                <c:pt idx="3">
                  <c:v>19-Dec-22</c:v>
                </c:pt>
                <c:pt idx="4">
                  <c:v>26-Dec-22</c:v>
                </c:pt>
                <c:pt idx="5">
                  <c:v>02-Jan-23</c:v>
                </c:pt>
                <c:pt idx="6">
                  <c:v>09-Jan-23</c:v>
                </c:pt>
                <c:pt idx="7">
                  <c:v>16-Jan-23</c:v>
                </c:pt>
                <c:pt idx="8">
                  <c:v>23-Jan-23</c:v>
                </c:pt>
                <c:pt idx="9">
                  <c:v>30-Jan-23</c:v>
                </c:pt>
                <c:pt idx="10">
                  <c:v>06-Feb-23</c:v>
                </c:pt>
                <c:pt idx="11">
                  <c:v>13-Feb-23</c:v>
                </c:pt>
                <c:pt idx="12">
                  <c:v>20-Feb-23</c:v>
                </c:pt>
                <c:pt idx="13">
                  <c:v>27-Feb-23</c:v>
                </c:pt>
                <c:pt idx="14">
                  <c:v>06-Mar-23</c:v>
                </c:pt>
                <c:pt idx="15">
                  <c:v>13-Mar-23</c:v>
                </c:pt>
                <c:pt idx="16">
                  <c:v>20-Mar-23</c:v>
                </c:pt>
                <c:pt idx="17">
                  <c:v>27-Mar-23</c:v>
                </c:pt>
                <c:pt idx="18">
                  <c:v>03-Apr-23</c:v>
                </c:pt>
                <c:pt idx="19">
                  <c:v>10-Apr-23</c:v>
                </c:pt>
                <c:pt idx="20">
                  <c:v>17-Apr-23</c:v>
                </c:pt>
                <c:pt idx="21">
                  <c:v>24-Apr-23</c:v>
                </c:pt>
                <c:pt idx="22">
                  <c:v>01-May-23</c:v>
                </c:pt>
                <c:pt idx="23">
                  <c:v>08-May-23</c:v>
                </c:pt>
                <c:pt idx="24">
                  <c:v>15-May-23</c:v>
                </c:pt>
                <c:pt idx="25">
                  <c:v>22-May-23</c:v>
                </c:pt>
                <c:pt idx="26">
                  <c:v>29-May-23</c:v>
                </c:pt>
                <c:pt idx="27">
                  <c:v>05-Jun-23</c:v>
                </c:pt>
                <c:pt idx="28">
                  <c:v>12-Jun-23</c:v>
                </c:pt>
                <c:pt idx="29">
                  <c:v>19-Jun-23</c:v>
                </c:pt>
                <c:pt idx="30">
                  <c:v>26-Jun-23</c:v>
                </c:pt>
                <c:pt idx="31">
                  <c:v>03-Jul-23</c:v>
                </c:pt>
                <c:pt idx="32">
                  <c:v>10-Jul-23</c:v>
                </c:pt>
                <c:pt idx="33">
                  <c:v>17-Jul-23</c:v>
                </c:pt>
                <c:pt idx="34">
                  <c:v>24-Jul-23</c:v>
                </c:pt>
                <c:pt idx="35">
                  <c:v>31-Jul-23</c:v>
                </c:pt>
                <c:pt idx="36">
                  <c:v>07-Aug-23</c:v>
                </c:pt>
                <c:pt idx="37">
                  <c:v>14-Aug-23</c:v>
                </c:pt>
                <c:pt idx="38">
                  <c:v>21-Aug-23</c:v>
                </c:pt>
                <c:pt idx="39">
                  <c:v>28-Aug-23</c:v>
                </c:pt>
                <c:pt idx="40">
                  <c:v>04-Sep-23</c:v>
                </c:pt>
                <c:pt idx="41">
                  <c:v>11-Sep-23</c:v>
                </c:pt>
                <c:pt idx="42">
                  <c:v>18-Sep-23</c:v>
                </c:pt>
                <c:pt idx="43">
                  <c:v>25-Sep-23</c:v>
                </c:pt>
                <c:pt idx="44">
                  <c:v>02-Oct-23</c:v>
                </c:pt>
                <c:pt idx="45">
                  <c:v>09-Oct-23</c:v>
                </c:pt>
                <c:pt idx="46">
                  <c:v>16-Oct-23</c:v>
                </c:pt>
                <c:pt idx="47">
                  <c:v>23-Oct-23</c:v>
                </c:pt>
                <c:pt idx="48">
                  <c:v>30-Oct-23</c:v>
                </c:pt>
                <c:pt idx="49">
                  <c:v>06-Nov-23</c:v>
                </c:pt>
                <c:pt idx="50">
                  <c:v>13-Nov-23</c:v>
                </c:pt>
                <c:pt idx="51">
                  <c:v>20-Nov-23</c:v>
                </c:pt>
                <c:pt idx="52">
                  <c:v>27-Nov-23</c:v>
                </c:pt>
                <c:pt idx="53">
                  <c:v>04-Dec-23</c:v>
                </c:pt>
                <c:pt idx="54">
                  <c:v>11-Dec-23</c:v>
                </c:pt>
                <c:pt idx="55">
                  <c:v>18-Dec-23</c:v>
                </c:pt>
                <c:pt idx="56">
                  <c:v>25-Dec-23</c:v>
                </c:pt>
                <c:pt idx="57">
                  <c:v>01-Jan-24</c:v>
                </c:pt>
                <c:pt idx="58">
                  <c:v>08-Jan-24</c:v>
                </c:pt>
                <c:pt idx="59">
                  <c:v>15-Jan-24</c:v>
                </c:pt>
                <c:pt idx="60">
                  <c:v>22-Jan-24</c:v>
                </c:pt>
                <c:pt idx="61">
                  <c:v>29-Jan-24</c:v>
                </c:pt>
                <c:pt idx="62">
                  <c:v>05-Feb-24</c:v>
                </c:pt>
                <c:pt idx="63">
                  <c:v>12-Feb-24</c:v>
                </c:pt>
                <c:pt idx="64">
                  <c:v>19-Feb-24</c:v>
                </c:pt>
                <c:pt idx="65">
                  <c:v>26-Feb-24</c:v>
                </c:pt>
                <c:pt idx="66">
                  <c:v>04-Mar-24</c:v>
                </c:pt>
                <c:pt idx="67">
                  <c:v>11-Mar-24</c:v>
                </c:pt>
                <c:pt idx="68">
                  <c:v>18-Mar-24</c:v>
                </c:pt>
                <c:pt idx="69">
                  <c:v>25-Mar-24</c:v>
                </c:pt>
                <c:pt idx="70">
                  <c:v>01-Apr-24</c:v>
                </c:pt>
                <c:pt idx="71">
                  <c:v>08-Apr-24</c:v>
                </c:pt>
                <c:pt idx="72">
                  <c:v>15-Apr-24</c:v>
                </c:pt>
                <c:pt idx="73">
                  <c:v>22-Apr-24</c:v>
                </c:pt>
                <c:pt idx="74">
                  <c:v>29-Apr-24</c:v>
                </c:pt>
                <c:pt idx="75">
                  <c:v>06-May-24</c:v>
                </c:pt>
                <c:pt idx="76">
                  <c:v>13-May-24</c:v>
                </c:pt>
                <c:pt idx="77">
                  <c:v>20-May-24</c:v>
                </c:pt>
                <c:pt idx="78">
                  <c:v>27-May-24</c:v>
                </c:pt>
                <c:pt idx="79">
                  <c:v>03-Jun-24</c:v>
                </c:pt>
                <c:pt idx="80">
                  <c:v>10-Jun-24</c:v>
                </c:pt>
                <c:pt idx="81">
                  <c:v>17-Jun-24</c:v>
                </c:pt>
                <c:pt idx="82">
                  <c:v>24-Jun-24</c:v>
                </c:pt>
                <c:pt idx="83">
                  <c:v>01-Jul-24</c:v>
                </c:pt>
                <c:pt idx="84">
                  <c:v>08-Jul-24</c:v>
                </c:pt>
                <c:pt idx="85">
                  <c:v>15-Jul-24</c:v>
                </c:pt>
                <c:pt idx="86">
                  <c:v>22-Jul-24</c:v>
                </c:pt>
                <c:pt idx="87">
                  <c:v>29-Jul-24</c:v>
                </c:pt>
                <c:pt idx="88">
                  <c:v>05-Aug-24</c:v>
                </c:pt>
                <c:pt idx="89">
                  <c:v>12-Aug-24</c:v>
                </c:pt>
                <c:pt idx="90">
                  <c:v>19-Aug-24</c:v>
                </c:pt>
                <c:pt idx="91">
                  <c:v>26-Aug-24</c:v>
                </c:pt>
                <c:pt idx="92">
                  <c:v>02-Sep-24</c:v>
                </c:pt>
                <c:pt idx="93">
                  <c:v>09-Sep-24</c:v>
                </c:pt>
                <c:pt idx="94">
                  <c:v>16-Sep-24</c:v>
                </c:pt>
                <c:pt idx="95">
                  <c:v>23-Sep-24</c:v>
                </c:pt>
                <c:pt idx="96">
                  <c:v>30-Sep-24</c:v>
                </c:pt>
                <c:pt idx="97">
                  <c:v>07-Oct-24</c:v>
                </c:pt>
                <c:pt idx="98">
                  <c:v>14-Oct-24</c:v>
                </c:pt>
                <c:pt idx="99">
                  <c:v>21-Oct-24</c:v>
                </c:pt>
                <c:pt idx="100">
                  <c:v>28-Oct-24</c:v>
                </c:pt>
                <c:pt idx="101">
                  <c:v>04-Nov-24</c:v>
                </c:pt>
                <c:pt idx="102">
                  <c:v>11-Nov-24</c:v>
                </c:pt>
                <c:pt idx="103">
                  <c:v>18-Nov-24</c:v>
                </c:pt>
                <c:pt idx="104">
                  <c:v>25-Nov-24</c:v>
                </c:pt>
                <c:pt idx="105">
                  <c:v>02-Dec-24</c:v>
                </c:pt>
                <c:pt idx="106">
                  <c:v>09-Dec-24</c:v>
                </c:pt>
                <c:pt idx="107">
                  <c:v>16-Dec-24</c:v>
                </c:pt>
                <c:pt idx="108">
                  <c:v>23-Dec-24</c:v>
                </c:pt>
                <c:pt idx="109">
                  <c:v>30-Dec-24</c:v>
                </c:pt>
                <c:pt idx="110">
                  <c:v>06-Jan-25</c:v>
                </c:pt>
                <c:pt idx="111">
                  <c:v>13-Jan-25</c:v>
                </c:pt>
                <c:pt idx="112">
                  <c:v>20-Jan-25</c:v>
                </c:pt>
                <c:pt idx="113">
                  <c:v>27-Jan-25</c:v>
                </c:pt>
                <c:pt idx="114">
                  <c:v>03-Feb-25</c:v>
                </c:pt>
                <c:pt idx="115">
                  <c:v>10-Feb-25</c:v>
                </c:pt>
                <c:pt idx="116">
                  <c:v>17-Feb-25</c:v>
                </c:pt>
                <c:pt idx="117">
                  <c:v>24-Feb-25</c:v>
                </c:pt>
                <c:pt idx="118">
                  <c:v>03-Mar-25</c:v>
                </c:pt>
                <c:pt idx="119">
                  <c:v>10-Mar-25</c:v>
                </c:pt>
                <c:pt idx="120">
                  <c:v>17-Mar-25</c:v>
                </c:pt>
                <c:pt idx="121">
                  <c:v>24-Mar-25</c:v>
                </c:pt>
                <c:pt idx="122">
                  <c:v>31-Mar-25</c:v>
                </c:pt>
                <c:pt idx="123">
                  <c:v>07-Apr-25</c:v>
                </c:pt>
                <c:pt idx="124">
                  <c:v>14-Apr-25</c:v>
                </c:pt>
                <c:pt idx="125">
                  <c:v>21-Apr-25</c:v>
                </c:pt>
                <c:pt idx="126">
                  <c:v>28-Apr-25</c:v>
                </c:pt>
                <c:pt idx="127">
                  <c:v>05-May-25</c:v>
                </c:pt>
                <c:pt idx="128">
                  <c:v>12-May-25</c:v>
                </c:pt>
                <c:pt idx="129">
                  <c:v>19-May-25</c:v>
                </c:pt>
                <c:pt idx="130">
                  <c:v>26-May-25</c:v>
                </c:pt>
                <c:pt idx="131">
                  <c:v>02-Jun-25</c:v>
                </c:pt>
                <c:pt idx="132">
                  <c:v>09-Jun-25</c:v>
                </c:pt>
                <c:pt idx="133">
                  <c:v>16-Jun-25</c:v>
                </c:pt>
                <c:pt idx="134">
                  <c:v>23-Jun-25</c:v>
                </c:pt>
                <c:pt idx="135">
                  <c:v>30-Jun-25</c:v>
                </c:pt>
                <c:pt idx="136">
                  <c:v>07-Jul-25</c:v>
                </c:pt>
                <c:pt idx="137">
                  <c:v>14-Jul-25</c:v>
                </c:pt>
                <c:pt idx="138">
                  <c:v>21-Jul-25</c:v>
                </c:pt>
                <c:pt idx="139">
                  <c:v>28-Jul-25</c:v>
                </c:pt>
                <c:pt idx="140">
                  <c:v>04-Aug-25</c:v>
                </c:pt>
                <c:pt idx="141">
                  <c:v>11-Aug-25</c:v>
                </c:pt>
                <c:pt idx="142">
                  <c:v>18-Aug-25</c:v>
                </c:pt>
                <c:pt idx="143">
                  <c:v>25-Aug-25</c:v>
                </c:pt>
                <c:pt idx="144">
                  <c:v>01-Sep-25</c:v>
                </c:pt>
                <c:pt idx="145">
                  <c:v>08-Sep-25</c:v>
                </c:pt>
                <c:pt idx="146">
                  <c:v>15-Sep-25</c:v>
                </c:pt>
                <c:pt idx="147">
                  <c:v>22-Sep-25</c:v>
                </c:pt>
                <c:pt idx="148">
                  <c:v>29-Sep-25</c:v>
                </c:pt>
                <c:pt idx="149">
                  <c:v>06-Oct-25</c:v>
                </c:pt>
                <c:pt idx="150">
                  <c:v>13-Oct-25</c:v>
                </c:pt>
                <c:pt idx="151">
                  <c:v>20-Oct-25</c:v>
                </c:pt>
                <c:pt idx="152">
                  <c:v>27-Oct-25</c:v>
                </c:pt>
                <c:pt idx="153">
                  <c:v>03-Nov-25</c:v>
                </c:pt>
                <c:pt idx="154">
                  <c:v>10-Nov-25</c:v>
                </c:pt>
                <c:pt idx="155">
                  <c:v>17-Nov-25</c:v>
                </c:pt>
                <c:pt idx="156">
                  <c:v>24-Nov-25</c:v>
                </c:pt>
                <c:pt idx="157">
                  <c:v>01-Dec-25</c:v>
                </c:pt>
                <c:pt idx="158">
                  <c:v>08-Dec-25</c:v>
                </c:pt>
                <c:pt idx="159">
                  <c:v>15-Dec-25</c:v>
                </c:pt>
                <c:pt idx="160">
                  <c:v>22-Dec-25</c:v>
                </c:pt>
                <c:pt idx="161">
                  <c:v>29-Dec-25</c:v>
                </c:pt>
                <c:pt idx="162">
                  <c:v>05-Jan-26</c:v>
                </c:pt>
                <c:pt idx="163">
                  <c:v>12-Jan-26</c:v>
                </c:pt>
                <c:pt idx="164">
                  <c:v>19-Jan-26</c:v>
                </c:pt>
                <c:pt idx="165">
                  <c:v>26-Jan-26</c:v>
                </c:pt>
                <c:pt idx="166">
                  <c:v>02-Feb-26</c:v>
                </c:pt>
                <c:pt idx="167">
                  <c:v>09-Feb-26</c:v>
                </c:pt>
                <c:pt idx="168">
                  <c:v>16-Feb-26</c:v>
                </c:pt>
                <c:pt idx="169">
                  <c:v>23-Feb-26</c:v>
                </c:pt>
                <c:pt idx="170">
                  <c:v>02-Mar-26</c:v>
                </c:pt>
                <c:pt idx="171">
                  <c:v>09-Mar-26</c:v>
                </c:pt>
                <c:pt idx="172">
                  <c:v>16-Mar-26</c:v>
                </c:pt>
                <c:pt idx="173">
                  <c:v>23-Mar-26</c:v>
                </c:pt>
                <c:pt idx="174">
                  <c:v>30-Mar-26</c:v>
                </c:pt>
                <c:pt idx="175">
                  <c:v>06-Apr-26</c:v>
                </c:pt>
                <c:pt idx="176">
                  <c:v>13-Apr-26</c:v>
                </c:pt>
                <c:pt idx="177">
                  <c:v>20-Apr-26</c:v>
                </c:pt>
                <c:pt idx="178">
                  <c:v>27-Apr-26</c:v>
                </c:pt>
                <c:pt idx="179">
                  <c:v>04-May-26</c:v>
                </c:pt>
                <c:pt idx="180">
                  <c:v>11-May-26</c:v>
                </c:pt>
                <c:pt idx="181">
                  <c:v>18-May-26</c:v>
                </c:pt>
                <c:pt idx="182">
                  <c:v>25-May-26</c:v>
                </c:pt>
                <c:pt idx="183">
                  <c:v>01-Jun-26</c:v>
                </c:pt>
                <c:pt idx="184">
                  <c:v>08-Jun-26</c:v>
                </c:pt>
                <c:pt idx="185">
                  <c:v>15-Jun-26</c:v>
                </c:pt>
                <c:pt idx="186">
                  <c:v>22-Jun-26</c:v>
                </c:pt>
                <c:pt idx="187">
                  <c:v>29-Jun-26</c:v>
                </c:pt>
                <c:pt idx="188">
                  <c:v>06-Jul-26</c:v>
                </c:pt>
                <c:pt idx="189">
                  <c:v>13-Jul-26</c:v>
                </c:pt>
                <c:pt idx="190">
                  <c:v>20-Jul-26</c:v>
                </c:pt>
                <c:pt idx="191">
                  <c:v>27-Jul-26</c:v>
                </c:pt>
                <c:pt idx="192">
                  <c:v>03-Aug-26</c:v>
                </c:pt>
                <c:pt idx="193">
                  <c:v>10-Aug-26</c:v>
                </c:pt>
                <c:pt idx="194">
                  <c:v>17-Aug-26</c:v>
                </c:pt>
                <c:pt idx="195">
                  <c:v>24-Aug-26</c:v>
                </c:pt>
                <c:pt idx="196">
                  <c:v>31-Aug-26</c:v>
                </c:pt>
                <c:pt idx="197">
                  <c:v>07-Sep-26</c:v>
                </c:pt>
                <c:pt idx="198">
                  <c:v>14-Sep-26</c:v>
                </c:pt>
                <c:pt idx="199">
                  <c:v>21-Sep-26</c:v>
                </c:pt>
                <c:pt idx="200">
                  <c:v>28-Sep-26</c:v>
                </c:pt>
                <c:pt idx="201">
                  <c:v>05-Oct-26</c:v>
                </c:pt>
                <c:pt idx="202">
                  <c:v>12-Oct-26</c:v>
                </c:pt>
              </c:strCache>
            </c:strRef>
          </c:cat>
          <c:val>
            <c:numRef>
              <c:f>'Top 5 Trajectories'!$E$5:$E$207</c:f>
              <c:numCache>
                <c:formatCode>#,##0</c:formatCode>
                <c:ptCount val="2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203</c:v>
                </c:pt>
                <c:pt idx="154">
                  <c:v>1382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'Top 5 Trajectories'!F4</c:f>
              <c:strCache>
                <c:ptCount val="1"/>
                <c:pt idx="0">
                  <c:v>BLIND UMPIRE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5 Trajectories'!$A$5:$A$207</c:f>
              <c:strCache>
                <c:ptCount val="203"/>
                <c:pt idx="0">
                  <c:v>28-Nov-22</c:v>
                </c:pt>
                <c:pt idx="1">
                  <c:v>05-Dec-22</c:v>
                </c:pt>
                <c:pt idx="2">
                  <c:v>12-Dec-22</c:v>
                </c:pt>
                <c:pt idx="3">
                  <c:v>19-Dec-22</c:v>
                </c:pt>
                <c:pt idx="4">
                  <c:v>26-Dec-22</c:v>
                </c:pt>
                <c:pt idx="5">
                  <c:v>02-Jan-23</c:v>
                </c:pt>
                <c:pt idx="6">
                  <c:v>09-Jan-23</c:v>
                </c:pt>
                <c:pt idx="7">
                  <c:v>16-Jan-23</c:v>
                </c:pt>
                <c:pt idx="8">
                  <c:v>23-Jan-23</c:v>
                </c:pt>
                <c:pt idx="9">
                  <c:v>30-Jan-23</c:v>
                </c:pt>
                <c:pt idx="10">
                  <c:v>06-Feb-23</c:v>
                </c:pt>
                <c:pt idx="11">
                  <c:v>13-Feb-23</c:v>
                </c:pt>
                <c:pt idx="12">
                  <c:v>20-Feb-23</c:v>
                </c:pt>
                <c:pt idx="13">
                  <c:v>27-Feb-23</c:v>
                </c:pt>
                <c:pt idx="14">
                  <c:v>06-Mar-23</c:v>
                </c:pt>
                <c:pt idx="15">
                  <c:v>13-Mar-23</c:v>
                </c:pt>
                <c:pt idx="16">
                  <c:v>20-Mar-23</c:v>
                </c:pt>
                <c:pt idx="17">
                  <c:v>27-Mar-23</c:v>
                </c:pt>
                <c:pt idx="18">
                  <c:v>03-Apr-23</c:v>
                </c:pt>
                <c:pt idx="19">
                  <c:v>10-Apr-23</c:v>
                </c:pt>
                <c:pt idx="20">
                  <c:v>17-Apr-23</c:v>
                </c:pt>
                <c:pt idx="21">
                  <c:v>24-Apr-23</c:v>
                </c:pt>
                <c:pt idx="22">
                  <c:v>01-May-23</c:v>
                </c:pt>
                <c:pt idx="23">
                  <c:v>08-May-23</c:v>
                </c:pt>
                <c:pt idx="24">
                  <c:v>15-May-23</c:v>
                </c:pt>
                <c:pt idx="25">
                  <c:v>22-May-23</c:v>
                </c:pt>
                <c:pt idx="26">
                  <c:v>29-May-23</c:v>
                </c:pt>
                <c:pt idx="27">
                  <c:v>05-Jun-23</c:v>
                </c:pt>
                <c:pt idx="28">
                  <c:v>12-Jun-23</c:v>
                </c:pt>
                <c:pt idx="29">
                  <c:v>19-Jun-23</c:v>
                </c:pt>
                <c:pt idx="30">
                  <c:v>26-Jun-23</c:v>
                </c:pt>
                <c:pt idx="31">
                  <c:v>03-Jul-23</c:v>
                </c:pt>
                <c:pt idx="32">
                  <c:v>10-Jul-23</c:v>
                </c:pt>
                <c:pt idx="33">
                  <c:v>17-Jul-23</c:v>
                </c:pt>
                <c:pt idx="34">
                  <c:v>24-Jul-23</c:v>
                </c:pt>
                <c:pt idx="35">
                  <c:v>31-Jul-23</c:v>
                </c:pt>
                <c:pt idx="36">
                  <c:v>07-Aug-23</c:v>
                </c:pt>
                <c:pt idx="37">
                  <c:v>14-Aug-23</c:v>
                </c:pt>
                <c:pt idx="38">
                  <c:v>21-Aug-23</c:v>
                </c:pt>
                <c:pt idx="39">
                  <c:v>28-Aug-23</c:v>
                </c:pt>
                <c:pt idx="40">
                  <c:v>04-Sep-23</c:v>
                </c:pt>
                <c:pt idx="41">
                  <c:v>11-Sep-23</c:v>
                </c:pt>
                <c:pt idx="42">
                  <c:v>18-Sep-23</c:v>
                </c:pt>
                <c:pt idx="43">
                  <c:v>25-Sep-23</c:v>
                </c:pt>
                <c:pt idx="44">
                  <c:v>02-Oct-23</c:v>
                </c:pt>
                <c:pt idx="45">
                  <c:v>09-Oct-23</c:v>
                </c:pt>
                <c:pt idx="46">
                  <c:v>16-Oct-23</c:v>
                </c:pt>
                <c:pt idx="47">
                  <c:v>23-Oct-23</c:v>
                </c:pt>
                <c:pt idx="48">
                  <c:v>30-Oct-23</c:v>
                </c:pt>
                <c:pt idx="49">
                  <c:v>06-Nov-23</c:v>
                </c:pt>
                <c:pt idx="50">
                  <c:v>13-Nov-23</c:v>
                </c:pt>
                <c:pt idx="51">
                  <c:v>20-Nov-23</c:v>
                </c:pt>
                <c:pt idx="52">
                  <c:v>27-Nov-23</c:v>
                </c:pt>
                <c:pt idx="53">
                  <c:v>04-Dec-23</c:v>
                </c:pt>
                <c:pt idx="54">
                  <c:v>11-Dec-23</c:v>
                </c:pt>
                <c:pt idx="55">
                  <c:v>18-Dec-23</c:v>
                </c:pt>
                <c:pt idx="56">
                  <c:v>25-Dec-23</c:v>
                </c:pt>
                <c:pt idx="57">
                  <c:v>01-Jan-24</c:v>
                </c:pt>
                <c:pt idx="58">
                  <c:v>08-Jan-24</c:v>
                </c:pt>
                <c:pt idx="59">
                  <c:v>15-Jan-24</c:v>
                </c:pt>
                <c:pt idx="60">
                  <c:v>22-Jan-24</c:v>
                </c:pt>
                <c:pt idx="61">
                  <c:v>29-Jan-24</c:v>
                </c:pt>
                <c:pt idx="62">
                  <c:v>05-Feb-24</c:v>
                </c:pt>
                <c:pt idx="63">
                  <c:v>12-Feb-24</c:v>
                </c:pt>
                <c:pt idx="64">
                  <c:v>19-Feb-24</c:v>
                </c:pt>
                <c:pt idx="65">
                  <c:v>26-Feb-24</c:v>
                </c:pt>
                <c:pt idx="66">
                  <c:v>04-Mar-24</c:v>
                </c:pt>
                <c:pt idx="67">
                  <c:v>11-Mar-24</c:v>
                </c:pt>
                <c:pt idx="68">
                  <c:v>18-Mar-24</c:v>
                </c:pt>
                <c:pt idx="69">
                  <c:v>25-Mar-24</c:v>
                </c:pt>
                <c:pt idx="70">
                  <c:v>01-Apr-24</c:v>
                </c:pt>
                <c:pt idx="71">
                  <c:v>08-Apr-24</c:v>
                </c:pt>
                <c:pt idx="72">
                  <c:v>15-Apr-24</c:v>
                </c:pt>
                <c:pt idx="73">
                  <c:v>22-Apr-24</c:v>
                </c:pt>
                <c:pt idx="74">
                  <c:v>29-Apr-24</c:v>
                </c:pt>
                <c:pt idx="75">
                  <c:v>06-May-24</c:v>
                </c:pt>
                <c:pt idx="76">
                  <c:v>13-May-24</c:v>
                </c:pt>
                <c:pt idx="77">
                  <c:v>20-May-24</c:v>
                </c:pt>
                <c:pt idx="78">
                  <c:v>27-May-24</c:v>
                </c:pt>
                <c:pt idx="79">
                  <c:v>03-Jun-24</c:v>
                </c:pt>
                <c:pt idx="80">
                  <c:v>10-Jun-24</c:v>
                </c:pt>
                <c:pt idx="81">
                  <c:v>17-Jun-24</c:v>
                </c:pt>
                <c:pt idx="82">
                  <c:v>24-Jun-24</c:v>
                </c:pt>
                <c:pt idx="83">
                  <c:v>01-Jul-24</c:v>
                </c:pt>
                <c:pt idx="84">
                  <c:v>08-Jul-24</c:v>
                </c:pt>
                <c:pt idx="85">
                  <c:v>15-Jul-24</c:v>
                </c:pt>
                <c:pt idx="86">
                  <c:v>22-Jul-24</c:v>
                </c:pt>
                <c:pt idx="87">
                  <c:v>29-Jul-24</c:v>
                </c:pt>
                <c:pt idx="88">
                  <c:v>05-Aug-24</c:v>
                </c:pt>
                <c:pt idx="89">
                  <c:v>12-Aug-24</c:v>
                </c:pt>
                <c:pt idx="90">
                  <c:v>19-Aug-24</c:v>
                </c:pt>
                <c:pt idx="91">
                  <c:v>26-Aug-24</c:v>
                </c:pt>
                <c:pt idx="92">
                  <c:v>02-Sep-24</c:v>
                </c:pt>
                <c:pt idx="93">
                  <c:v>09-Sep-24</c:v>
                </c:pt>
                <c:pt idx="94">
                  <c:v>16-Sep-24</c:v>
                </c:pt>
                <c:pt idx="95">
                  <c:v>23-Sep-24</c:v>
                </c:pt>
                <c:pt idx="96">
                  <c:v>30-Sep-24</c:v>
                </c:pt>
                <c:pt idx="97">
                  <c:v>07-Oct-24</c:v>
                </c:pt>
                <c:pt idx="98">
                  <c:v>14-Oct-24</c:v>
                </c:pt>
                <c:pt idx="99">
                  <c:v>21-Oct-24</c:v>
                </c:pt>
                <c:pt idx="100">
                  <c:v>28-Oct-24</c:v>
                </c:pt>
                <c:pt idx="101">
                  <c:v>04-Nov-24</c:v>
                </c:pt>
                <c:pt idx="102">
                  <c:v>11-Nov-24</c:v>
                </c:pt>
                <c:pt idx="103">
                  <c:v>18-Nov-24</c:v>
                </c:pt>
                <c:pt idx="104">
                  <c:v>25-Nov-24</c:v>
                </c:pt>
                <c:pt idx="105">
                  <c:v>02-Dec-24</c:v>
                </c:pt>
                <c:pt idx="106">
                  <c:v>09-Dec-24</c:v>
                </c:pt>
                <c:pt idx="107">
                  <c:v>16-Dec-24</c:v>
                </c:pt>
                <c:pt idx="108">
                  <c:v>23-Dec-24</c:v>
                </c:pt>
                <c:pt idx="109">
                  <c:v>30-Dec-24</c:v>
                </c:pt>
                <c:pt idx="110">
                  <c:v>06-Jan-25</c:v>
                </c:pt>
                <c:pt idx="111">
                  <c:v>13-Jan-25</c:v>
                </c:pt>
                <c:pt idx="112">
                  <c:v>20-Jan-25</c:v>
                </c:pt>
                <c:pt idx="113">
                  <c:v>27-Jan-25</c:v>
                </c:pt>
                <c:pt idx="114">
                  <c:v>03-Feb-25</c:v>
                </c:pt>
                <c:pt idx="115">
                  <c:v>10-Feb-25</c:v>
                </c:pt>
                <c:pt idx="116">
                  <c:v>17-Feb-25</c:v>
                </c:pt>
                <c:pt idx="117">
                  <c:v>24-Feb-25</c:v>
                </c:pt>
                <c:pt idx="118">
                  <c:v>03-Mar-25</c:v>
                </c:pt>
                <c:pt idx="119">
                  <c:v>10-Mar-25</c:v>
                </c:pt>
                <c:pt idx="120">
                  <c:v>17-Mar-25</c:v>
                </c:pt>
                <c:pt idx="121">
                  <c:v>24-Mar-25</c:v>
                </c:pt>
                <c:pt idx="122">
                  <c:v>31-Mar-25</c:v>
                </c:pt>
                <c:pt idx="123">
                  <c:v>07-Apr-25</c:v>
                </c:pt>
                <c:pt idx="124">
                  <c:v>14-Apr-25</c:v>
                </c:pt>
                <c:pt idx="125">
                  <c:v>21-Apr-25</c:v>
                </c:pt>
                <c:pt idx="126">
                  <c:v>28-Apr-25</c:v>
                </c:pt>
                <c:pt idx="127">
                  <c:v>05-May-25</c:v>
                </c:pt>
                <c:pt idx="128">
                  <c:v>12-May-25</c:v>
                </c:pt>
                <c:pt idx="129">
                  <c:v>19-May-25</c:v>
                </c:pt>
                <c:pt idx="130">
                  <c:v>26-May-25</c:v>
                </c:pt>
                <c:pt idx="131">
                  <c:v>02-Jun-25</c:v>
                </c:pt>
                <c:pt idx="132">
                  <c:v>09-Jun-25</c:v>
                </c:pt>
                <c:pt idx="133">
                  <c:v>16-Jun-25</c:v>
                </c:pt>
                <c:pt idx="134">
                  <c:v>23-Jun-25</c:v>
                </c:pt>
                <c:pt idx="135">
                  <c:v>30-Jun-25</c:v>
                </c:pt>
                <c:pt idx="136">
                  <c:v>07-Jul-25</c:v>
                </c:pt>
                <c:pt idx="137">
                  <c:v>14-Jul-25</c:v>
                </c:pt>
                <c:pt idx="138">
                  <c:v>21-Jul-25</c:v>
                </c:pt>
                <c:pt idx="139">
                  <c:v>28-Jul-25</c:v>
                </c:pt>
                <c:pt idx="140">
                  <c:v>04-Aug-25</c:v>
                </c:pt>
                <c:pt idx="141">
                  <c:v>11-Aug-25</c:v>
                </c:pt>
                <c:pt idx="142">
                  <c:v>18-Aug-25</c:v>
                </c:pt>
                <c:pt idx="143">
                  <c:v>25-Aug-25</c:v>
                </c:pt>
                <c:pt idx="144">
                  <c:v>01-Sep-25</c:v>
                </c:pt>
                <c:pt idx="145">
                  <c:v>08-Sep-25</c:v>
                </c:pt>
                <c:pt idx="146">
                  <c:v>15-Sep-25</c:v>
                </c:pt>
                <c:pt idx="147">
                  <c:v>22-Sep-25</c:v>
                </c:pt>
                <c:pt idx="148">
                  <c:v>29-Sep-25</c:v>
                </c:pt>
                <c:pt idx="149">
                  <c:v>06-Oct-25</c:v>
                </c:pt>
                <c:pt idx="150">
                  <c:v>13-Oct-25</c:v>
                </c:pt>
                <c:pt idx="151">
                  <c:v>20-Oct-25</c:v>
                </c:pt>
                <c:pt idx="152">
                  <c:v>27-Oct-25</c:v>
                </c:pt>
                <c:pt idx="153">
                  <c:v>03-Nov-25</c:v>
                </c:pt>
                <c:pt idx="154">
                  <c:v>10-Nov-25</c:v>
                </c:pt>
                <c:pt idx="155">
                  <c:v>17-Nov-25</c:v>
                </c:pt>
                <c:pt idx="156">
                  <c:v>24-Nov-25</c:v>
                </c:pt>
                <c:pt idx="157">
                  <c:v>01-Dec-25</c:v>
                </c:pt>
                <c:pt idx="158">
                  <c:v>08-Dec-25</c:v>
                </c:pt>
                <c:pt idx="159">
                  <c:v>15-Dec-25</c:v>
                </c:pt>
                <c:pt idx="160">
                  <c:v>22-Dec-25</c:v>
                </c:pt>
                <c:pt idx="161">
                  <c:v>29-Dec-25</c:v>
                </c:pt>
                <c:pt idx="162">
                  <c:v>05-Jan-26</c:v>
                </c:pt>
                <c:pt idx="163">
                  <c:v>12-Jan-26</c:v>
                </c:pt>
                <c:pt idx="164">
                  <c:v>19-Jan-26</c:v>
                </c:pt>
                <c:pt idx="165">
                  <c:v>26-Jan-26</c:v>
                </c:pt>
                <c:pt idx="166">
                  <c:v>02-Feb-26</c:v>
                </c:pt>
                <c:pt idx="167">
                  <c:v>09-Feb-26</c:v>
                </c:pt>
                <c:pt idx="168">
                  <c:v>16-Feb-26</c:v>
                </c:pt>
                <c:pt idx="169">
                  <c:v>23-Feb-26</c:v>
                </c:pt>
                <c:pt idx="170">
                  <c:v>02-Mar-26</c:v>
                </c:pt>
                <c:pt idx="171">
                  <c:v>09-Mar-26</c:v>
                </c:pt>
                <c:pt idx="172">
                  <c:v>16-Mar-26</c:v>
                </c:pt>
                <c:pt idx="173">
                  <c:v>23-Mar-26</c:v>
                </c:pt>
                <c:pt idx="174">
                  <c:v>30-Mar-26</c:v>
                </c:pt>
                <c:pt idx="175">
                  <c:v>06-Apr-26</c:v>
                </c:pt>
                <c:pt idx="176">
                  <c:v>13-Apr-26</c:v>
                </c:pt>
                <c:pt idx="177">
                  <c:v>20-Apr-26</c:v>
                </c:pt>
                <c:pt idx="178">
                  <c:v>27-Apr-26</c:v>
                </c:pt>
                <c:pt idx="179">
                  <c:v>04-May-26</c:v>
                </c:pt>
                <c:pt idx="180">
                  <c:v>11-May-26</c:v>
                </c:pt>
                <c:pt idx="181">
                  <c:v>18-May-26</c:v>
                </c:pt>
                <c:pt idx="182">
                  <c:v>25-May-26</c:v>
                </c:pt>
                <c:pt idx="183">
                  <c:v>01-Jun-26</c:v>
                </c:pt>
                <c:pt idx="184">
                  <c:v>08-Jun-26</c:v>
                </c:pt>
                <c:pt idx="185">
                  <c:v>15-Jun-26</c:v>
                </c:pt>
                <c:pt idx="186">
                  <c:v>22-Jun-26</c:v>
                </c:pt>
                <c:pt idx="187">
                  <c:v>29-Jun-26</c:v>
                </c:pt>
                <c:pt idx="188">
                  <c:v>06-Jul-26</c:v>
                </c:pt>
                <c:pt idx="189">
                  <c:v>13-Jul-26</c:v>
                </c:pt>
                <c:pt idx="190">
                  <c:v>20-Jul-26</c:v>
                </c:pt>
                <c:pt idx="191">
                  <c:v>27-Jul-26</c:v>
                </c:pt>
                <c:pt idx="192">
                  <c:v>03-Aug-26</c:v>
                </c:pt>
                <c:pt idx="193">
                  <c:v>10-Aug-26</c:v>
                </c:pt>
                <c:pt idx="194">
                  <c:v>17-Aug-26</c:v>
                </c:pt>
                <c:pt idx="195">
                  <c:v>24-Aug-26</c:v>
                </c:pt>
                <c:pt idx="196">
                  <c:v>31-Aug-26</c:v>
                </c:pt>
                <c:pt idx="197">
                  <c:v>07-Sep-26</c:v>
                </c:pt>
                <c:pt idx="198">
                  <c:v>14-Sep-26</c:v>
                </c:pt>
                <c:pt idx="199">
                  <c:v>21-Sep-26</c:v>
                </c:pt>
                <c:pt idx="200">
                  <c:v>28-Sep-26</c:v>
                </c:pt>
                <c:pt idx="201">
                  <c:v>05-Oct-26</c:v>
                </c:pt>
                <c:pt idx="202">
                  <c:v>12-Oct-26</c:v>
                </c:pt>
              </c:strCache>
            </c:strRef>
          </c:cat>
          <c:val>
            <c:numRef>
              <c:f>'Top 5 Trajectories'!$F$5:$F$207</c:f>
              <c:numCache>
                <c:formatCode>#,##0</c:formatCode>
                <c:ptCount val="2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912</c:v>
                </c:pt>
                <c:pt idx="185">
                  <c:v>611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841840"/>
        <c:axId val="58284539"/>
      </c:lineChart>
      <c:catAx>
        <c:axId val="25841840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84539"/>
        <c:crosses val="autoZero"/>
        <c:auto val="1"/>
        <c:lblAlgn val="ctr"/>
        <c:lblOffset val="100"/>
        <c:noMultiLvlLbl val="0"/>
      </c:catAx>
      <c:valAx>
        <c:axId val="582845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Views /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418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views per video — by content angle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Breakdowns!E13</c:f>
              <c:strCache>
                <c:ptCount val="1"/>
                <c:pt idx="0">
                  <c:v>Avg views / video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Breakdowns!$A$14:$A$16</c:f>
              <c:strCache>
                <c:ptCount val="3"/>
                <c:pt idx="0">
                  <c:v>Umpire / decision drama</c:v>
                </c:pt>
                <c:pt idx="1">
                  <c:v>Cricket moments &amp; gameplay</c:v>
                </c:pt>
                <c:pt idx="2">
                  <c:v>Gameplay clip (other game)</c:v>
                </c:pt>
              </c:strCache>
            </c:strRef>
          </c:cat>
          <c:val>
            <c:numRef>
              <c:f>Breakdowns!$E$14:$E$16</c:f>
              <c:numCache>
                <c:formatCode>#,##0</c:formatCode>
                <c:ptCount val="3"/>
                <c:pt idx="0">
                  <c:v>661.192307692308</c:v>
                </c:pt>
                <c:pt idx="1">
                  <c:v>159.166666666667</c:v>
                </c:pt>
                <c:pt idx="2">
                  <c:v>230.409090909091</c:v>
                </c:pt>
              </c:numCache>
            </c:numRef>
          </c:val>
        </c:ser>
        <c:gapWidth val="150"/>
        <c:overlap val="0"/>
        <c:axId val="99321285"/>
        <c:axId val="68750749"/>
      </c:barChart>
      <c:catAx>
        <c:axId val="993212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50749"/>
        <c:crosses val="autoZero"/>
        <c:auto val="1"/>
        <c:lblAlgn val="ctr"/>
        <c:lblOffset val="100"/>
        <c:noMultiLvlLbl val="0"/>
      </c:catAx>
      <c:valAx>
        <c:axId val="687507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212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views per video — by title style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Breakdowns!E32</c:f>
              <c:strCache>
                <c:ptCount val="1"/>
                <c:pt idx="0">
                  <c:v>Avg views / video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Breakdowns!$A$33:$A$35</c:f>
              <c:strCache>
                <c:ptCount val="3"/>
                <c:pt idx="0">
                  <c:v>Clean title</c:v>
                </c:pt>
                <c:pt idx="1">
                  <c:v>Light hashtags</c:v>
                </c:pt>
                <c:pt idx="2">
                  <c:v>Hashtag-stuffed</c:v>
                </c:pt>
              </c:strCache>
            </c:strRef>
          </c:cat>
          <c:val>
            <c:numRef>
              <c:f>Breakdowns!$E$33:$E$35</c:f>
              <c:numCache>
                <c:formatCode>#,##0</c:formatCode>
                <c:ptCount val="3"/>
                <c:pt idx="0">
                  <c:v>555.84375</c:v>
                </c:pt>
                <c:pt idx="1">
                  <c:v>535.25</c:v>
                </c:pt>
                <c:pt idx="2">
                  <c:v>125.34375</c:v>
                </c:pt>
              </c:numCache>
            </c:numRef>
          </c:val>
        </c:ser>
        <c:gapWidth val="150"/>
        <c:overlap val="0"/>
        <c:axId val="20777605"/>
        <c:axId val="65817428"/>
      </c:barChart>
      <c:catAx>
        <c:axId val="207776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17428"/>
        <c:crosses val="autoZero"/>
        <c:auto val="1"/>
        <c:lblAlgn val="ctr"/>
        <c:lblOffset val="100"/>
        <c:noMultiLvlLbl val="0"/>
      </c:catAx>
      <c:valAx>
        <c:axId val="658174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7776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31</xdr:row>
      <xdr:rowOff>0</xdr:rowOff>
    </xdr:from>
    <xdr:to>
      <xdr:col>6</xdr:col>
      <xdr:colOff>621720</xdr:colOff>
      <xdr:row>45</xdr:row>
      <xdr:rowOff>32760</xdr:rowOff>
    </xdr:to>
    <xdr:graphicFrame>
      <xdr:nvGraphicFramePr>
        <xdr:cNvPr id="0" name="Chart 1"/>
        <xdr:cNvGraphicFramePr/>
      </xdr:nvGraphicFramePr>
      <xdr:xfrm>
        <a:off x="0" y="855360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31</xdr:row>
      <xdr:rowOff>0</xdr:rowOff>
    </xdr:from>
    <xdr:to>
      <xdr:col>12</xdr:col>
      <xdr:colOff>457920</xdr:colOff>
      <xdr:row>45</xdr:row>
      <xdr:rowOff>32760</xdr:rowOff>
    </xdr:to>
    <xdr:graphicFrame>
      <xdr:nvGraphicFramePr>
        <xdr:cNvPr id="1" name="Chart 2"/>
        <xdr:cNvGraphicFramePr/>
      </xdr:nvGraphicFramePr>
      <xdr:xfrm>
        <a:off x="6414120" y="855360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22</xdr:col>
      <xdr:colOff>187200</xdr:colOff>
      <xdr:row>17</xdr:row>
      <xdr:rowOff>2880</xdr:rowOff>
    </xdr:to>
    <xdr:graphicFrame>
      <xdr:nvGraphicFramePr>
        <xdr:cNvPr id="2" name="Chart 1"/>
        <xdr:cNvGraphicFramePr/>
      </xdr:nvGraphicFramePr>
      <xdr:xfrm>
        <a:off x="9986040" y="838080"/>
        <a:ext cx="93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0</xdr:rowOff>
    </xdr:from>
    <xdr:to>
      <xdr:col>22</xdr:col>
      <xdr:colOff>187200</xdr:colOff>
      <xdr:row>30</xdr:row>
      <xdr:rowOff>142200</xdr:rowOff>
    </xdr:to>
    <xdr:graphicFrame>
      <xdr:nvGraphicFramePr>
        <xdr:cNvPr id="3" name="Chart 2"/>
        <xdr:cNvGraphicFramePr/>
      </xdr:nvGraphicFramePr>
      <xdr:xfrm>
        <a:off x="9986040" y="4286160"/>
        <a:ext cx="935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23</xdr:col>
      <xdr:colOff>295560</xdr:colOff>
      <xdr:row>20</xdr:row>
      <xdr:rowOff>151560</xdr:rowOff>
    </xdr:to>
    <xdr:graphicFrame>
      <xdr:nvGraphicFramePr>
        <xdr:cNvPr id="4" name="Chart 1"/>
        <xdr:cNvGraphicFramePr/>
      </xdr:nvGraphicFramePr>
      <xdr:xfrm>
        <a:off x="7800840" y="838080"/>
        <a:ext cx="100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3</xdr:row>
      <xdr:rowOff>0</xdr:rowOff>
    </xdr:from>
    <xdr:to>
      <xdr:col>20</xdr:col>
      <xdr:colOff>256320</xdr:colOff>
      <xdr:row>12</xdr:row>
      <xdr:rowOff>64080</xdr:rowOff>
    </xdr:to>
    <xdr:graphicFrame>
      <xdr:nvGraphicFramePr>
        <xdr:cNvPr id="5" name="Chart 1"/>
        <xdr:cNvGraphicFramePr/>
      </xdr:nvGraphicFramePr>
      <xdr:xfrm>
        <a:off x="12735000" y="838080"/>
        <a:ext cx="575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16</xdr:row>
      <xdr:rowOff>78120</xdr:rowOff>
    </xdr:from>
    <xdr:to>
      <xdr:col>20</xdr:col>
      <xdr:colOff>256320</xdr:colOff>
      <xdr:row>24</xdr:row>
      <xdr:rowOff>220320</xdr:rowOff>
    </xdr:to>
    <xdr:graphicFrame>
      <xdr:nvGraphicFramePr>
        <xdr:cNvPr id="6" name="Chart 2"/>
        <xdr:cNvGraphicFramePr/>
      </xdr:nvGraphicFramePr>
      <xdr:xfrm>
        <a:off x="12735000" y="4095720"/>
        <a:ext cx="575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vidiq.com/blog/post/youtube-shorts-algorithm/" TargetMode="External"/><Relationship Id="rId2" Type="http://schemas.openxmlformats.org/officeDocument/2006/relationships/hyperlink" Target="https://vidiq.com/blog/post/youtube-shorts-algorithm/" TargetMode="External"/><Relationship Id="rId3" Type="http://schemas.openxmlformats.org/officeDocument/2006/relationships/hyperlink" Target="https://focus-digital.co/average-youtube-ctr-organic-paid-benchmarks-2026/" TargetMode="External"/><Relationship Id="rId4" Type="http://schemas.openxmlformats.org/officeDocument/2006/relationships/hyperlink" Target="https://subscribr.ai/youtube-strategy/convert-shorts-viewers-to-subscribers" TargetMode="External"/><Relationship Id="rId5" Type="http://schemas.openxmlformats.org/officeDocument/2006/relationships/hyperlink" Target="https://blog.eklipse.gg/basic-knowledge/youtube-shorts-vs-long-form-gaming-which-grows-faster.html" TargetMode="External"/><Relationship Id="rId6" Type="http://schemas.openxmlformats.org/officeDocument/2006/relationships/hyperlink" Target="https://blog.eklipse.gg/beginner-guide-2/youtube-shorts-strategy-gamers.html" TargetMode="External"/><Relationship Id="rId7" Type="http://schemas.openxmlformats.org/officeDocument/2006/relationships/hyperlink" Target="https://www.opus.pro/blog/maximize-your-views-choosing-the-right-hashtags-for-youtube-shorts" TargetMode="External"/><Relationship Id="rId8" Type="http://schemas.openxmlformats.org/officeDocument/2006/relationships/hyperlink" Target="https://air.io/en/monetization/youtube-partner-program-requirements-2026-the-complete-guide" TargetMode="External"/><Relationship Id="rId9" Type="http://schemas.openxmlformats.org/officeDocument/2006/relationships/hyperlink" Target="https://logie.ai/news/youtube-ai-slop-crackdown-2026-monetization/" TargetMode="External"/><Relationship Id="rId10" Type="http://schemas.openxmlformats.org/officeDocument/2006/relationships/hyperlink" Target="https://www.websitebuilderexpert.com/news/youtube-shorts-ai-tools/" TargetMode="External"/><Relationship Id="rId11" Type="http://schemas.openxmlformats.org/officeDocument/2006/relationships/hyperlink" Target="https://varietyindia.com/cricket-rules-indias-streaming-viewership-in-new-ormax-streamview-report/" TargetMode="External"/><Relationship Id="rId12" Type="http://schemas.openxmlformats.org/officeDocument/2006/relationships/hyperlink" Target="https://view.asiae.co.kr/en/article/2026060111040820860" TargetMode="External"/><Relationship Id="rId13" Type="http://schemas.openxmlformats.org/officeDocument/2006/relationships/hyperlink" Target="https://blog.eklipse.gg/beginner-guide-2/how-to-grow-youtube-gaming-channel-from-zero.html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L48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3"/>
  </cols>
  <sheetData>
    <row r="1" customFormat="false" ht="31.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customFormat="false" ht="21.75" hidden="false" customHeight="true" outlineLevel="0" collapsed="false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customFormat="false" ht="15" hidden="false" customHeight="false" outlineLevel="0" collapsed="false">
      <c r="A5" s="7" t="s">
        <v>3</v>
      </c>
      <c r="B5" s="7"/>
      <c r="C5" s="7" t="s">
        <v>4</v>
      </c>
      <c r="D5" s="7"/>
      <c r="E5" s="7" t="s">
        <v>5</v>
      </c>
      <c r="F5" s="7"/>
      <c r="G5" s="7" t="s">
        <v>6</v>
      </c>
      <c r="H5" s="7"/>
      <c r="I5" s="7" t="s">
        <v>7</v>
      </c>
      <c r="J5" s="7"/>
      <c r="K5" s="7" t="s">
        <v>8</v>
      </c>
      <c r="L5" s="7"/>
    </row>
    <row r="6" customFormat="false" ht="30" hidden="false" customHeight="true" outlineLevel="0" collapsed="false">
      <c r="A6" s="8" t="n">
        <v>29044</v>
      </c>
      <c r="B6" s="8"/>
      <c r="C6" s="9" t="n">
        <v>84.2106</v>
      </c>
      <c r="D6" s="9"/>
      <c r="E6" s="8" t="n">
        <v>51</v>
      </c>
      <c r="F6" s="8"/>
      <c r="G6" s="8" t="n">
        <v>231269</v>
      </c>
      <c r="H6" s="8"/>
      <c r="I6" s="10" t="n">
        <v>0.0544</v>
      </c>
      <c r="J6" s="10"/>
      <c r="K6" s="11" t="n">
        <f aca="false">COUNTA('All Videos'!$B$5:$B$76)</f>
        <v>72</v>
      </c>
      <c r="L6" s="11"/>
    </row>
    <row r="7" customFormat="false" ht="24" hidden="false" customHeight="true" outlineLevel="0" collapsed="false">
      <c r="A7" s="12" t="s">
        <v>9</v>
      </c>
      <c r="B7" s="12"/>
      <c r="C7" s="12" t="s">
        <v>9</v>
      </c>
      <c r="D7" s="12"/>
      <c r="E7" s="12" t="s">
        <v>9</v>
      </c>
      <c r="F7" s="12"/>
      <c r="G7" s="12" t="s">
        <v>9</v>
      </c>
      <c r="H7" s="12"/>
      <c r="I7" s="12" t="s">
        <v>10</v>
      </c>
      <c r="J7" s="12"/>
      <c r="K7" s="12" t="s">
        <v>11</v>
      </c>
      <c r="L7" s="12"/>
    </row>
    <row r="9" customFormat="false" ht="15" hidden="false" customHeight="false" outlineLevel="0" collapsed="false">
      <c r="A9" s="7" t="s">
        <v>12</v>
      </c>
      <c r="B9" s="7"/>
      <c r="C9" s="7" t="s">
        <v>13</v>
      </c>
      <c r="D9" s="7"/>
      <c r="E9" s="7" t="s">
        <v>14</v>
      </c>
      <c r="F9" s="7"/>
      <c r="G9" s="7" t="s">
        <v>15</v>
      </c>
      <c r="H9" s="7"/>
      <c r="I9" s="7" t="s">
        <v>16</v>
      </c>
      <c r="J9" s="7"/>
      <c r="K9" s="7" t="s">
        <v>17</v>
      </c>
      <c r="L9" s="7"/>
    </row>
    <row r="10" customFormat="false" ht="30" hidden="false" customHeight="true" outlineLevel="0" collapsed="false">
      <c r="A10" s="13" t="n">
        <f aca="false">E6/A6*1000</f>
        <v>1.75595647982372</v>
      </c>
      <c r="B10" s="13"/>
      <c r="C10" s="14" t="n">
        <f aca="false">MEDIAN('All Videos'!$J$5:$J$76)</f>
        <v>129</v>
      </c>
      <c r="D10" s="14"/>
      <c r="E10" s="15" t="n">
        <f aca="false">MAX('All Videos'!$J$5:$J$76)/SUM('All Videos'!$J$5:$J$76)</f>
        <v>0.330099693251534</v>
      </c>
      <c r="F10" s="15"/>
      <c r="G10" s="13" t="n">
        <f aca="false">C6*3600/A6</f>
        <v>10.4378928522242</v>
      </c>
      <c r="H10" s="13"/>
      <c r="I10" s="16" t="n">
        <f aca="false">COUNTIF('All Videos'!$U$5:$U$76,"HIT")</f>
        <v>6</v>
      </c>
      <c r="J10" s="16"/>
      <c r="K10" s="11" t="n">
        <f aca="false">COUNTIF('All Videos'!$U$5:$U$76,"LOW")</f>
        <v>47</v>
      </c>
      <c r="L10" s="11"/>
    </row>
    <row r="11" customFormat="false" ht="24" hidden="false" customHeight="true" outlineLevel="0" collapsed="false">
      <c r="A11" s="12" t="s">
        <v>18</v>
      </c>
      <c r="B11" s="12"/>
      <c r="C11" s="12" t="s">
        <v>19</v>
      </c>
      <c r="D11" s="12"/>
      <c r="E11" s="12" t="s">
        <v>20</v>
      </c>
      <c r="F11" s="12"/>
      <c r="G11" s="12" t="s">
        <v>21</v>
      </c>
      <c r="H11" s="12"/>
      <c r="I11" s="12" t="s">
        <v>22</v>
      </c>
      <c r="J11" s="12"/>
      <c r="K11" s="12" t="s">
        <v>23</v>
      </c>
      <c r="L11" s="12"/>
    </row>
    <row r="13" customFormat="false" ht="15" hidden="false" customHeight="false" outlineLevel="0" collapsed="false">
      <c r="A13" s="17" t="s">
        <v>24</v>
      </c>
    </row>
    <row r="15" customFormat="false" ht="21.75" hidden="false" customHeight="true" outlineLevel="0" collapsed="false">
      <c r="A15" s="5" t="s">
        <v>25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33.75" hidden="false" customHeight="true" outlineLevel="0" collapsed="false">
      <c r="A16" s="18" t="s">
        <v>26</v>
      </c>
      <c r="B16" s="18"/>
      <c r="C16" s="19" t="s">
        <v>27</v>
      </c>
      <c r="D16" s="19"/>
      <c r="E16" s="19"/>
      <c r="F16" s="19"/>
      <c r="G16" s="19"/>
      <c r="H16" s="19"/>
      <c r="I16" s="19"/>
      <c r="J16" s="19"/>
      <c r="K16" s="19"/>
      <c r="L16" s="19"/>
    </row>
    <row r="17" customFormat="false" ht="33.75" hidden="false" customHeight="true" outlineLevel="0" collapsed="false">
      <c r="A17" s="18" t="s">
        <v>26</v>
      </c>
      <c r="B17" s="18"/>
      <c r="C17" s="19" t="s">
        <v>28</v>
      </c>
      <c r="D17" s="19"/>
      <c r="E17" s="19"/>
      <c r="F17" s="19"/>
      <c r="G17" s="19"/>
      <c r="H17" s="19"/>
      <c r="I17" s="19"/>
      <c r="J17" s="19"/>
      <c r="K17" s="19"/>
      <c r="L17" s="19"/>
    </row>
    <row r="18" customFormat="false" ht="33.75" hidden="false" customHeight="true" outlineLevel="0" collapsed="false">
      <c r="A18" s="20" t="s">
        <v>29</v>
      </c>
      <c r="B18" s="20"/>
      <c r="C18" s="19" t="s">
        <v>30</v>
      </c>
      <c r="D18" s="19"/>
      <c r="E18" s="19"/>
      <c r="F18" s="19"/>
      <c r="G18" s="19"/>
      <c r="H18" s="19"/>
      <c r="I18" s="19"/>
      <c r="J18" s="19"/>
      <c r="K18" s="19"/>
      <c r="L18" s="19"/>
    </row>
    <row r="19" customFormat="false" ht="33.75" hidden="false" customHeight="true" outlineLevel="0" collapsed="false">
      <c r="A19" s="20" t="s">
        <v>29</v>
      </c>
      <c r="B19" s="20"/>
      <c r="C19" s="19" t="s">
        <v>31</v>
      </c>
      <c r="D19" s="19"/>
      <c r="E19" s="19"/>
      <c r="F19" s="19"/>
      <c r="G19" s="19"/>
      <c r="H19" s="19"/>
      <c r="I19" s="19"/>
      <c r="J19" s="19"/>
      <c r="K19" s="19"/>
      <c r="L19" s="19"/>
    </row>
    <row r="20" customFormat="false" ht="33.75" hidden="false" customHeight="true" outlineLevel="0" collapsed="false">
      <c r="A20" s="20" t="s">
        <v>29</v>
      </c>
      <c r="B20" s="20"/>
      <c r="C20" s="19" t="s">
        <v>32</v>
      </c>
      <c r="D20" s="19"/>
      <c r="E20" s="19"/>
      <c r="F20" s="19"/>
      <c r="G20" s="19"/>
      <c r="H20" s="19"/>
      <c r="I20" s="19"/>
      <c r="J20" s="19"/>
      <c r="K20" s="19"/>
      <c r="L20" s="19"/>
    </row>
    <row r="21" customFormat="false" ht="33.75" hidden="false" customHeight="true" outlineLevel="0" collapsed="false">
      <c r="A21" s="21" t="s">
        <v>33</v>
      </c>
      <c r="B21" s="21"/>
      <c r="C21" s="19" t="s">
        <v>34</v>
      </c>
      <c r="D21" s="19"/>
      <c r="E21" s="19"/>
      <c r="F21" s="19"/>
      <c r="G21" s="19"/>
      <c r="H21" s="19"/>
      <c r="I21" s="19"/>
      <c r="J21" s="19"/>
      <c r="K21" s="19"/>
      <c r="L21" s="19"/>
    </row>
    <row r="23" customFormat="false" ht="21.75" hidden="false" customHeight="true" outlineLevel="0" collapsed="false">
      <c r="A23" s="5" t="s">
        <v>35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customFormat="false" ht="15" hidden="false" customHeight="true" outlineLevel="0" collapsed="false">
      <c r="A24" s="22" t="s">
        <v>36</v>
      </c>
      <c r="B24" s="23" t="s">
        <v>37</v>
      </c>
      <c r="C24" s="23"/>
      <c r="D24" s="23"/>
      <c r="E24" s="23"/>
      <c r="F24" s="23"/>
      <c r="G24" s="22" t="s">
        <v>38</v>
      </c>
      <c r="H24" s="22" t="s">
        <v>39</v>
      </c>
      <c r="I24" s="22" t="s">
        <v>40</v>
      </c>
      <c r="J24" s="22" t="s">
        <v>41</v>
      </c>
      <c r="K24" s="23" t="s">
        <v>42</v>
      </c>
      <c r="L24" s="23"/>
    </row>
    <row r="25" customFormat="false" ht="15" hidden="false" customHeight="false" outlineLevel="0" collapsed="false">
      <c r="A25" s="24" t="n">
        <v>1</v>
      </c>
      <c r="B25" s="25" t="str">
        <f aca="false">'All Videos'!C5</f>
        <v>Umpire Caught Cheating In Cricket 07</v>
      </c>
      <c r="C25" s="25"/>
      <c r="D25" s="25"/>
      <c r="E25" s="25"/>
      <c r="F25" s="25"/>
      <c r="G25" s="26" t="n">
        <f aca="false">'All Videos'!J5</f>
        <v>8609</v>
      </c>
      <c r="H25" s="27" t="n">
        <f aca="false">'All Videos'!I5</f>
        <v>3</v>
      </c>
      <c r="I25" s="28" t="n">
        <f aca="false">'All Videos'!P5</f>
        <v>0.993118829132303</v>
      </c>
      <c r="J25" s="27" t="n">
        <f aca="false">'All Videos'!L5</f>
        <v>6</v>
      </c>
      <c r="K25" s="25" t="str">
        <f aca="false">'All Videos'!G5</f>
        <v>Umpire / decision drama</v>
      </c>
      <c r="L25" s="25"/>
    </row>
    <row r="26" customFormat="false" ht="15" hidden="false" customHeight="false" outlineLevel="0" collapsed="false">
      <c r="A26" s="24" t="n">
        <v>2</v>
      </c>
      <c r="B26" s="25" t="str">
        <f aca="false">'All Videos'!C6</f>
        <v>How Is That NOT OUT?! 😳</v>
      </c>
      <c r="C26" s="25"/>
      <c r="D26" s="25"/>
      <c r="E26" s="25"/>
      <c r="F26" s="25"/>
      <c r="G26" s="26" t="n">
        <f aca="false">'All Videos'!J6</f>
        <v>2006</v>
      </c>
      <c r="H26" s="27" t="n">
        <f aca="false">'All Videos'!I6</f>
        <v>5</v>
      </c>
      <c r="I26" s="28" t="n">
        <f aca="false">'All Videos'!P6</f>
        <v>0.431282153539382</v>
      </c>
      <c r="J26" s="27" t="n">
        <f aca="false">'All Videos'!L6</f>
        <v>1</v>
      </c>
      <c r="K26" s="25" t="str">
        <f aca="false">'All Videos'!G6</f>
        <v>Umpire / decision drama</v>
      </c>
      <c r="L26" s="25"/>
    </row>
    <row r="27" customFormat="false" ht="15" hidden="false" customHeight="false" outlineLevel="0" collapsed="false">
      <c r="A27" s="24" t="n">
        <v>3</v>
      </c>
      <c r="B27" s="25" t="str">
        <f aca="false">'All Videos'!C7</f>
        <v>counter strike condition zero#counterstrike#counterstrikeconditionzero#shorts</v>
      </c>
      <c r="C27" s="25"/>
      <c r="D27" s="25"/>
      <c r="E27" s="25"/>
      <c r="F27" s="25"/>
      <c r="G27" s="26" t="n">
        <f aca="false">'All Videos'!J7</f>
        <v>1603</v>
      </c>
      <c r="H27" s="27" t="n">
        <f aca="false">'All Videos'!I7</f>
        <v>57</v>
      </c>
      <c r="I27" s="28" t="n">
        <f aca="false">'All Videos'!P7</f>
        <v>0.305777982073087</v>
      </c>
      <c r="J27" s="27" t="n">
        <f aca="false">'All Videos'!L7</f>
        <v>0</v>
      </c>
      <c r="K27" s="25" t="str">
        <f aca="false">'All Videos'!G7</f>
        <v>Gameplay clip (other game)</v>
      </c>
      <c r="L27" s="25"/>
    </row>
    <row r="28" customFormat="false" ht="15" hidden="false" customHeight="false" outlineLevel="0" collapsed="false">
      <c r="A28" s="24" t="n">
        <v>4</v>
      </c>
      <c r="B28" s="25" t="str">
        <f aca="false">'All Videos'!C8</f>
        <v>The Calm Before LBW</v>
      </c>
      <c r="C28" s="25"/>
      <c r="D28" s="25"/>
      <c r="E28" s="25"/>
      <c r="F28" s="25"/>
      <c r="G28" s="26" t="n">
        <f aca="false">'All Videos'!J8</f>
        <v>1585</v>
      </c>
      <c r="H28" s="27" t="n">
        <f aca="false">'All Videos'!I8</f>
        <v>11</v>
      </c>
      <c r="I28" s="28" t="n">
        <f aca="false">'All Videos'!P8</f>
        <v>0.282652136507026</v>
      </c>
      <c r="J28" s="27" t="n">
        <f aca="false">'All Videos'!L8</f>
        <v>0</v>
      </c>
      <c r="K28" s="25" t="str">
        <f aca="false">'All Videos'!G8</f>
        <v>Umpire / decision drama</v>
      </c>
      <c r="L28" s="25"/>
    </row>
    <row r="29" customFormat="false" ht="15" hidden="false" customHeight="false" outlineLevel="0" collapsed="false">
      <c r="A29" s="24" t="n">
        <v>5</v>
      </c>
      <c r="B29" s="25" t="str">
        <f aca="false">'All Videos'!C9</f>
        <v>BLIND UMPIRE</v>
      </c>
      <c r="C29" s="25"/>
      <c r="D29" s="25"/>
      <c r="E29" s="25"/>
      <c r="F29" s="25"/>
      <c r="G29" s="26" t="n">
        <f aca="false">'All Videos'!J9</f>
        <v>1523</v>
      </c>
      <c r="H29" s="27" t="n">
        <f aca="false">'All Videos'!I9</f>
        <v>4</v>
      </c>
      <c r="I29" s="28" t="n">
        <f aca="false">'All Videos'!P9</f>
        <v>0.667642810242942</v>
      </c>
      <c r="J29" s="27" t="n">
        <f aca="false">'All Videos'!L9</f>
        <v>0</v>
      </c>
      <c r="K29" s="25" t="str">
        <f aca="false">'All Videos'!G9</f>
        <v>Umpire / decision drama</v>
      </c>
      <c r="L29" s="25"/>
    </row>
    <row r="31" customFormat="false" ht="21.75" hidden="false" customHeight="true" outlineLevel="0" collapsed="false">
      <c r="A31" s="5" t="s">
        <v>43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48" customFormat="false" ht="15" hidden="false" customHeight="false" outlineLevel="0" collapsed="false">
      <c r="A48" s="29" t="s">
        <v>44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</row>
  </sheetData>
  <mergeCells count="61"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9:B9"/>
    <mergeCell ref="C9:D9"/>
    <mergeCell ref="E9:F9"/>
    <mergeCell ref="G9:H9"/>
    <mergeCell ref="I9:J9"/>
    <mergeCell ref="K9:L9"/>
    <mergeCell ref="A10:B10"/>
    <mergeCell ref="C10:D10"/>
    <mergeCell ref="E10:F10"/>
    <mergeCell ref="G10:H10"/>
    <mergeCell ref="I10:J10"/>
    <mergeCell ref="K10:L10"/>
    <mergeCell ref="A11:B11"/>
    <mergeCell ref="C11:D11"/>
    <mergeCell ref="E11:F11"/>
    <mergeCell ref="G11:H11"/>
    <mergeCell ref="I11:J11"/>
    <mergeCell ref="K11:L11"/>
    <mergeCell ref="A16:B16"/>
    <mergeCell ref="C16:L16"/>
    <mergeCell ref="A17:B17"/>
    <mergeCell ref="C17:L17"/>
    <mergeCell ref="A18:B18"/>
    <mergeCell ref="C18:L18"/>
    <mergeCell ref="A19:B19"/>
    <mergeCell ref="C19:L19"/>
    <mergeCell ref="A20:B20"/>
    <mergeCell ref="C20:L20"/>
    <mergeCell ref="A21:B21"/>
    <mergeCell ref="C21:L21"/>
    <mergeCell ref="B24:F24"/>
    <mergeCell ref="K24:L24"/>
    <mergeCell ref="B25:F25"/>
    <mergeCell ref="K25:L25"/>
    <mergeCell ref="B26:F26"/>
    <mergeCell ref="K26:L26"/>
    <mergeCell ref="B27:F27"/>
    <mergeCell ref="K27:L27"/>
    <mergeCell ref="B28:F28"/>
    <mergeCell ref="K28:L28"/>
    <mergeCell ref="B29:F29"/>
    <mergeCell ref="K29:L29"/>
    <mergeCell ref="A48:L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U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8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8" min="8" style="0" width="10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8" min="18" style="0" width="10"/>
    <col collapsed="false" customWidth="true" hidden="false" outlineLevel="0" max="19" min="19" style="0" width="15"/>
    <col collapsed="false" customWidth="true" hidden="false" outlineLevel="0" max="20" min="20" style="0" width="12"/>
    <col collapsed="false" customWidth="true" hidden="false" outlineLevel="0" max="21" min="21" style="0" width="11"/>
  </cols>
  <sheetData>
    <row r="1" customFormat="false" ht="31.5" hidden="false" customHeight="true" outlineLevel="0" collapsed="false">
      <c r="A1" s="1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9.5" hidden="false" customHeight="true" outlineLevel="0" collapsed="false">
      <c r="A2" s="3" t="s">
        <v>46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4" customFormat="false" ht="31.5" hidden="false" customHeight="true" outlineLevel="0" collapsed="false">
      <c r="A4" s="30" t="s">
        <v>47</v>
      </c>
      <c r="B4" s="30" t="s">
        <v>48</v>
      </c>
      <c r="C4" s="30" t="s">
        <v>37</v>
      </c>
      <c r="D4" s="30" t="s">
        <v>49</v>
      </c>
      <c r="E4" s="30" t="s">
        <v>50</v>
      </c>
      <c r="F4" s="30" t="s">
        <v>51</v>
      </c>
      <c r="G4" s="30" t="s">
        <v>52</v>
      </c>
      <c r="H4" s="30" t="s">
        <v>53</v>
      </c>
      <c r="I4" s="30" t="s">
        <v>54</v>
      </c>
      <c r="J4" s="30" t="s">
        <v>38</v>
      </c>
      <c r="K4" s="30" t="s">
        <v>4</v>
      </c>
      <c r="L4" s="30" t="s">
        <v>55</v>
      </c>
      <c r="M4" s="30" t="s">
        <v>6</v>
      </c>
      <c r="N4" s="30" t="s">
        <v>7</v>
      </c>
      <c r="O4" s="30" t="s">
        <v>56</v>
      </c>
      <c r="P4" s="30" t="s">
        <v>57</v>
      </c>
      <c r="Q4" s="30" t="s">
        <v>58</v>
      </c>
      <c r="R4" s="30" t="s">
        <v>59</v>
      </c>
      <c r="S4" s="30" t="s">
        <v>60</v>
      </c>
      <c r="T4" s="30" t="s">
        <v>61</v>
      </c>
      <c r="U4" s="30" t="s">
        <v>62</v>
      </c>
    </row>
    <row r="5" customFormat="false" ht="15" hidden="false" customHeight="false" outlineLevel="0" collapsed="false">
      <c r="A5" s="24" t="n">
        <v>1</v>
      </c>
      <c r="B5" s="31" t="s">
        <v>63</v>
      </c>
      <c r="C5" s="32" t="s">
        <v>64</v>
      </c>
      <c r="D5" s="33" t="n">
        <v>45248</v>
      </c>
      <c r="E5" s="24" t="n">
        <f aca="false">YEAR(D5)</f>
        <v>2023</v>
      </c>
      <c r="F5" s="24" t="s">
        <v>65</v>
      </c>
      <c r="G5" s="24" t="s">
        <v>66</v>
      </c>
      <c r="H5" s="24" t="s">
        <v>67</v>
      </c>
      <c r="I5" s="31" t="n">
        <v>3</v>
      </c>
      <c r="J5" s="34" t="n">
        <v>8609</v>
      </c>
      <c r="K5" s="35" t="n">
        <v>7.1248</v>
      </c>
      <c r="L5" s="31" t="n">
        <v>6</v>
      </c>
      <c r="M5" s="34" t="n">
        <v>91238</v>
      </c>
      <c r="N5" s="36" t="n">
        <v>0.0829</v>
      </c>
      <c r="O5" s="37" t="n">
        <f aca="false">IF(OR(J5="",J5=0),"",K5*3600/J5)</f>
        <v>2.97935648739691</v>
      </c>
      <c r="P5" s="38" t="n">
        <f aca="false">IF(OR(O5="",I5=0),"",O5/I5)</f>
        <v>0.993118829132303</v>
      </c>
      <c r="Q5" s="37" t="n">
        <f aca="false">IF(OR(J5="",J5=0),"",L5/J5*1000)</f>
        <v>0.696945057497967</v>
      </c>
      <c r="R5" s="24" t="n">
        <v>0</v>
      </c>
      <c r="S5" s="24" t="str">
        <f aca="false">IF(R5=0,"Clean title",IF(R5&lt;=3,"Light hashtags","Hashtag-stuffed"))</f>
        <v>Clean title</v>
      </c>
      <c r="T5" s="24" t="str">
        <f aca="false">IF(I5&lt;=10,"0–10 sec",IF(I5&lt;=60,"11–60 sec",IF(I5&lt;=180,"61–180 sec","3 min +")))</f>
        <v>0–10 sec</v>
      </c>
      <c r="U5" s="24" t="str">
        <f aca="false">IF(J5="","NO DATA",IF(J5&gt;=1000,"HIT",IF(J5&gt;=200,"OK","LOW")))</f>
        <v>HIT</v>
      </c>
    </row>
    <row r="6" customFormat="false" ht="15" hidden="false" customHeight="false" outlineLevel="0" collapsed="false">
      <c r="A6" s="39" t="n">
        <v>2</v>
      </c>
      <c r="B6" s="40" t="s">
        <v>68</v>
      </c>
      <c r="C6" s="41" t="s">
        <v>69</v>
      </c>
      <c r="D6" s="42" t="n">
        <v>45989</v>
      </c>
      <c r="E6" s="39" t="n">
        <f aca="false">YEAR(D6)</f>
        <v>2025</v>
      </c>
      <c r="F6" s="39" t="s">
        <v>65</v>
      </c>
      <c r="G6" s="39" t="s">
        <v>66</v>
      </c>
      <c r="H6" s="39" t="s">
        <v>67</v>
      </c>
      <c r="I6" s="40" t="n">
        <v>5</v>
      </c>
      <c r="J6" s="43" t="n">
        <v>2006</v>
      </c>
      <c r="K6" s="44" t="n">
        <v>1.2016</v>
      </c>
      <c r="L6" s="40" t="n">
        <v>1</v>
      </c>
      <c r="M6" s="43" t="n">
        <v>80</v>
      </c>
      <c r="N6" s="45" t="n">
        <v>0.0125</v>
      </c>
      <c r="O6" s="46" t="n">
        <f aca="false">IF(OR(J6="",J6=0),"",K6*3600/J6)</f>
        <v>2.15641076769691</v>
      </c>
      <c r="P6" s="47" t="n">
        <f aca="false">IF(OR(O6="",I6=0),"",O6/I6)</f>
        <v>0.431282153539382</v>
      </c>
      <c r="Q6" s="46" t="n">
        <f aca="false">IF(OR(J6="",J6=0),"",L6/J6*1000)</f>
        <v>0.498504486540379</v>
      </c>
      <c r="R6" s="39" t="n">
        <v>0</v>
      </c>
      <c r="S6" s="39" t="str">
        <f aca="false">IF(R6=0,"Clean title",IF(R6&lt;=3,"Light hashtags","Hashtag-stuffed"))</f>
        <v>Clean title</v>
      </c>
      <c r="T6" s="39" t="str">
        <f aca="false">IF(I6&lt;=10,"0–10 sec",IF(I6&lt;=60,"11–60 sec",IF(I6&lt;=180,"61–180 sec","3 min +")))</f>
        <v>0–10 sec</v>
      </c>
      <c r="U6" s="39" t="str">
        <f aca="false">IF(J6="","NO DATA",IF(J6&gt;=1000,"HIT",IF(J6&gt;=200,"OK","LOW")))</f>
        <v>HIT</v>
      </c>
    </row>
    <row r="7" customFormat="false" ht="23.85" hidden="false" customHeight="false" outlineLevel="0" collapsed="false">
      <c r="A7" s="24" t="n">
        <v>3</v>
      </c>
      <c r="B7" s="31" t="s">
        <v>70</v>
      </c>
      <c r="C7" s="32" t="s">
        <v>71</v>
      </c>
      <c r="D7" s="33" t="n">
        <v>44901</v>
      </c>
      <c r="E7" s="24" t="n">
        <f aca="false">YEAR(D7)</f>
        <v>2022</v>
      </c>
      <c r="F7" s="24" t="s">
        <v>72</v>
      </c>
      <c r="G7" s="24" t="s">
        <v>73</v>
      </c>
      <c r="H7" s="24" t="s">
        <v>67</v>
      </c>
      <c r="I7" s="31" t="n">
        <v>57</v>
      </c>
      <c r="J7" s="34" t="n">
        <v>1603</v>
      </c>
      <c r="K7" s="35" t="n">
        <v>7.7609</v>
      </c>
      <c r="L7" s="31" t="n">
        <v>0</v>
      </c>
      <c r="M7" s="34" t="n">
        <v>2171</v>
      </c>
      <c r="N7" s="36" t="n">
        <v>0.0088</v>
      </c>
      <c r="O7" s="37" t="n">
        <f aca="false">IF(OR(J7="",J7=0),"",K7*3600/J7)</f>
        <v>17.4293449781659</v>
      </c>
      <c r="P7" s="38" t="n">
        <f aca="false">IF(OR(O7="",I7=0),"",O7/I7)</f>
        <v>0.305777982073087</v>
      </c>
      <c r="Q7" s="37" t="n">
        <f aca="false">IF(OR(J7="",J7=0),"",L7/J7*1000)</f>
        <v>0</v>
      </c>
      <c r="R7" s="24" t="n">
        <v>3</v>
      </c>
      <c r="S7" s="24" t="str">
        <f aca="false">IF(R7=0,"Clean title",IF(R7&lt;=3,"Light hashtags","Hashtag-stuffed"))</f>
        <v>Light hashtags</v>
      </c>
      <c r="T7" s="24" t="str">
        <f aca="false">IF(I7&lt;=10,"0–10 sec",IF(I7&lt;=60,"11–60 sec",IF(I7&lt;=180,"61–180 sec","3 min +")))</f>
        <v>11–60 sec</v>
      </c>
      <c r="U7" s="24" t="str">
        <f aca="false">IF(J7="","NO DATA",IF(J7&gt;=1000,"HIT",IF(J7&gt;=200,"OK","LOW")))</f>
        <v>HIT</v>
      </c>
    </row>
    <row r="8" customFormat="false" ht="15" hidden="false" customHeight="false" outlineLevel="0" collapsed="false">
      <c r="A8" s="39" t="n">
        <v>4</v>
      </c>
      <c r="B8" s="40" t="s">
        <v>74</v>
      </c>
      <c r="C8" s="41" t="s">
        <v>75</v>
      </c>
      <c r="D8" s="42" t="n">
        <v>45970</v>
      </c>
      <c r="E8" s="39" t="n">
        <f aca="false">YEAR(D8)</f>
        <v>2025</v>
      </c>
      <c r="F8" s="39" t="s">
        <v>65</v>
      </c>
      <c r="G8" s="39" t="s">
        <v>66</v>
      </c>
      <c r="H8" s="39" t="s">
        <v>67</v>
      </c>
      <c r="I8" s="40" t="n">
        <v>11</v>
      </c>
      <c r="J8" s="43" t="n">
        <v>1585</v>
      </c>
      <c r="K8" s="44" t="n">
        <v>1.3689</v>
      </c>
      <c r="L8" s="40" t="n">
        <v>0</v>
      </c>
      <c r="M8" s="43" t="n">
        <v>25</v>
      </c>
      <c r="N8" s="45" t="n">
        <v>0</v>
      </c>
      <c r="O8" s="46" t="n">
        <f aca="false">IF(OR(J8="",J8=0),"",K8*3600/J8)</f>
        <v>3.10917350157729</v>
      </c>
      <c r="P8" s="47" t="n">
        <f aca="false">IF(OR(O8="",I8=0),"",O8/I8)</f>
        <v>0.282652136507026</v>
      </c>
      <c r="Q8" s="46" t="n">
        <f aca="false">IF(OR(J8="",J8=0),"",L8/J8*1000)</f>
        <v>0</v>
      </c>
      <c r="R8" s="39" t="n">
        <v>0</v>
      </c>
      <c r="S8" s="39" t="str">
        <f aca="false">IF(R8=0,"Clean title",IF(R8&lt;=3,"Light hashtags","Hashtag-stuffed"))</f>
        <v>Clean title</v>
      </c>
      <c r="T8" s="39" t="str">
        <f aca="false">IF(I8&lt;=10,"0–10 sec",IF(I8&lt;=60,"11–60 sec",IF(I8&lt;=180,"61–180 sec","3 min +")))</f>
        <v>11–60 sec</v>
      </c>
      <c r="U8" s="39" t="str">
        <f aca="false">IF(J8="","NO DATA",IF(J8&gt;=1000,"HIT",IF(J8&gt;=200,"OK","LOW")))</f>
        <v>HIT</v>
      </c>
    </row>
    <row r="9" customFormat="false" ht="15" hidden="false" customHeight="false" outlineLevel="0" collapsed="false">
      <c r="A9" s="24" t="n">
        <v>5</v>
      </c>
      <c r="B9" s="31" t="s">
        <v>76</v>
      </c>
      <c r="C9" s="32" t="s">
        <v>77</v>
      </c>
      <c r="D9" s="33" t="n">
        <v>46187</v>
      </c>
      <c r="E9" s="24" t="n">
        <f aca="false">YEAR(D9)</f>
        <v>2026</v>
      </c>
      <c r="F9" s="24" t="s">
        <v>65</v>
      </c>
      <c r="G9" s="24" t="s">
        <v>66</v>
      </c>
      <c r="H9" s="24" t="s">
        <v>67</v>
      </c>
      <c r="I9" s="31" t="n">
        <v>4</v>
      </c>
      <c r="J9" s="34" t="n">
        <v>1523</v>
      </c>
      <c r="K9" s="35" t="n">
        <v>1.1298</v>
      </c>
      <c r="L9" s="31" t="n">
        <v>0</v>
      </c>
      <c r="M9" s="34" t="n">
        <v>116</v>
      </c>
      <c r="N9" s="36" t="n">
        <v>0</v>
      </c>
      <c r="O9" s="37" t="n">
        <f aca="false">IF(OR(J9="",J9=0),"",K9*3600/J9)</f>
        <v>2.67057124097177</v>
      </c>
      <c r="P9" s="38" t="n">
        <f aca="false">IF(OR(O9="",I9=0),"",O9/I9)</f>
        <v>0.667642810242942</v>
      </c>
      <c r="Q9" s="37" t="n">
        <f aca="false">IF(OR(J9="",J9=0),"",L9/J9*1000)</f>
        <v>0</v>
      </c>
      <c r="R9" s="24" t="n">
        <v>0</v>
      </c>
      <c r="S9" s="24" t="str">
        <f aca="false">IF(R9=0,"Clean title",IF(R9&lt;=3,"Light hashtags","Hashtag-stuffed"))</f>
        <v>Clean title</v>
      </c>
      <c r="T9" s="24" t="str">
        <f aca="false">IF(I9&lt;=10,"0–10 sec",IF(I9&lt;=60,"11–60 sec",IF(I9&lt;=180,"61–180 sec","3 min +")))</f>
        <v>0–10 sec</v>
      </c>
      <c r="U9" s="24" t="str">
        <f aca="false">IF(J9="","NO DATA",IF(J9&gt;=1000,"HIT",IF(J9&gt;=200,"OK","LOW")))</f>
        <v>HIT</v>
      </c>
    </row>
    <row r="10" customFormat="false" ht="15" hidden="false" customHeight="false" outlineLevel="0" collapsed="false">
      <c r="A10" s="39" t="n">
        <v>6</v>
      </c>
      <c r="B10" s="40" t="s">
        <v>78</v>
      </c>
      <c r="C10" s="41" t="s">
        <v>79</v>
      </c>
      <c r="D10" s="42" t="n">
        <v>46151</v>
      </c>
      <c r="E10" s="39" t="n">
        <f aca="false">YEAR(D10)</f>
        <v>2026</v>
      </c>
      <c r="F10" s="39" t="s">
        <v>65</v>
      </c>
      <c r="G10" s="39" t="s">
        <v>66</v>
      </c>
      <c r="H10" s="39" t="s">
        <v>67</v>
      </c>
      <c r="I10" s="40" t="n">
        <v>4</v>
      </c>
      <c r="J10" s="43" t="n">
        <v>1331</v>
      </c>
      <c r="K10" s="44" t="n">
        <v>1.5029</v>
      </c>
      <c r="L10" s="40" t="n">
        <v>1</v>
      </c>
      <c r="M10" s="43" t="n">
        <v>34946</v>
      </c>
      <c r="N10" s="45" t="n">
        <v>0.036</v>
      </c>
      <c r="O10" s="46" t="n">
        <f aca="false">IF(OR(J10="",J10=0),"",K10*3600/J10)</f>
        <v>4.06494365138993</v>
      </c>
      <c r="P10" s="47" t="n">
        <f aca="false">IF(OR(O10="",I10=0),"",O10/I10)</f>
        <v>1.01623591284748</v>
      </c>
      <c r="Q10" s="46" t="n">
        <f aca="false">IF(OR(J10="",J10=0),"",L10/J10*1000)</f>
        <v>0.751314800901578</v>
      </c>
      <c r="R10" s="39" t="n">
        <v>1</v>
      </c>
      <c r="S10" s="39" t="str">
        <f aca="false">IF(R10=0,"Clean title",IF(R10&lt;=3,"Light hashtags","Hashtag-stuffed"))</f>
        <v>Light hashtags</v>
      </c>
      <c r="T10" s="39" t="str">
        <f aca="false">IF(I10&lt;=10,"0–10 sec",IF(I10&lt;=60,"11–60 sec",IF(I10&lt;=180,"61–180 sec","3 min +")))</f>
        <v>0–10 sec</v>
      </c>
      <c r="U10" s="39" t="str">
        <f aca="false">IF(J10="","NO DATA",IF(J10&gt;=1000,"HIT",IF(J10&gt;=200,"OK","LOW")))</f>
        <v>HIT</v>
      </c>
    </row>
    <row r="11" customFormat="false" ht="15" hidden="false" customHeight="false" outlineLevel="0" collapsed="false">
      <c r="A11" s="24" t="n">
        <v>7</v>
      </c>
      <c r="B11" s="31" t="s">
        <v>80</v>
      </c>
      <c r="C11" s="32" t="s">
        <v>81</v>
      </c>
      <c r="D11" s="33" t="n">
        <v>44817</v>
      </c>
      <c r="E11" s="24" t="n">
        <f aca="false">YEAR(D11)</f>
        <v>2022</v>
      </c>
      <c r="F11" s="24" t="s">
        <v>65</v>
      </c>
      <c r="G11" s="24" t="s">
        <v>82</v>
      </c>
      <c r="H11" s="24" t="s">
        <v>83</v>
      </c>
      <c r="I11" s="31" t="n">
        <v>211</v>
      </c>
      <c r="J11" s="34" t="n">
        <v>937</v>
      </c>
      <c r="K11" s="35" t="n">
        <v>9.8311</v>
      </c>
      <c r="L11" s="31" t="n">
        <v>2</v>
      </c>
      <c r="M11" s="34" t="n">
        <v>6067</v>
      </c>
      <c r="N11" s="36" t="n">
        <v>0.0786</v>
      </c>
      <c r="O11" s="37" t="n">
        <f aca="false">IF(OR(J11="",J11=0),"",K11*3600/J11)</f>
        <v>37.7715688367129</v>
      </c>
      <c r="P11" s="38" t="n">
        <f aca="false">IF(OR(O11="",I11=0),"",O11/I11)</f>
        <v>0.179012174581578</v>
      </c>
      <c r="Q11" s="37" t="n">
        <f aca="false">IF(OR(J11="",J11=0),"",L11/J11*1000)</f>
        <v>2.13447171824973</v>
      </c>
      <c r="R11" s="24" t="n">
        <v>0</v>
      </c>
      <c r="S11" s="24" t="str">
        <f aca="false">IF(R11=0,"Clean title",IF(R11&lt;=3,"Light hashtags","Hashtag-stuffed"))</f>
        <v>Clean title</v>
      </c>
      <c r="T11" s="24" t="str">
        <f aca="false">IF(I11&lt;=10,"0–10 sec",IF(I11&lt;=60,"11–60 sec",IF(I11&lt;=180,"61–180 sec","3 min +")))</f>
        <v>3 min +</v>
      </c>
      <c r="U11" s="24" t="str">
        <f aca="false">IF(J11="","NO DATA",IF(J11&gt;=1000,"HIT",IF(J11&gt;=200,"OK","LOW")))</f>
        <v>OK</v>
      </c>
    </row>
    <row r="12" customFormat="false" ht="23.85" hidden="false" customHeight="false" outlineLevel="0" collapsed="false">
      <c r="A12" s="39" t="n">
        <v>8</v>
      </c>
      <c r="B12" s="40" t="s">
        <v>84</v>
      </c>
      <c r="C12" s="41" t="s">
        <v>85</v>
      </c>
      <c r="D12" s="42" t="n">
        <v>44897</v>
      </c>
      <c r="E12" s="39" t="n">
        <f aca="false">YEAR(D12)</f>
        <v>2022</v>
      </c>
      <c r="F12" s="39" t="s">
        <v>72</v>
      </c>
      <c r="G12" s="39" t="s">
        <v>73</v>
      </c>
      <c r="H12" s="39" t="s">
        <v>67</v>
      </c>
      <c r="I12" s="40" t="n">
        <v>35</v>
      </c>
      <c r="J12" s="43" t="n">
        <v>779</v>
      </c>
      <c r="K12" s="44" t="n">
        <v>2.6109</v>
      </c>
      <c r="L12" s="40" t="n">
        <v>2</v>
      </c>
      <c r="M12" s="43" t="n">
        <v>6579</v>
      </c>
      <c r="N12" s="45" t="n">
        <v>0.0084</v>
      </c>
      <c r="O12" s="46" t="n">
        <f aca="false">IF(OR(J12="",J12=0),"",K12*3600/J12)</f>
        <v>12.0657766367137</v>
      </c>
      <c r="P12" s="47" t="n">
        <f aca="false">IF(OR(O12="",I12=0),"",O12/I12)</f>
        <v>0.344736475334678</v>
      </c>
      <c r="Q12" s="46" t="n">
        <f aca="false">IF(OR(J12="",J12=0),"",L12/J12*1000)</f>
        <v>2.56739409499358</v>
      </c>
      <c r="R12" s="39" t="n">
        <v>0</v>
      </c>
      <c r="S12" s="39" t="str">
        <f aca="false">IF(R12=0,"Clean title",IF(R12&lt;=3,"Light hashtags","Hashtag-stuffed"))</f>
        <v>Clean title</v>
      </c>
      <c r="T12" s="39" t="str">
        <f aca="false">IF(I12&lt;=10,"0–10 sec",IF(I12&lt;=60,"11–60 sec",IF(I12&lt;=180,"61–180 sec","3 min +")))</f>
        <v>11–60 sec</v>
      </c>
      <c r="U12" s="39" t="str">
        <f aca="false">IF(J12="","NO DATA",IF(J12&gt;=1000,"HIT",IF(J12&gt;=200,"OK","LOW")))</f>
        <v>OK</v>
      </c>
    </row>
    <row r="13" customFormat="false" ht="15" hidden="false" customHeight="false" outlineLevel="0" collapsed="false">
      <c r="A13" s="24" t="n">
        <v>9</v>
      </c>
      <c r="B13" s="31" t="s">
        <v>86</v>
      </c>
      <c r="C13" s="32" t="s">
        <v>87</v>
      </c>
      <c r="D13" s="33" t="n">
        <v>46138</v>
      </c>
      <c r="E13" s="24" t="n">
        <f aca="false">YEAR(D13)</f>
        <v>2026</v>
      </c>
      <c r="F13" s="24" t="s">
        <v>65</v>
      </c>
      <c r="G13" s="24" t="s">
        <v>82</v>
      </c>
      <c r="H13" s="24" t="s">
        <v>67</v>
      </c>
      <c r="I13" s="31" t="n">
        <v>83</v>
      </c>
      <c r="J13" s="34" t="n">
        <v>719</v>
      </c>
      <c r="K13" s="35" t="n">
        <v>1.3292</v>
      </c>
      <c r="L13" s="31" t="n">
        <v>0</v>
      </c>
      <c r="M13" s="34" t="n">
        <v>78</v>
      </c>
      <c r="N13" s="36" t="n">
        <v>0.0385</v>
      </c>
      <c r="O13" s="37" t="n">
        <f aca="false">IF(OR(J13="",J13=0),"",K13*3600/J13)</f>
        <v>6.65524339360223</v>
      </c>
      <c r="P13" s="38" t="n">
        <f aca="false">IF(OR(O13="",I13=0),"",O13/I13)</f>
        <v>0.0801836553446051</v>
      </c>
      <c r="Q13" s="37" t="n">
        <f aca="false">IF(OR(J13="",J13=0),"",L13/J13*1000)</f>
        <v>0</v>
      </c>
      <c r="R13" s="24" t="n">
        <v>2</v>
      </c>
      <c r="S13" s="24" t="str">
        <f aca="false">IF(R13=0,"Clean title",IF(R13&lt;=3,"Light hashtags","Hashtag-stuffed"))</f>
        <v>Light hashtags</v>
      </c>
      <c r="T13" s="24" t="str">
        <f aca="false">IF(I13&lt;=10,"0–10 sec",IF(I13&lt;=60,"11–60 sec",IF(I13&lt;=180,"61–180 sec","3 min +")))</f>
        <v>61–180 sec</v>
      </c>
      <c r="U13" s="24" t="str">
        <f aca="false">IF(J13="","NO DATA",IF(J13&gt;=1000,"HIT",IF(J13&gt;=200,"OK","LOW")))</f>
        <v>OK</v>
      </c>
    </row>
    <row r="14" customFormat="false" ht="35.05" hidden="false" customHeight="false" outlineLevel="0" collapsed="false">
      <c r="A14" s="39" t="n">
        <v>10</v>
      </c>
      <c r="B14" s="40" t="s">
        <v>88</v>
      </c>
      <c r="C14" s="41" t="s">
        <v>89</v>
      </c>
      <c r="D14" s="42" t="n">
        <v>44873</v>
      </c>
      <c r="E14" s="39" t="n">
        <f aca="false">YEAR(D14)</f>
        <v>2022</v>
      </c>
      <c r="F14" s="39" t="s">
        <v>65</v>
      </c>
      <c r="G14" s="39" t="s">
        <v>82</v>
      </c>
      <c r="H14" s="39" t="s">
        <v>67</v>
      </c>
      <c r="I14" s="40" t="n">
        <v>50</v>
      </c>
      <c r="J14" s="43" t="n">
        <v>502</v>
      </c>
      <c r="K14" s="44" t="n">
        <v>4.0265</v>
      </c>
      <c r="L14" s="40" t="n">
        <v>1</v>
      </c>
      <c r="M14" s="43" t="n">
        <v>2482</v>
      </c>
      <c r="N14" s="45" t="n">
        <v>0.0488</v>
      </c>
      <c r="O14" s="46" t="n">
        <f aca="false">IF(OR(J14="",J14=0),"",K14*3600/J14)</f>
        <v>28.8752988047809</v>
      </c>
      <c r="P14" s="47" t="n">
        <f aca="false">IF(OR(O14="",I14=0),"",O14/I14)</f>
        <v>0.577505976095618</v>
      </c>
      <c r="Q14" s="46" t="n">
        <f aca="false">IF(OR(J14="",J14=0),"",L14/J14*1000)</f>
        <v>1.99203187250996</v>
      </c>
      <c r="R14" s="39" t="n">
        <v>6</v>
      </c>
      <c r="S14" s="39" t="str">
        <f aca="false">IF(R14=0,"Clean title",IF(R14&lt;=3,"Light hashtags","Hashtag-stuffed"))</f>
        <v>Hashtag-stuffed</v>
      </c>
      <c r="T14" s="39" t="str">
        <f aca="false">IF(I14&lt;=10,"0–10 sec",IF(I14&lt;=60,"11–60 sec",IF(I14&lt;=180,"61–180 sec","3 min +")))</f>
        <v>11–60 sec</v>
      </c>
      <c r="U14" s="39" t="str">
        <f aca="false">IF(J14="","NO DATA",IF(J14&gt;=1000,"HIT",IF(J14&gt;=200,"OK","LOW")))</f>
        <v>OK</v>
      </c>
    </row>
    <row r="15" customFormat="false" ht="15" hidden="false" customHeight="false" outlineLevel="0" collapsed="false">
      <c r="A15" s="24" t="n">
        <v>11</v>
      </c>
      <c r="B15" s="31" t="s">
        <v>90</v>
      </c>
      <c r="C15" s="32" t="s">
        <v>91</v>
      </c>
      <c r="D15" s="33" t="n">
        <v>46172</v>
      </c>
      <c r="E15" s="24" t="n">
        <f aca="false">YEAR(D15)</f>
        <v>2026</v>
      </c>
      <c r="F15" s="24" t="s">
        <v>65</v>
      </c>
      <c r="G15" s="24" t="s">
        <v>82</v>
      </c>
      <c r="H15" s="24" t="s">
        <v>67</v>
      </c>
      <c r="I15" s="31" t="n">
        <v>85</v>
      </c>
      <c r="J15" s="34" t="n">
        <v>441</v>
      </c>
      <c r="K15" s="35" t="n">
        <v>2.9524</v>
      </c>
      <c r="L15" s="31" t="n">
        <v>0</v>
      </c>
      <c r="M15" s="34" t="n">
        <v>10574</v>
      </c>
      <c r="N15" s="36" t="n">
        <v>0.0373</v>
      </c>
      <c r="O15" s="37" t="n">
        <f aca="false">IF(OR(J15="",J15=0),"",K15*3600/J15)</f>
        <v>24.1012244897959</v>
      </c>
      <c r="P15" s="38" t="n">
        <f aca="false">IF(OR(O15="",I15=0),"",O15/I15)</f>
        <v>0.283543817527011</v>
      </c>
      <c r="Q15" s="37" t="n">
        <f aca="false">IF(OR(J15="",J15=0),"",L15/J15*1000)</f>
        <v>0</v>
      </c>
      <c r="R15" s="24" t="n">
        <v>0</v>
      </c>
      <c r="S15" s="24" t="str">
        <f aca="false">IF(R15=0,"Clean title",IF(R15&lt;=3,"Light hashtags","Hashtag-stuffed"))</f>
        <v>Clean title</v>
      </c>
      <c r="T15" s="24" t="str">
        <f aca="false">IF(I15&lt;=10,"0–10 sec",IF(I15&lt;=60,"11–60 sec",IF(I15&lt;=180,"61–180 sec","3 min +")))</f>
        <v>61–180 sec</v>
      </c>
      <c r="U15" s="24" t="str">
        <f aca="false">IF(J15="","NO DATA",IF(J15&gt;=1000,"HIT",IF(J15&gt;=200,"OK","LOW")))</f>
        <v>OK</v>
      </c>
    </row>
    <row r="16" customFormat="false" ht="23.85" hidden="false" customHeight="false" outlineLevel="0" collapsed="false">
      <c r="A16" s="39" t="n">
        <v>12</v>
      </c>
      <c r="B16" s="40" t="s">
        <v>92</v>
      </c>
      <c r="C16" s="41" t="s">
        <v>93</v>
      </c>
      <c r="D16" s="42" t="n">
        <v>46180</v>
      </c>
      <c r="E16" s="39" t="n">
        <f aca="false">YEAR(D16)</f>
        <v>2026</v>
      </c>
      <c r="F16" s="39" t="s">
        <v>65</v>
      </c>
      <c r="G16" s="39" t="s">
        <v>66</v>
      </c>
      <c r="H16" s="39" t="s">
        <v>67</v>
      </c>
      <c r="I16" s="40" t="n">
        <v>4</v>
      </c>
      <c r="J16" s="43" t="n">
        <v>343</v>
      </c>
      <c r="K16" s="44" t="n">
        <v>0.1939</v>
      </c>
      <c r="L16" s="40" t="n">
        <v>0</v>
      </c>
      <c r="M16" s="43" t="n">
        <v>12</v>
      </c>
      <c r="N16" s="45" t="n">
        <v>0</v>
      </c>
      <c r="O16" s="46" t="n">
        <f aca="false">IF(OR(J16="",J16=0),"",K16*3600/J16)</f>
        <v>2.03510204081633</v>
      </c>
      <c r="P16" s="47" t="n">
        <f aca="false">IF(OR(O16="",I16=0),"",O16/I16)</f>
        <v>0.508775510204082</v>
      </c>
      <c r="Q16" s="46" t="n">
        <f aca="false">IF(OR(J16="",J16=0),"",L16/J16*1000)</f>
        <v>0</v>
      </c>
      <c r="R16" s="39" t="n">
        <v>0</v>
      </c>
      <c r="S16" s="39" t="str">
        <f aca="false">IF(R16=0,"Clean title",IF(R16&lt;=3,"Light hashtags","Hashtag-stuffed"))</f>
        <v>Clean title</v>
      </c>
      <c r="T16" s="39" t="str">
        <f aca="false">IF(I16&lt;=10,"0–10 sec",IF(I16&lt;=60,"11–60 sec",IF(I16&lt;=180,"61–180 sec","3 min +")))</f>
        <v>0–10 sec</v>
      </c>
      <c r="U16" s="39" t="str">
        <f aca="false">IF(J16="","NO DATA",IF(J16&gt;=1000,"HIT",IF(J16&gt;=200,"OK","LOW")))</f>
        <v>OK</v>
      </c>
    </row>
    <row r="17" customFormat="false" ht="15" hidden="false" customHeight="false" outlineLevel="0" collapsed="false">
      <c r="A17" s="24" t="n">
        <v>13</v>
      </c>
      <c r="B17" s="31" t="s">
        <v>94</v>
      </c>
      <c r="C17" s="32" t="s">
        <v>95</v>
      </c>
      <c r="D17" s="33" t="n">
        <v>45972</v>
      </c>
      <c r="E17" s="24" t="n">
        <f aca="false">YEAR(D17)</f>
        <v>2025</v>
      </c>
      <c r="F17" s="24" t="s">
        <v>65</v>
      </c>
      <c r="G17" s="24" t="s">
        <v>66</v>
      </c>
      <c r="H17" s="24" t="s">
        <v>67</v>
      </c>
      <c r="I17" s="31" t="n">
        <v>5</v>
      </c>
      <c r="J17" s="34" t="n">
        <v>284</v>
      </c>
      <c r="K17" s="35" t="n">
        <v>0.1059</v>
      </c>
      <c r="L17" s="31" t="n">
        <v>0</v>
      </c>
      <c r="M17" s="34" t="n">
        <v>18</v>
      </c>
      <c r="N17" s="36" t="n">
        <v>0</v>
      </c>
      <c r="O17" s="37" t="n">
        <f aca="false">IF(OR(J17="",J17=0),"",K17*3600/J17)</f>
        <v>1.34239436619718</v>
      </c>
      <c r="P17" s="38" t="n">
        <f aca="false">IF(OR(O17="",I17=0),"",O17/I17)</f>
        <v>0.268478873239437</v>
      </c>
      <c r="Q17" s="37" t="n">
        <f aca="false">IF(OR(J17="",J17=0),"",L17/J17*1000)</f>
        <v>0</v>
      </c>
      <c r="R17" s="24" t="n">
        <v>1</v>
      </c>
      <c r="S17" s="24" t="str">
        <f aca="false">IF(R17=0,"Clean title",IF(R17&lt;=3,"Light hashtags","Hashtag-stuffed"))</f>
        <v>Light hashtags</v>
      </c>
      <c r="T17" s="24" t="str">
        <f aca="false">IF(I17&lt;=10,"0–10 sec",IF(I17&lt;=60,"11–60 sec",IF(I17&lt;=180,"61–180 sec","3 min +")))</f>
        <v>0–10 sec</v>
      </c>
      <c r="U17" s="24" t="str">
        <f aca="false">IF(J17="","NO DATA",IF(J17&gt;=1000,"HIT",IF(J17&gt;=200,"OK","LOW")))</f>
        <v>OK</v>
      </c>
    </row>
    <row r="18" customFormat="false" ht="35.05" hidden="false" customHeight="false" outlineLevel="0" collapsed="false">
      <c r="A18" s="39" t="n">
        <v>14</v>
      </c>
      <c r="B18" s="40" t="s">
        <v>96</v>
      </c>
      <c r="C18" s="41" t="s">
        <v>97</v>
      </c>
      <c r="D18" s="42" t="n">
        <v>44869</v>
      </c>
      <c r="E18" s="39" t="n">
        <f aca="false">YEAR(D18)</f>
        <v>2022</v>
      </c>
      <c r="F18" s="39" t="s">
        <v>65</v>
      </c>
      <c r="G18" s="39" t="s">
        <v>82</v>
      </c>
      <c r="H18" s="39" t="s">
        <v>67</v>
      </c>
      <c r="I18" s="40" t="n">
        <v>61</v>
      </c>
      <c r="J18" s="43" t="n">
        <v>280</v>
      </c>
      <c r="K18" s="44" t="n">
        <v>1.0548</v>
      </c>
      <c r="L18" s="40" t="n">
        <v>0</v>
      </c>
      <c r="M18" s="43" t="n">
        <v>2065</v>
      </c>
      <c r="N18" s="45" t="n">
        <v>0.0426</v>
      </c>
      <c r="O18" s="46" t="n">
        <f aca="false">IF(OR(J18="",J18=0),"",K18*3600/J18)</f>
        <v>13.5617142857143</v>
      </c>
      <c r="P18" s="47" t="n">
        <f aca="false">IF(OR(O18="",I18=0),"",O18/I18)</f>
        <v>0.22232318501171</v>
      </c>
      <c r="Q18" s="46" t="n">
        <f aca="false">IF(OR(J18="",J18=0),"",L18/J18*1000)</f>
        <v>0</v>
      </c>
      <c r="R18" s="39" t="n">
        <v>6</v>
      </c>
      <c r="S18" s="39" t="str">
        <f aca="false">IF(R18=0,"Clean title",IF(R18&lt;=3,"Light hashtags","Hashtag-stuffed"))</f>
        <v>Hashtag-stuffed</v>
      </c>
      <c r="T18" s="39" t="str">
        <f aca="false">IF(I18&lt;=10,"0–10 sec",IF(I18&lt;=60,"11–60 sec",IF(I18&lt;=180,"61–180 sec","3 min +")))</f>
        <v>61–180 sec</v>
      </c>
      <c r="U18" s="39" t="str">
        <f aca="false">IF(J18="","NO DATA",IF(J18&gt;=1000,"HIT",IF(J18&gt;=200,"OK","LOW")))</f>
        <v>OK</v>
      </c>
    </row>
    <row r="19" customFormat="false" ht="23.85" hidden="false" customHeight="false" outlineLevel="0" collapsed="false">
      <c r="A19" s="24" t="n">
        <v>15</v>
      </c>
      <c r="B19" s="31" t="s">
        <v>98</v>
      </c>
      <c r="C19" s="32" t="s">
        <v>99</v>
      </c>
      <c r="D19" s="33" t="n">
        <v>44989</v>
      </c>
      <c r="E19" s="24" t="n">
        <f aca="false">YEAR(D19)</f>
        <v>2023</v>
      </c>
      <c r="F19" s="24" t="s">
        <v>100</v>
      </c>
      <c r="G19" s="24" t="s">
        <v>73</v>
      </c>
      <c r="H19" s="24" t="s">
        <v>67</v>
      </c>
      <c r="I19" s="31" t="n">
        <v>49</v>
      </c>
      <c r="J19" s="34" t="n">
        <v>272</v>
      </c>
      <c r="K19" s="35" t="n">
        <v>1.53</v>
      </c>
      <c r="L19" s="31" t="n">
        <v>0</v>
      </c>
      <c r="M19" s="34" t="n">
        <v>1361</v>
      </c>
      <c r="N19" s="36" t="n">
        <v>0.0602</v>
      </c>
      <c r="O19" s="37" t="n">
        <f aca="false">IF(OR(J19="",J19=0),"",K19*3600/J19)</f>
        <v>20.25</v>
      </c>
      <c r="P19" s="38" t="n">
        <f aca="false">IF(OR(O19="",I19=0),"",O19/I19)</f>
        <v>0.413265306122449</v>
      </c>
      <c r="Q19" s="37" t="n">
        <f aca="false">IF(OR(J19="",J19=0),"",L19/J19*1000)</f>
        <v>0</v>
      </c>
      <c r="R19" s="24" t="n">
        <v>9</v>
      </c>
      <c r="S19" s="24" t="str">
        <f aca="false">IF(R19=0,"Clean title",IF(R19&lt;=3,"Light hashtags","Hashtag-stuffed"))</f>
        <v>Hashtag-stuffed</v>
      </c>
      <c r="T19" s="24" t="str">
        <f aca="false">IF(I19&lt;=10,"0–10 sec",IF(I19&lt;=60,"11–60 sec",IF(I19&lt;=180,"61–180 sec","3 min +")))</f>
        <v>11–60 sec</v>
      </c>
      <c r="U19" s="24" t="str">
        <f aca="false">IF(J19="","NO DATA",IF(J19&gt;=1000,"HIT",IF(J19&gt;=200,"OK","LOW")))</f>
        <v>OK</v>
      </c>
    </row>
    <row r="20" customFormat="false" ht="15" hidden="false" customHeight="false" outlineLevel="0" collapsed="false">
      <c r="A20" s="39" t="n">
        <v>16</v>
      </c>
      <c r="B20" s="40" t="s">
        <v>101</v>
      </c>
      <c r="C20" s="41" t="s">
        <v>102</v>
      </c>
      <c r="D20" s="42" t="n">
        <v>45982</v>
      </c>
      <c r="E20" s="39" t="n">
        <f aca="false">YEAR(D20)</f>
        <v>2025</v>
      </c>
      <c r="F20" s="39" t="s">
        <v>65</v>
      </c>
      <c r="G20" s="39" t="s">
        <v>66</v>
      </c>
      <c r="H20" s="39" t="s">
        <v>67</v>
      </c>
      <c r="I20" s="40" t="n">
        <v>5</v>
      </c>
      <c r="J20" s="43" t="n">
        <v>263</v>
      </c>
      <c r="K20" s="44" t="n">
        <v>0.1096</v>
      </c>
      <c r="L20" s="40" t="n">
        <v>0</v>
      </c>
      <c r="M20" s="43" t="n">
        <v>52</v>
      </c>
      <c r="N20" s="45" t="n">
        <v>0</v>
      </c>
      <c r="O20" s="46" t="n">
        <f aca="false">IF(OR(J20="",J20=0),"",K20*3600/J20)</f>
        <v>1.50022813688213</v>
      </c>
      <c r="P20" s="47" t="n">
        <f aca="false">IF(OR(O20="",I20=0),"",O20/I20)</f>
        <v>0.300045627376426</v>
      </c>
      <c r="Q20" s="46" t="n">
        <f aca="false">IF(OR(J20="",J20=0),"",L20/J20*1000)</f>
        <v>0</v>
      </c>
      <c r="R20" s="39" t="n">
        <v>0</v>
      </c>
      <c r="S20" s="39" t="str">
        <f aca="false">IF(R20=0,"Clean title",IF(R20&lt;=3,"Light hashtags","Hashtag-stuffed"))</f>
        <v>Clean title</v>
      </c>
      <c r="T20" s="39" t="str">
        <f aca="false">IF(I20&lt;=10,"0–10 sec",IF(I20&lt;=60,"11–60 sec",IF(I20&lt;=180,"61–180 sec","3 min +")))</f>
        <v>0–10 sec</v>
      </c>
      <c r="U20" s="39" t="str">
        <f aca="false">IF(J20="","NO DATA",IF(J20&gt;=1000,"HIT",IF(J20&gt;=200,"OK","LOW")))</f>
        <v>OK</v>
      </c>
    </row>
    <row r="21" customFormat="false" ht="35.05" hidden="false" customHeight="false" outlineLevel="0" collapsed="false">
      <c r="A21" s="24" t="n">
        <v>17</v>
      </c>
      <c r="B21" s="31" t="s">
        <v>103</v>
      </c>
      <c r="C21" s="32" t="s">
        <v>104</v>
      </c>
      <c r="D21" s="33" t="n">
        <v>45222</v>
      </c>
      <c r="E21" s="24" t="n">
        <f aca="false">YEAR(D21)</f>
        <v>2023</v>
      </c>
      <c r="F21" s="24" t="s">
        <v>65</v>
      </c>
      <c r="G21" s="24" t="s">
        <v>82</v>
      </c>
      <c r="H21" s="24" t="s">
        <v>83</v>
      </c>
      <c r="I21" s="31" t="n">
        <v>418</v>
      </c>
      <c r="J21" s="34" t="n">
        <v>261</v>
      </c>
      <c r="K21" s="35" t="n">
        <v>4.2403</v>
      </c>
      <c r="L21" s="31" t="n">
        <v>0</v>
      </c>
      <c r="M21" s="34" t="n">
        <v>4768</v>
      </c>
      <c r="N21" s="36" t="n">
        <v>0.0489</v>
      </c>
      <c r="O21" s="37" t="n">
        <f aca="false">IF(OR(J21="",J21=0),"",K21*3600/J21)</f>
        <v>58.4868965517241</v>
      </c>
      <c r="P21" s="38" t="n">
        <f aca="false">IF(OR(O21="",I21=0),"",O21/I21)</f>
        <v>0.139920805147665</v>
      </c>
      <c r="Q21" s="37" t="n">
        <f aca="false">IF(OR(J21="",J21=0),"",L21/J21*1000)</f>
        <v>0</v>
      </c>
      <c r="R21" s="24" t="n">
        <v>8</v>
      </c>
      <c r="S21" s="24" t="str">
        <f aca="false">IF(R21=0,"Clean title",IF(R21&lt;=3,"Light hashtags","Hashtag-stuffed"))</f>
        <v>Hashtag-stuffed</v>
      </c>
      <c r="T21" s="24" t="str">
        <f aca="false">IF(I21&lt;=10,"0–10 sec",IF(I21&lt;=60,"11–60 sec",IF(I21&lt;=180,"61–180 sec","3 min +")))</f>
        <v>3 min +</v>
      </c>
      <c r="U21" s="24" t="str">
        <f aca="false">IF(J21="","NO DATA",IF(J21&gt;=1000,"HIT",IF(J21&gt;=200,"OK","LOW")))</f>
        <v>OK</v>
      </c>
    </row>
    <row r="22" customFormat="false" ht="15" hidden="false" customHeight="false" outlineLevel="0" collapsed="false">
      <c r="A22" s="39" t="n">
        <v>18</v>
      </c>
      <c r="B22" s="40" t="s">
        <v>105</v>
      </c>
      <c r="C22" s="41" t="s">
        <v>106</v>
      </c>
      <c r="D22" s="42" t="n">
        <v>45977</v>
      </c>
      <c r="E22" s="39" t="n">
        <f aca="false">YEAR(D22)</f>
        <v>2025</v>
      </c>
      <c r="F22" s="39" t="s">
        <v>65</v>
      </c>
      <c r="G22" s="39" t="s">
        <v>66</v>
      </c>
      <c r="H22" s="39" t="s">
        <v>67</v>
      </c>
      <c r="I22" s="40" t="n">
        <v>14</v>
      </c>
      <c r="J22" s="43" t="n">
        <v>249</v>
      </c>
      <c r="K22" s="44" t="n">
        <v>0.1385</v>
      </c>
      <c r="L22" s="40" t="n">
        <v>0</v>
      </c>
      <c r="M22" s="43" t="n">
        <v>32</v>
      </c>
      <c r="N22" s="45" t="n">
        <v>0.0313</v>
      </c>
      <c r="O22" s="46" t="n">
        <f aca="false">IF(OR(J22="",J22=0),"",K22*3600/J22)</f>
        <v>2.00240963855422</v>
      </c>
      <c r="P22" s="47" t="n">
        <f aca="false">IF(OR(O22="",I22=0),"",O22/I22)</f>
        <v>0.14302925989673</v>
      </c>
      <c r="Q22" s="46" t="n">
        <f aca="false">IF(OR(J22="",J22=0),"",L22/J22*1000)</f>
        <v>0</v>
      </c>
      <c r="R22" s="39" t="n">
        <v>0</v>
      </c>
      <c r="S22" s="39" t="str">
        <f aca="false">IF(R22=0,"Clean title",IF(R22&lt;=3,"Light hashtags","Hashtag-stuffed"))</f>
        <v>Clean title</v>
      </c>
      <c r="T22" s="39" t="str">
        <f aca="false">IF(I22&lt;=10,"0–10 sec",IF(I22&lt;=60,"11–60 sec",IF(I22&lt;=180,"61–180 sec","3 min +")))</f>
        <v>11–60 sec</v>
      </c>
      <c r="U22" s="39" t="str">
        <f aca="false">IF(J22="","NO DATA",IF(J22&gt;=1000,"HIT",IF(J22&gt;=200,"OK","LOW")))</f>
        <v>OK</v>
      </c>
    </row>
    <row r="23" customFormat="false" ht="23.85" hidden="false" customHeight="false" outlineLevel="0" collapsed="false">
      <c r="A23" s="24" t="n">
        <v>19</v>
      </c>
      <c r="B23" s="31" t="s">
        <v>107</v>
      </c>
      <c r="C23" s="32" t="s">
        <v>108</v>
      </c>
      <c r="D23" s="33" t="n">
        <v>44925</v>
      </c>
      <c r="E23" s="24" t="n">
        <f aca="false">YEAR(D23)</f>
        <v>2022</v>
      </c>
      <c r="F23" s="24" t="s">
        <v>100</v>
      </c>
      <c r="G23" s="24" t="s">
        <v>73</v>
      </c>
      <c r="H23" s="24" t="s">
        <v>67</v>
      </c>
      <c r="I23" s="31" t="n">
        <v>7</v>
      </c>
      <c r="J23" s="34" t="n">
        <v>227</v>
      </c>
      <c r="K23" s="35" t="n">
        <v>0.4975</v>
      </c>
      <c r="L23" s="31" t="n">
        <v>0</v>
      </c>
      <c r="M23" s="34" t="n">
        <v>1935</v>
      </c>
      <c r="N23" s="36" t="n">
        <v>0.0388</v>
      </c>
      <c r="O23" s="37" t="n">
        <f aca="false">IF(OR(J23="",J23=0),"",K23*3600/J23)</f>
        <v>7.88986784140969</v>
      </c>
      <c r="P23" s="38" t="n">
        <f aca="false">IF(OR(O23="",I23=0),"",O23/I23)</f>
        <v>1.12712397734424</v>
      </c>
      <c r="Q23" s="37" t="n">
        <f aca="false">IF(OR(J23="",J23=0),"",L23/J23*1000)</f>
        <v>0</v>
      </c>
      <c r="R23" s="24" t="n">
        <v>7</v>
      </c>
      <c r="S23" s="24" t="str">
        <f aca="false">IF(R23=0,"Clean title",IF(R23&lt;=3,"Light hashtags","Hashtag-stuffed"))</f>
        <v>Hashtag-stuffed</v>
      </c>
      <c r="T23" s="24" t="str">
        <f aca="false">IF(I23&lt;=10,"0–10 sec",IF(I23&lt;=60,"11–60 sec",IF(I23&lt;=180,"61–180 sec","3 min +")))</f>
        <v>0–10 sec</v>
      </c>
      <c r="U23" s="24" t="str">
        <f aca="false">IF(J23="","NO DATA",IF(J23&gt;=1000,"HIT",IF(J23&gt;=200,"OK","LOW")))</f>
        <v>OK</v>
      </c>
    </row>
    <row r="24" customFormat="false" ht="15" hidden="false" customHeight="false" outlineLevel="0" collapsed="false">
      <c r="A24" s="39" t="n">
        <v>20</v>
      </c>
      <c r="B24" s="40" t="s">
        <v>109</v>
      </c>
      <c r="C24" s="41" t="s">
        <v>110</v>
      </c>
      <c r="D24" s="42" t="n">
        <v>45979</v>
      </c>
      <c r="E24" s="39" t="n">
        <f aca="false">YEAR(D24)</f>
        <v>2025</v>
      </c>
      <c r="F24" s="39" t="s">
        <v>65</v>
      </c>
      <c r="G24" s="39" t="s">
        <v>66</v>
      </c>
      <c r="H24" s="39" t="s">
        <v>67</v>
      </c>
      <c r="I24" s="40" t="n">
        <v>6</v>
      </c>
      <c r="J24" s="43" t="n">
        <v>224</v>
      </c>
      <c r="K24" s="44" t="n">
        <v>0.1047</v>
      </c>
      <c r="L24" s="40" t="n">
        <v>0</v>
      </c>
      <c r="M24" s="43" t="n">
        <v>46</v>
      </c>
      <c r="N24" s="45" t="n">
        <v>0</v>
      </c>
      <c r="O24" s="46" t="n">
        <f aca="false">IF(OR(J24="",J24=0),"",K24*3600/J24)</f>
        <v>1.68267857142857</v>
      </c>
      <c r="P24" s="47" t="n">
        <f aca="false">IF(OR(O24="",I24=0),"",O24/I24)</f>
        <v>0.280446428571429</v>
      </c>
      <c r="Q24" s="46" t="n">
        <f aca="false">IF(OR(J24="",J24=0),"",L24/J24*1000)</f>
        <v>0</v>
      </c>
      <c r="R24" s="39" t="n">
        <v>0</v>
      </c>
      <c r="S24" s="39" t="str">
        <f aca="false">IF(R24=0,"Clean title",IF(R24&lt;=3,"Light hashtags","Hashtag-stuffed"))</f>
        <v>Clean title</v>
      </c>
      <c r="T24" s="39" t="str">
        <f aca="false">IF(I24&lt;=10,"0–10 sec",IF(I24&lt;=60,"11–60 sec",IF(I24&lt;=180,"61–180 sec","3 min +")))</f>
        <v>0–10 sec</v>
      </c>
      <c r="U24" s="39" t="str">
        <f aca="false">IF(J24="","NO DATA",IF(J24&gt;=1000,"HIT",IF(J24&gt;=200,"OK","LOW")))</f>
        <v>OK</v>
      </c>
    </row>
    <row r="25" customFormat="false" ht="23.85" hidden="false" customHeight="false" outlineLevel="0" collapsed="false">
      <c r="A25" s="24" t="n">
        <v>21</v>
      </c>
      <c r="B25" s="31" t="s">
        <v>111</v>
      </c>
      <c r="C25" s="32" t="s">
        <v>112</v>
      </c>
      <c r="D25" s="33" t="n">
        <v>44945</v>
      </c>
      <c r="E25" s="24" t="n">
        <f aca="false">YEAR(D25)</f>
        <v>2023</v>
      </c>
      <c r="F25" s="24" t="s">
        <v>100</v>
      </c>
      <c r="G25" s="24" t="s">
        <v>73</v>
      </c>
      <c r="H25" s="24" t="s">
        <v>67</v>
      </c>
      <c r="I25" s="31" t="n">
        <v>60</v>
      </c>
      <c r="J25" s="34" t="n">
        <v>190</v>
      </c>
      <c r="K25" s="35" t="n">
        <v>0.6336</v>
      </c>
      <c r="L25" s="31" t="n">
        <v>1</v>
      </c>
      <c r="M25" s="34" t="n">
        <v>272</v>
      </c>
      <c r="N25" s="36" t="n">
        <v>0.0257</v>
      </c>
      <c r="O25" s="37" t="n">
        <f aca="false">IF(OR(J25="",J25=0),"",K25*3600/J25)</f>
        <v>12.0050526315789</v>
      </c>
      <c r="P25" s="38" t="n">
        <f aca="false">IF(OR(O25="",I25=0),"",O25/I25)</f>
        <v>0.200084210526316</v>
      </c>
      <c r="Q25" s="37" t="n">
        <f aca="false">IF(OR(J25="",J25=0),"",L25/J25*1000)</f>
        <v>5.26315789473684</v>
      </c>
      <c r="R25" s="24" t="n">
        <v>7</v>
      </c>
      <c r="S25" s="24" t="str">
        <f aca="false">IF(R25=0,"Clean title",IF(R25&lt;=3,"Light hashtags","Hashtag-stuffed"))</f>
        <v>Hashtag-stuffed</v>
      </c>
      <c r="T25" s="24" t="str">
        <f aca="false">IF(I25&lt;=10,"0–10 sec",IF(I25&lt;=60,"11–60 sec",IF(I25&lt;=180,"61–180 sec","3 min +")))</f>
        <v>11–60 sec</v>
      </c>
      <c r="U25" s="24" t="str">
        <f aca="false">IF(J25="","NO DATA",IF(J25&gt;=1000,"HIT",IF(J25&gt;=200,"OK","LOW")))</f>
        <v>LOW</v>
      </c>
    </row>
    <row r="26" customFormat="false" ht="23.85" hidden="false" customHeight="false" outlineLevel="0" collapsed="false">
      <c r="A26" s="39" t="n">
        <v>22</v>
      </c>
      <c r="B26" s="40" t="s">
        <v>113</v>
      </c>
      <c r="C26" s="41" t="s">
        <v>114</v>
      </c>
      <c r="D26" s="42" t="n">
        <v>45064</v>
      </c>
      <c r="E26" s="39" t="n">
        <f aca="false">YEAR(D26)</f>
        <v>2023</v>
      </c>
      <c r="F26" s="39" t="s">
        <v>72</v>
      </c>
      <c r="G26" s="39" t="s">
        <v>73</v>
      </c>
      <c r="H26" s="39" t="s">
        <v>67</v>
      </c>
      <c r="I26" s="40" t="n">
        <v>8</v>
      </c>
      <c r="J26" s="43" t="n">
        <v>183</v>
      </c>
      <c r="K26" s="44" t="n">
        <v>0.5893</v>
      </c>
      <c r="L26" s="40" t="n">
        <v>0</v>
      </c>
      <c r="M26" s="43" t="n">
        <v>989</v>
      </c>
      <c r="N26" s="45" t="n">
        <v>0.0091</v>
      </c>
      <c r="O26" s="46" t="n">
        <f aca="false">IF(OR(J26="",J26=0),"",K26*3600/J26)</f>
        <v>11.5927868852459</v>
      </c>
      <c r="P26" s="47" t="n">
        <f aca="false">IF(OR(O26="",I26=0),"",O26/I26)</f>
        <v>1.44909836065574</v>
      </c>
      <c r="Q26" s="46" t="n">
        <f aca="false">IF(OR(J26="",J26=0),"",L26/J26*1000)</f>
        <v>0</v>
      </c>
      <c r="R26" s="39" t="n">
        <v>7</v>
      </c>
      <c r="S26" s="39" t="str">
        <f aca="false">IF(R26=0,"Clean title",IF(R26&lt;=3,"Light hashtags","Hashtag-stuffed"))</f>
        <v>Hashtag-stuffed</v>
      </c>
      <c r="T26" s="39" t="str">
        <f aca="false">IF(I26&lt;=10,"0–10 sec",IF(I26&lt;=60,"11–60 sec",IF(I26&lt;=180,"61–180 sec","3 min +")))</f>
        <v>0–10 sec</v>
      </c>
      <c r="U26" s="39" t="str">
        <f aca="false">IF(J26="","NO DATA",IF(J26&gt;=1000,"HIT",IF(J26&gt;=200,"OK","LOW")))</f>
        <v>LOW</v>
      </c>
    </row>
    <row r="27" customFormat="false" ht="35.05" hidden="false" customHeight="false" outlineLevel="0" collapsed="false">
      <c r="A27" s="24" t="n">
        <v>23</v>
      </c>
      <c r="B27" s="31" t="s">
        <v>115</v>
      </c>
      <c r="C27" s="32" t="s">
        <v>116</v>
      </c>
      <c r="D27" s="33" t="n">
        <v>45290</v>
      </c>
      <c r="E27" s="24" t="n">
        <f aca="false">YEAR(D27)</f>
        <v>2023</v>
      </c>
      <c r="F27" s="24" t="s">
        <v>65</v>
      </c>
      <c r="G27" s="24" t="s">
        <v>82</v>
      </c>
      <c r="H27" s="24" t="s">
        <v>67</v>
      </c>
      <c r="I27" s="31" t="n">
        <v>79</v>
      </c>
      <c r="J27" s="34" t="n">
        <v>178</v>
      </c>
      <c r="K27" s="35" t="n">
        <v>0.8989</v>
      </c>
      <c r="L27" s="31" t="n">
        <v>1</v>
      </c>
      <c r="M27" s="34" t="n">
        <v>4253</v>
      </c>
      <c r="N27" s="36" t="n">
        <v>0.0369</v>
      </c>
      <c r="O27" s="37" t="n">
        <f aca="false">IF(OR(J27="",J27=0),"",K27*3600/J27)</f>
        <v>18.18</v>
      </c>
      <c r="P27" s="38" t="n">
        <f aca="false">IF(OR(O27="",I27=0),"",O27/I27)</f>
        <v>0.230126582278481</v>
      </c>
      <c r="Q27" s="37" t="n">
        <f aca="false">IF(OR(J27="",J27=0),"",L27/J27*1000)</f>
        <v>5.61797752808989</v>
      </c>
      <c r="R27" s="24" t="n">
        <v>6</v>
      </c>
      <c r="S27" s="24" t="str">
        <f aca="false">IF(R27=0,"Clean title",IF(R27&lt;=3,"Light hashtags","Hashtag-stuffed"))</f>
        <v>Hashtag-stuffed</v>
      </c>
      <c r="T27" s="24" t="str">
        <f aca="false">IF(I27&lt;=10,"0–10 sec",IF(I27&lt;=60,"11–60 sec",IF(I27&lt;=180,"61–180 sec","3 min +")))</f>
        <v>61–180 sec</v>
      </c>
      <c r="U27" s="24" t="str">
        <f aca="false">IF(J27="","NO DATA",IF(J27&gt;=1000,"HIT",IF(J27&gt;=200,"OK","LOW")))</f>
        <v>LOW</v>
      </c>
    </row>
    <row r="28" customFormat="false" ht="15" hidden="false" customHeight="false" outlineLevel="0" collapsed="false">
      <c r="A28" s="39" t="n">
        <v>24</v>
      </c>
      <c r="B28" s="40" t="s">
        <v>117</v>
      </c>
      <c r="C28" s="41" t="s">
        <v>118</v>
      </c>
      <c r="D28" s="42" t="n">
        <v>44907</v>
      </c>
      <c r="E28" s="39" t="n">
        <f aca="false">YEAR(D28)</f>
        <v>2022</v>
      </c>
      <c r="F28" s="39" t="s">
        <v>100</v>
      </c>
      <c r="G28" s="39" t="s">
        <v>73</v>
      </c>
      <c r="H28" s="39" t="s">
        <v>67</v>
      </c>
      <c r="I28" s="40" t="n">
        <v>33</v>
      </c>
      <c r="J28" s="43" t="n">
        <v>165</v>
      </c>
      <c r="K28" s="44" t="n">
        <v>2.2136</v>
      </c>
      <c r="L28" s="40" t="n">
        <v>0</v>
      </c>
      <c r="M28" s="43" t="n">
        <v>752</v>
      </c>
      <c r="N28" s="45" t="n">
        <v>0.0359</v>
      </c>
      <c r="O28" s="46" t="n">
        <f aca="false">IF(OR(J28="",J28=0),"",K28*3600/J28)</f>
        <v>48.2967272727273</v>
      </c>
      <c r="P28" s="47" t="n">
        <f aca="false">IF(OR(O28="",I28=0),"",O28/I28)</f>
        <v>1.46353719008264</v>
      </c>
      <c r="Q28" s="46" t="n">
        <f aca="false">IF(OR(J28="",J28=0),"",L28/J28*1000)</f>
        <v>0</v>
      </c>
      <c r="R28" s="39" t="n">
        <v>3</v>
      </c>
      <c r="S28" s="39" t="str">
        <f aca="false">IF(R28=0,"Clean title",IF(R28&lt;=3,"Light hashtags","Hashtag-stuffed"))</f>
        <v>Light hashtags</v>
      </c>
      <c r="T28" s="39" t="str">
        <f aca="false">IF(I28&lt;=10,"0–10 sec",IF(I28&lt;=60,"11–60 sec",IF(I28&lt;=180,"61–180 sec","3 min +")))</f>
        <v>11–60 sec</v>
      </c>
      <c r="U28" s="39" t="str">
        <f aca="false">IF(J28="","NO DATA",IF(J28&gt;=1000,"HIT",IF(J28&gt;=200,"OK","LOW")))</f>
        <v>LOW</v>
      </c>
    </row>
    <row r="29" customFormat="false" ht="35.05" hidden="false" customHeight="false" outlineLevel="0" collapsed="false">
      <c r="A29" s="24" t="n">
        <v>25</v>
      </c>
      <c r="B29" s="31" t="s">
        <v>119</v>
      </c>
      <c r="C29" s="32" t="s">
        <v>120</v>
      </c>
      <c r="D29" s="33" t="n">
        <v>45296</v>
      </c>
      <c r="E29" s="24" t="n">
        <f aca="false">YEAR(D29)</f>
        <v>2024</v>
      </c>
      <c r="F29" s="24" t="s">
        <v>65</v>
      </c>
      <c r="G29" s="24" t="s">
        <v>82</v>
      </c>
      <c r="H29" s="24" t="s">
        <v>67</v>
      </c>
      <c r="I29" s="31" t="n">
        <v>11</v>
      </c>
      <c r="J29" s="34" t="n">
        <v>155</v>
      </c>
      <c r="K29" s="35" t="n">
        <v>0.4022</v>
      </c>
      <c r="L29" s="31" t="n">
        <v>0</v>
      </c>
      <c r="M29" s="34" t="n">
        <v>2946</v>
      </c>
      <c r="N29" s="36" t="n">
        <v>0.0479</v>
      </c>
      <c r="O29" s="37" t="n">
        <f aca="false">IF(OR(J29="",J29=0),"",K29*3600/J29)</f>
        <v>9.34141935483871</v>
      </c>
      <c r="P29" s="38" t="n">
        <f aca="false">IF(OR(O29="",I29=0),"",O29/I29)</f>
        <v>0.849219941348974</v>
      </c>
      <c r="Q29" s="37" t="n">
        <f aca="false">IF(OR(J29="",J29=0),"",L29/J29*1000)</f>
        <v>0</v>
      </c>
      <c r="R29" s="24" t="n">
        <v>6</v>
      </c>
      <c r="S29" s="24" t="str">
        <f aca="false">IF(R29=0,"Clean title",IF(R29&lt;=3,"Light hashtags","Hashtag-stuffed"))</f>
        <v>Hashtag-stuffed</v>
      </c>
      <c r="T29" s="24" t="str">
        <f aca="false">IF(I29&lt;=10,"0–10 sec",IF(I29&lt;=60,"11–60 sec",IF(I29&lt;=180,"61–180 sec","3 min +")))</f>
        <v>11–60 sec</v>
      </c>
      <c r="U29" s="24" t="str">
        <f aca="false">IF(J29="","NO DATA",IF(J29&gt;=1000,"HIT",IF(J29&gt;=200,"OK","LOW")))</f>
        <v>LOW</v>
      </c>
    </row>
    <row r="30" customFormat="false" ht="15" hidden="false" customHeight="false" outlineLevel="0" collapsed="false">
      <c r="A30" s="39" t="n">
        <v>26</v>
      </c>
      <c r="B30" s="40" t="s">
        <v>121</v>
      </c>
      <c r="C30" s="41" t="s">
        <v>122</v>
      </c>
      <c r="D30" s="42" t="n">
        <v>44890</v>
      </c>
      <c r="E30" s="39" t="n">
        <f aca="false">YEAR(D30)</f>
        <v>2022</v>
      </c>
      <c r="F30" s="39" t="s">
        <v>123</v>
      </c>
      <c r="G30" s="39" t="s">
        <v>73</v>
      </c>
      <c r="H30" s="39" t="s">
        <v>67</v>
      </c>
      <c r="I30" s="40" t="n">
        <v>11</v>
      </c>
      <c r="J30" s="43" t="n">
        <v>152</v>
      </c>
      <c r="K30" s="44" t="n">
        <v>0.3393</v>
      </c>
      <c r="L30" s="40" t="n">
        <v>0</v>
      </c>
      <c r="M30" s="43" t="n">
        <v>2823</v>
      </c>
      <c r="N30" s="45" t="n">
        <v>0.022</v>
      </c>
      <c r="O30" s="46" t="n">
        <f aca="false">IF(OR(J30="",J30=0),"",K30*3600/J30)</f>
        <v>8.03605263157895</v>
      </c>
      <c r="P30" s="47" t="n">
        <f aca="false">IF(OR(O30="",I30=0),"",O30/I30)</f>
        <v>0.73055023923445</v>
      </c>
      <c r="Q30" s="46" t="n">
        <f aca="false">IF(OR(J30="",J30=0),"",L30/J30*1000)</f>
        <v>0</v>
      </c>
      <c r="R30" s="39" t="n">
        <v>3</v>
      </c>
      <c r="S30" s="39" t="str">
        <f aca="false">IF(R30=0,"Clean title",IF(R30&lt;=3,"Light hashtags","Hashtag-stuffed"))</f>
        <v>Light hashtags</v>
      </c>
      <c r="T30" s="39" t="str">
        <f aca="false">IF(I30&lt;=10,"0–10 sec",IF(I30&lt;=60,"11–60 sec",IF(I30&lt;=180,"61–180 sec","3 min +")))</f>
        <v>11–60 sec</v>
      </c>
      <c r="U30" s="39" t="str">
        <f aca="false">IF(J30="","NO DATA",IF(J30&gt;=1000,"HIT",IF(J30&gt;=200,"OK","LOW")))</f>
        <v>LOW</v>
      </c>
    </row>
    <row r="31" customFormat="false" ht="15" hidden="false" customHeight="false" outlineLevel="0" collapsed="false">
      <c r="A31" s="24" t="n">
        <v>27</v>
      </c>
      <c r="B31" s="31" t="s">
        <v>124</v>
      </c>
      <c r="C31" s="32" t="s">
        <v>125</v>
      </c>
      <c r="D31" s="33" t="n">
        <v>46194</v>
      </c>
      <c r="E31" s="24" t="n">
        <f aca="false">YEAR(D31)</f>
        <v>2026</v>
      </c>
      <c r="F31" s="24" t="s">
        <v>65</v>
      </c>
      <c r="G31" s="24" t="s">
        <v>66</v>
      </c>
      <c r="H31" s="24" t="s">
        <v>67</v>
      </c>
      <c r="I31" s="31" t="n">
        <v>5</v>
      </c>
      <c r="J31" s="34" t="n">
        <v>148</v>
      </c>
      <c r="K31" s="35" t="n">
        <v>0.0816</v>
      </c>
      <c r="L31" s="31" t="n">
        <v>0</v>
      </c>
      <c r="M31" s="34" t="n">
        <v>21</v>
      </c>
      <c r="N31" s="36" t="n">
        <v>0</v>
      </c>
      <c r="O31" s="37" t="n">
        <f aca="false">IF(OR(J31="",J31=0),"",K31*3600/J31)</f>
        <v>1.98486486486487</v>
      </c>
      <c r="P31" s="38" t="n">
        <f aca="false">IF(OR(O31="",I31=0),"",O31/I31)</f>
        <v>0.396972972972973</v>
      </c>
      <c r="Q31" s="37" t="n">
        <f aca="false">IF(OR(J31="",J31=0),"",L31/J31*1000)</f>
        <v>0</v>
      </c>
      <c r="R31" s="24" t="n">
        <v>0</v>
      </c>
      <c r="S31" s="24" t="str">
        <f aca="false">IF(R31=0,"Clean title",IF(R31&lt;=3,"Light hashtags","Hashtag-stuffed"))</f>
        <v>Clean title</v>
      </c>
      <c r="T31" s="24" t="str">
        <f aca="false">IF(I31&lt;=10,"0–10 sec",IF(I31&lt;=60,"11–60 sec",IF(I31&lt;=180,"61–180 sec","3 min +")))</f>
        <v>0–10 sec</v>
      </c>
      <c r="U31" s="24" t="str">
        <f aca="false">IF(J31="","NO DATA",IF(J31&gt;=1000,"HIT",IF(J31&gt;=200,"OK","LOW")))</f>
        <v>LOW</v>
      </c>
    </row>
    <row r="32" customFormat="false" ht="35.05" hidden="false" customHeight="false" outlineLevel="0" collapsed="false">
      <c r="A32" s="39" t="n">
        <v>28</v>
      </c>
      <c r="B32" s="40" t="s">
        <v>126</v>
      </c>
      <c r="C32" s="41" t="s">
        <v>127</v>
      </c>
      <c r="D32" s="42" t="n">
        <v>45024</v>
      </c>
      <c r="E32" s="39" t="n">
        <f aca="false">YEAR(D32)</f>
        <v>2023</v>
      </c>
      <c r="F32" s="39" t="s">
        <v>100</v>
      </c>
      <c r="G32" s="39" t="s">
        <v>73</v>
      </c>
      <c r="H32" s="39" t="s">
        <v>67</v>
      </c>
      <c r="I32" s="40" t="n">
        <v>61</v>
      </c>
      <c r="J32" s="43" t="n">
        <v>147</v>
      </c>
      <c r="K32" s="44" t="n">
        <v>0.597</v>
      </c>
      <c r="L32" s="40" t="n">
        <v>1</v>
      </c>
      <c r="M32" s="43" t="n">
        <v>506</v>
      </c>
      <c r="N32" s="45" t="n">
        <v>0.0356</v>
      </c>
      <c r="O32" s="46" t="n">
        <f aca="false">IF(OR(J32="",J32=0),"",K32*3600/J32)</f>
        <v>14.6204081632653</v>
      </c>
      <c r="P32" s="47" t="n">
        <f aca="false">IF(OR(O32="",I32=0),"",O32/I32)</f>
        <v>0.239678822348612</v>
      </c>
      <c r="Q32" s="46" t="n">
        <f aca="false">IF(OR(J32="",J32=0),"",L32/J32*1000)</f>
        <v>6.80272108843537</v>
      </c>
      <c r="R32" s="39" t="n">
        <v>11</v>
      </c>
      <c r="S32" s="39" t="str">
        <f aca="false">IF(R32=0,"Clean title",IF(R32&lt;=3,"Light hashtags","Hashtag-stuffed"))</f>
        <v>Hashtag-stuffed</v>
      </c>
      <c r="T32" s="39" t="str">
        <f aca="false">IF(I32&lt;=10,"0–10 sec",IF(I32&lt;=60,"11–60 sec",IF(I32&lt;=180,"61–180 sec","3 min +")))</f>
        <v>61–180 sec</v>
      </c>
      <c r="U32" s="39" t="str">
        <f aca="false">IF(J32="","NO DATA",IF(J32&gt;=1000,"HIT",IF(J32&gt;=200,"OK","LOW")))</f>
        <v>LOW</v>
      </c>
    </row>
    <row r="33" customFormat="false" ht="15" hidden="false" customHeight="false" outlineLevel="0" collapsed="false">
      <c r="A33" s="24" t="n">
        <v>29</v>
      </c>
      <c r="B33" s="31" t="s">
        <v>128</v>
      </c>
      <c r="C33" s="32" t="s">
        <v>129</v>
      </c>
      <c r="D33" s="33" t="n">
        <v>45570</v>
      </c>
      <c r="E33" s="24" t="n">
        <f aca="false">YEAR(D33)</f>
        <v>2024</v>
      </c>
      <c r="F33" s="24" t="s">
        <v>100</v>
      </c>
      <c r="G33" s="24" t="s">
        <v>73</v>
      </c>
      <c r="H33" s="24" t="s">
        <v>83</v>
      </c>
      <c r="I33" s="31" t="n">
        <v>1663</v>
      </c>
      <c r="J33" s="34" t="n">
        <v>145</v>
      </c>
      <c r="K33" s="35" t="n">
        <v>2.8092</v>
      </c>
      <c r="L33" s="31" t="n">
        <v>-1</v>
      </c>
      <c r="M33" s="34" t="n">
        <v>1523</v>
      </c>
      <c r="N33" s="36" t="n">
        <v>0.0735</v>
      </c>
      <c r="O33" s="37" t="n">
        <f aca="false">IF(OR(J33="",J33=0),"",K33*3600/J33)</f>
        <v>69.7456551724138</v>
      </c>
      <c r="P33" s="38" t="n">
        <f aca="false">IF(OR(O33="",I33=0),"",O33/I33)</f>
        <v>0.041939660356232</v>
      </c>
      <c r="Q33" s="37" t="n">
        <f aca="false">IF(OR(J33="",J33=0),"",L33/J33*1000)</f>
        <v>-6.89655172413793</v>
      </c>
      <c r="R33" s="24" t="n">
        <v>0</v>
      </c>
      <c r="S33" s="24" t="str">
        <f aca="false">IF(R33=0,"Clean title",IF(R33&lt;=3,"Light hashtags","Hashtag-stuffed"))</f>
        <v>Clean title</v>
      </c>
      <c r="T33" s="24" t="str">
        <f aca="false">IF(I33&lt;=10,"0–10 sec",IF(I33&lt;=60,"11–60 sec",IF(I33&lt;=180,"61–180 sec","3 min +")))</f>
        <v>3 min +</v>
      </c>
      <c r="U33" s="24" t="str">
        <f aca="false">IF(J33="","NO DATA",IF(J33&gt;=1000,"HIT",IF(J33&gt;=200,"OK","LOW")))</f>
        <v>LOW</v>
      </c>
    </row>
    <row r="34" customFormat="false" ht="15" hidden="false" customHeight="false" outlineLevel="0" collapsed="false">
      <c r="A34" s="39" t="n">
        <v>30</v>
      </c>
      <c r="B34" s="40" t="s">
        <v>130</v>
      </c>
      <c r="C34" s="41" t="s">
        <v>131</v>
      </c>
      <c r="D34" s="42" t="n">
        <v>44915</v>
      </c>
      <c r="E34" s="39" t="n">
        <f aca="false">YEAR(D34)</f>
        <v>2022</v>
      </c>
      <c r="F34" s="39" t="s">
        <v>100</v>
      </c>
      <c r="G34" s="39" t="s">
        <v>73</v>
      </c>
      <c r="H34" s="39" t="s">
        <v>67</v>
      </c>
      <c r="I34" s="40" t="n">
        <v>32</v>
      </c>
      <c r="J34" s="43" t="n">
        <v>136</v>
      </c>
      <c r="K34" s="44" t="n">
        <v>0.3933</v>
      </c>
      <c r="L34" s="40" t="n">
        <v>0</v>
      </c>
      <c r="M34" s="43" t="n">
        <v>1970</v>
      </c>
      <c r="N34" s="45" t="n">
        <v>0.0431</v>
      </c>
      <c r="O34" s="46" t="n">
        <f aca="false">IF(OR(J34="",J34=0),"",K34*3600/J34)</f>
        <v>10.4108823529412</v>
      </c>
      <c r="P34" s="47" t="n">
        <f aca="false">IF(OR(O34="",I34=0),"",O34/I34)</f>
        <v>0.325340073529412</v>
      </c>
      <c r="Q34" s="46" t="n">
        <f aca="false">IF(OR(J34="",J34=0),"",L34/J34*1000)</f>
        <v>0</v>
      </c>
      <c r="R34" s="39" t="n">
        <v>5</v>
      </c>
      <c r="S34" s="39" t="str">
        <f aca="false">IF(R34=0,"Clean title",IF(R34&lt;=3,"Light hashtags","Hashtag-stuffed"))</f>
        <v>Hashtag-stuffed</v>
      </c>
      <c r="T34" s="39" t="str">
        <f aca="false">IF(I34&lt;=10,"0–10 sec",IF(I34&lt;=60,"11–60 sec",IF(I34&lt;=180,"61–180 sec","3 min +")))</f>
        <v>11–60 sec</v>
      </c>
      <c r="U34" s="39" t="str">
        <f aca="false">IF(J34="","NO DATA",IF(J34&gt;=1000,"HIT",IF(J34&gt;=200,"OK","LOW")))</f>
        <v>LOW</v>
      </c>
    </row>
    <row r="35" customFormat="false" ht="23.85" hidden="false" customHeight="false" outlineLevel="0" collapsed="false">
      <c r="A35" s="24" t="n">
        <v>31</v>
      </c>
      <c r="B35" s="31" t="s">
        <v>132</v>
      </c>
      <c r="C35" s="32" t="s">
        <v>114</v>
      </c>
      <c r="D35" s="33" t="n">
        <v>45062</v>
      </c>
      <c r="E35" s="24" t="n">
        <f aca="false">YEAR(D35)</f>
        <v>2023</v>
      </c>
      <c r="F35" s="24" t="s">
        <v>72</v>
      </c>
      <c r="G35" s="24" t="s">
        <v>73</v>
      </c>
      <c r="H35" s="24" t="s">
        <v>67</v>
      </c>
      <c r="I35" s="31" t="n">
        <v>10</v>
      </c>
      <c r="J35" s="34" t="n">
        <v>131</v>
      </c>
      <c r="K35" s="35" t="n">
        <v>0.2948</v>
      </c>
      <c r="L35" s="31" t="n">
        <v>0</v>
      </c>
      <c r="M35" s="34" t="n">
        <v>662</v>
      </c>
      <c r="N35" s="36" t="n">
        <v>0.0106</v>
      </c>
      <c r="O35" s="37" t="n">
        <f aca="false">IF(OR(J35="",J35=0),"",K35*3600/J35)</f>
        <v>8.10137404580153</v>
      </c>
      <c r="P35" s="38" t="n">
        <f aca="false">IF(OR(O35="",I35=0),"",O35/I35)</f>
        <v>0.810137404580153</v>
      </c>
      <c r="Q35" s="37" t="n">
        <f aca="false">IF(OR(J35="",J35=0),"",L35/J35*1000)</f>
        <v>0</v>
      </c>
      <c r="R35" s="24" t="n">
        <v>7</v>
      </c>
      <c r="S35" s="24" t="str">
        <f aca="false">IF(R35=0,"Clean title",IF(R35&lt;=3,"Light hashtags","Hashtag-stuffed"))</f>
        <v>Hashtag-stuffed</v>
      </c>
      <c r="T35" s="24" t="str">
        <f aca="false">IF(I35&lt;=10,"0–10 sec",IF(I35&lt;=60,"11–60 sec",IF(I35&lt;=180,"61–180 sec","3 min +")))</f>
        <v>0–10 sec</v>
      </c>
      <c r="U35" s="24" t="str">
        <f aca="false">IF(J35="","NO DATA",IF(J35&gt;=1000,"HIT",IF(J35&gt;=200,"OK","LOW")))</f>
        <v>LOW</v>
      </c>
    </row>
    <row r="36" customFormat="false" ht="23.85" hidden="false" customHeight="false" outlineLevel="0" collapsed="false">
      <c r="A36" s="39" t="n">
        <v>32</v>
      </c>
      <c r="B36" s="40" t="s">
        <v>133</v>
      </c>
      <c r="C36" s="41" t="s">
        <v>134</v>
      </c>
      <c r="D36" s="42" t="n">
        <v>44955</v>
      </c>
      <c r="E36" s="39" t="n">
        <f aca="false">YEAR(D36)</f>
        <v>2023</v>
      </c>
      <c r="F36" s="39" t="s">
        <v>100</v>
      </c>
      <c r="G36" s="39" t="s">
        <v>73</v>
      </c>
      <c r="H36" s="39" t="s">
        <v>67</v>
      </c>
      <c r="I36" s="40" t="n">
        <v>32</v>
      </c>
      <c r="J36" s="43" t="n">
        <v>130</v>
      </c>
      <c r="K36" s="44" t="n">
        <v>0.7543</v>
      </c>
      <c r="L36" s="40" t="n">
        <v>0</v>
      </c>
      <c r="M36" s="43" t="n">
        <v>211</v>
      </c>
      <c r="N36" s="45" t="n">
        <v>0.0095</v>
      </c>
      <c r="O36" s="46" t="n">
        <f aca="false">IF(OR(J36="",J36=0),"",K36*3600/J36)</f>
        <v>20.8883076923077</v>
      </c>
      <c r="P36" s="47" t="n">
        <f aca="false">IF(OR(O36="",I36=0),"",O36/I36)</f>
        <v>0.652759615384615</v>
      </c>
      <c r="Q36" s="46" t="n">
        <f aca="false">IF(OR(J36="",J36=0),"",L36/J36*1000)</f>
        <v>0</v>
      </c>
      <c r="R36" s="39" t="n">
        <v>10</v>
      </c>
      <c r="S36" s="39" t="str">
        <f aca="false">IF(R36=0,"Clean title",IF(R36&lt;=3,"Light hashtags","Hashtag-stuffed"))</f>
        <v>Hashtag-stuffed</v>
      </c>
      <c r="T36" s="39" t="str">
        <f aca="false">IF(I36&lt;=10,"0–10 sec",IF(I36&lt;=60,"11–60 sec",IF(I36&lt;=180,"61–180 sec","3 min +")))</f>
        <v>11–60 sec</v>
      </c>
      <c r="U36" s="39" t="str">
        <f aca="false">IF(J36="","NO DATA",IF(J36&gt;=1000,"HIT",IF(J36&gt;=200,"OK","LOW")))</f>
        <v>LOW</v>
      </c>
    </row>
    <row r="37" customFormat="false" ht="35.05" hidden="false" customHeight="false" outlineLevel="0" collapsed="false">
      <c r="A37" s="24" t="n">
        <v>33</v>
      </c>
      <c r="B37" s="31" t="s">
        <v>135</v>
      </c>
      <c r="C37" s="32" t="s">
        <v>136</v>
      </c>
      <c r="D37" s="33" t="n">
        <v>44911</v>
      </c>
      <c r="E37" s="24" t="n">
        <f aca="false">YEAR(D37)</f>
        <v>2022</v>
      </c>
      <c r="F37" s="24" t="s">
        <v>123</v>
      </c>
      <c r="G37" s="24" t="s">
        <v>73</v>
      </c>
      <c r="H37" s="24" t="s">
        <v>67</v>
      </c>
      <c r="I37" s="31" t="n">
        <v>11</v>
      </c>
      <c r="J37" s="34" t="n">
        <v>129</v>
      </c>
      <c r="K37" s="35" t="n">
        <v>0.2729</v>
      </c>
      <c r="L37" s="31" t="n">
        <v>1</v>
      </c>
      <c r="M37" s="34" t="n">
        <v>2828</v>
      </c>
      <c r="N37" s="36" t="n">
        <v>0.0145</v>
      </c>
      <c r="O37" s="37" t="n">
        <f aca="false">IF(OR(J37="",J37=0),"",K37*3600/J37)</f>
        <v>7.61581395348837</v>
      </c>
      <c r="P37" s="38" t="n">
        <f aca="false">IF(OR(O37="",I37=0),"",O37/I37)</f>
        <v>0.692346723044398</v>
      </c>
      <c r="Q37" s="37" t="n">
        <f aca="false">IF(OR(J37="",J37=0),"",L37/J37*1000)</f>
        <v>7.75193798449612</v>
      </c>
      <c r="R37" s="24" t="n">
        <v>7</v>
      </c>
      <c r="S37" s="24" t="str">
        <f aca="false">IF(R37=0,"Clean title",IF(R37&lt;=3,"Light hashtags","Hashtag-stuffed"))</f>
        <v>Hashtag-stuffed</v>
      </c>
      <c r="T37" s="24" t="str">
        <f aca="false">IF(I37&lt;=10,"0–10 sec",IF(I37&lt;=60,"11–60 sec",IF(I37&lt;=180,"61–180 sec","3 min +")))</f>
        <v>11–60 sec</v>
      </c>
      <c r="U37" s="24" t="str">
        <f aca="false">IF(J37="","NO DATA",IF(J37&gt;=1000,"HIT",IF(J37&gt;=200,"OK","LOW")))</f>
        <v>LOW</v>
      </c>
    </row>
    <row r="38" customFormat="false" ht="23.85" hidden="false" customHeight="false" outlineLevel="0" collapsed="false">
      <c r="A38" s="39" t="n">
        <v>34</v>
      </c>
      <c r="B38" s="40" t="s">
        <v>137</v>
      </c>
      <c r="C38" s="41" t="s">
        <v>138</v>
      </c>
      <c r="D38" s="42" t="n">
        <v>44997</v>
      </c>
      <c r="E38" s="39" t="n">
        <f aca="false">YEAR(D38)</f>
        <v>2023</v>
      </c>
      <c r="F38" s="39" t="s">
        <v>123</v>
      </c>
      <c r="G38" s="39" t="s">
        <v>73</v>
      </c>
      <c r="H38" s="39" t="s">
        <v>67</v>
      </c>
      <c r="I38" s="40" t="n">
        <v>24</v>
      </c>
      <c r="J38" s="43" t="n">
        <v>129</v>
      </c>
      <c r="K38" s="44" t="n">
        <v>0.354</v>
      </c>
      <c r="L38" s="40" t="n">
        <v>0</v>
      </c>
      <c r="M38" s="43" t="n">
        <v>1474</v>
      </c>
      <c r="N38" s="45" t="n">
        <v>0.0217</v>
      </c>
      <c r="O38" s="46" t="n">
        <f aca="false">IF(OR(J38="",J38=0),"",K38*3600/J38)</f>
        <v>9.87906976744186</v>
      </c>
      <c r="P38" s="47" t="n">
        <f aca="false">IF(OR(O38="",I38=0),"",O38/I38)</f>
        <v>0.411627906976744</v>
      </c>
      <c r="Q38" s="46" t="n">
        <f aca="false">IF(OR(J38="",J38=0),"",L38/J38*1000)</f>
        <v>0</v>
      </c>
      <c r="R38" s="39" t="n">
        <v>9</v>
      </c>
      <c r="S38" s="39" t="str">
        <f aca="false">IF(R38=0,"Clean title",IF(R38&lt;=3,"Light hashtags","Hashtag-stuffed"))</f>
        <v>Hashtag-stuffed</v>
      </c>
      <c r="T38" s="39" t="str">
        <f aca="false">IF(I38&lt;=10,"0–10 sec",IF(I38&lt;=60,"11–60 sec",IF(I38&lt;=180,"61–180 sec","3 min +")))</f>
        <v>11–60 sec</v>
      </c>
      <c r="U38" s="39" t="str">
        <f aca="false">IF(J38="","NO DATA",IF(J38&gt;=1000,"HIT",IF(J38&gt;=200,"OK","LOW")))</f>
        <v>LOW</v>
      </c>
    </row>
    <row r="39" customFormat="false" ht="35.05" hidden="false" customHeight="false" outlineLevel="0" collapsed="false">
      <c r="A39" s="24" t="n">
        <v>35</v>
      </c>
      <c r="B39" s="31" t="s">
        <v>139</v>
      </c>
      <c r="C39" s="32" t="s">
        <v>140</v>
      </c>
      <c r="D39" s="33" t="n">
        <v>45021</v>
      </c>
      <c r="E39" s="24" t="n">
        <f aca="false">YEAR(D39)</f>
        <v>2023</v>
      </c>
      <c r="F39" s="24" t="s">
        <v>100</v>
      </c>
      <c r="G39" s="24" t="s">
        <v>73</v>
      </c>
      <c r="H39" s="24" t="s">
        <v>67</v>
      </c>
      <c r="I39" s="31" t="n">
        <v>11</v>
      </c>
      <c r="J39" s="34" t="n">
        <v>126</v>
      </c>
      <c r="K39" s="35" t="n">
        <v>0.4224</v>
      </c>
      <c r="L39" s="31" t="n">
        <v>1</v>
      </c>
      <c r="M39" s="34" t="n">
        <v>595</v>
      </c>
      <c r="N39" s="36" t="n">
        <v>0.0168</v>
      </c>
      <c r="O39" s="37" t="n">
        <f aca="false">IF(OR(J39="",J39=0),"",K39*3600/J39)</f>
        <v>12.0685714285714</v>
      </c>
      <c r="P39" s="38" t="n">
        <f aca="false">IF(OR(O39="",I39=0),"",O39/I39)</f>
        <v>1.09714285714286</v>
      </c>
      <c r="Q39" s="37" t="n">
        <f aca="false">IF(OR(J39="",J39=0),"",L39/J39*1000)</f>
        <v>7.93650793650794</v>
      </c>
      <c r="R39" s="24" t="n">
        <v>11</v>
      </c>
      <c r="S39" s="24" t="str">
        <f aca="false">IF(R39=0,"Clean title",IF(R39&lt;=3,"Light hashtags","Hashtag-stuffed"))</f>
        <v>Hashtag-stuffed</v>
      </c>
      <c r="T39" s="24" t="str">
        <f aca="false">IF(I39&lt;=10,"0–10 sec",IF(I39&lt;=60,"11–60 sec",IF(I39&lt;=180,"61–180 sec","3 min +")))</f>
        <v>11–60 sec</v>
      </c>
      <c r="U39" s="24" t="str">
        <f aca="false">IF(J39="","NO DATA",IF(J39&gt;=1000,"HIT",IF(J39&gt;=200,"OK","LOW")))</f>
        <v>LOW</v>
      </c>
    </row>
    <row r="40" customFormat="false" ht="35.05" hidden="false" customHeight="false" outlineLevel="0" collapsed="false">
      <c r="A40" s="39" t="n">
        <v>36</v>
      </c>
      <c r="B40" s="40" t="s">
        <v>141</v>
      </c>
      <c r="C40" s="41" t="s">
        <v>127</v>
      </c>
      <c r="D40" s="42" t="n">
        <v>45019</v>
      </c>
      <c r="E40" s="39" t="n">
        <f aca="false">YEAR(D40)</f>
        <v>2023</v>
      </c>
      <c r="F40" s="39" t="s">
        <v>100</v>
      </c>
      <c r="G40" s="39" t="s">
        <v>73</v>
      </c>
      <c r="H40" s="39" t="s">
        <v>67</v>
      </c>
      <c r="I40" s="40" t="n">
        <v>32</v>
      </c>
      <c r="J40" s="43" t="n">
        <v>123</v>
      </c>
      <c r="K40" s="44" t="n">
        <v>0.5556</v>
      </c>
      <c r="L40" s="40" t="n">
        <v>0</v>
      </c>
      <c r="M40" s="43" t="n">
        <v>1190</v>
      </c>
      <c r="N40" s="45" t="n">
        <v>0.0353</v>
      </c>
      <c r="O40" s="46" t="n">
        <f aca="false">IF(OR(J40="",J40=0),"",K40*3600/J40)</f>
        <v>16.2614634146341</v>
      </c>
      <c r="P40" s="47" t="n">
        <f aca="false">IF(OR(O40="",I40=0),"",O40/I40)</f>
        <v>0.508170731707317</v>
      </c>
      <c r="Q40" s="46" t="n">
        <f aca="false">IF(OR(J40="",J40=0),"",L40/J40*1000)</f>
        <v>0</v>
      </c>
      <c r="R40" s="39" t="n">
        <v>11</v>
      </c>
      <c r="S40" s="39" t="str">
        <f aca="false">IF(R40=0,"Clean title",IF(R40&lt;=3,"Light hashtags","Hashtag-stuffed"))</f>
        <v>Hashtag-stuffed</v>
      </c>
      <c r="T40" s="39" t="str">
        <f aca="false">IF(I40&lt;=10,"0–10 sec",IF(I40&lt;=60,"11–60 sec",IF(I40&lt;=180,"61–180 sec","3 min +")))</f>
        <v>11–60 sec</v>
      </c>
      <c r="U40" s="39" t="str">
        <f aca="false">IF(J40="","NO DATA",IF(J40&gt;=1000,"HIT",IF(J40&gt;=200,"OK","LOW")))</f>
        <v>LOW</v>
      </c>
    </row>
    <row r="41" customFormat="false" ht="15" hidden="false" customHeight="false" outlineLevel="0" collapsed="false">
      <c r="A41" s="24" t="n">
        <v>37</v>
      </c>
      <c r="B41" s="31" t="s">
        <v>142</v>
      </c>
      <c r="C41" s="32" t="s">
        <v>143</v>
      </c>
      <c r="D41" s="33" t="n">
        <v>45984</v>
      </c>
      <c r="E41" s="24" t="n">
        <f aca="false">YEAR(D41)</f>
        <v>2025</v>
      </c>
      <c r="F41" s="24" t="s">
        <v>65</v>
      </c>
      <c r="G41" s="24" t="s">
        <v>66</v>
      </c>
      <c r="H41" s="24" t="s">
        <v>67</v>
      </c>
      <c r="I41" s="31" t="n">
        <v>8</v>
      </c>
      <c r="J41" s="34" t="n">
        <v>122</v>
      </c>
      <c r="K41" s="35" t="n">
        <v>0.0664</v>
      </c>
      <c r="L41" s="31" t="n">
        <v>0</v>
      </c>
      <c r="M41" s="34" t="n">
        <v>67</v>
      </c>
      <c r="N41" s="36" t="n">
        <v>0</v>
      </c>
      <c r="O41" s="37" t="n">
        <f aca="false">IF(OR(J41="",J41=0),"",K41*3600/J41)</f>
        <v>1.95934426229508</v>
      </c>
      <c r="P41" s="38" t="n">
        <f aca="false">IF(OR(O41="",I41=0),"",O41/I41)</f>
        <v>0.244918032786885</v>
      </c>
      <c r="Q41" s="37" t="n">
        <f aca="false">IF(OR(J41="",J41=0),"",L41/J41*1000)</f>
        <v>0</v>
      </c>
      <c r="R41" s="24" t="n">
        <v>0</v>
      </c>
      <c r="S41" s="24" t="str">
        <f aca="false">IF(R41=0,"Clean title",IF(R41&lt;=3,"Light hashtags","Hashtag-stuffed"))</f>
        <v>Clean title</v>
      </c>
      <c r="T41" s="24" t="str">
        <f aca="false">IF(I41&lt;=10,"0–10 sec",IF(I41&lt;=60,"11–60 sec",IF(I41&lt;=180,"61–180 sec","3 min +")))</f>
        <v>0–10 sec</v>
      </c>
      <c r="U41" s="24" t="str">
        <f aca="false">IF(J41="","NO DATA",IF(J41&gt;=1000,"HIT",IF(J41&gt;=200,"OK","LOW")))</f>
        <v>LOW</v>
      </c>
    </row>
    <row r="42" customFormat="false" ht="23.85" hidden="false" customHeight="false" outlineLevel="0" collapsed="false">
      <c r="A42" s="39" t="n">
        <v>38</v>
      </c>
      <c r="B42" s="40" t="s">
        <v>144</v>
      </c>
      <c r="C42" s="41" t="s">
        <v>145</v>
      </c>
      <c r="D42" s="42" t="n">
        <v>46136</v>
      </c>
      <c r="E42" s="39" t="n">
        <f aca="false">YEAR(D42)</f>
        <v>2026</v>
      </c>
      <c r="F42" s="39" t="s">
        <v>65</v>
      </c>
      <c r="G42" s="39" t="s">
        <v>82</v>
      </c>
      <c r="H42" s="39" t="s">
        <v>83</v>
      </c>
      <c r="I42" s="40" t="n">
        <v>291</v>
      </c>
      <c r="J42" s="43" t="n">
        <v>118</v>
      </c>
      <c r="K42" s="44" t="n">
        <v>1.4817</v>
      </c>
      <c r="L42" s="40" t="n">
        <v>1</v>
      </c>
      <c r="M42" s="43" t="n">
        <v>2271</v>
      </c>
      <c r="N42" s="45" t="n">
        <v>0.0423</v>
      </c>
      <c r="O42" s="46" t="n">
        <f aca="false">IF(OR(J42="",J42=0),"",K42*3600/J42)</f>
        <v>45.204406779661</v>
      </c>
      <c r="P42" s="47" t="n">
        <f aca="false">IF(OR(O42="",I42=0),"",O42/I42)</f>
        <v>0.155341604053818</v>
      </c>
      <c r="Q42" s="46" t="n">
        <f aca="false">IF(OR(J42="",J42=0),"",L42/J42*1000)</f>
        <v>8.47457627118644</v>
      </c>
      <c r="R42" s="39" t="n">
        <v>0</v>
      </c>
      <c r="S42" s="39" t="str">
        <f aca="false">IF(R42=0,"Clean title",IF(R42&lt;=3,"Light hashtags","Hashtag-stuffed"))</f>
        <v>Clean title</v>
      </c>
      <c r="T42" s="39" t="str">
        <f aca="false">IF(I42&lt;=10,"0–10 sec",IF(I42&lt;=60,"11–60 sec",IF(I42&lt;=180,"61–180 sec","3 min +")))</f>
        <v>3 min +</v>
      </c>
      <c r="U42" s="39" t="str">
        <f aca="false">IF(J42="","NO DATA",IF(J42&gt;=1000,"HIT",IF(J42&gt;=200,"OK","LOW")))</f>
        <v>LOW</v>
      </c>
    </row>
    <row r="43" customFormat="false" ht="23.85" hidden="false" customHeight="false" outlineLevel="0" collapsed="false">
      <c r="A43" s="24" t="n">
        <v>39</v>
      </c>
      <c r="B43" s="31" t="s">
        <v>146</v>
      </c>
      <c r="C43" s="32" t="s">
        <v>147</v>
      </c>
      <c r="D43" s="33" t="n">
        <v>45963</v>
      </c>
      <c r="E43" s="24" t="n">
        <f aca="false">YEAR(D43)</f>
        <v>2025</v>
      </c>
      <c r="F43" s="24" t="s">
        <v>65</v>
      </c>
      <c r="G43" s="24" t="s">
        <v>66</v>
      </c>
      <c r="H43" s="24" t="s">
        <v>67</v>
      </c>
      <c r="I43" s="31" t="n">
        <v>4</v>
      </c>
      <c r="J43" s="34" t="n">
        <v>112</v>
      </c>
      <c r="K43" s="35" t="n">
        <v>0.0488</v>
      </c>
      <c r="L43" s="31" t="n">
        <v>0</v>
      </c>
      <c r="M43" s="34" t="n">
        <v>63</v>
      </c>
      <c r="N43" s="36" t="n">
        <v>0.0159</v>
      </c>
      <c r="O43" s="37" t="n">
        <f aca="false">IF(OR(J43="",J43=0),"",K43*3600/J43)</f>
        <v>1.56857142857143</v>
      </c>
      <c r="P43" s="38" t="n">
        <f aca="false">IF(OR(O43="",I43=0),"",O43/I43)</f>
        <v>0.392142857142857</v>
      </c>
      <c r="Q43" s="37" t="n">
        <f aca="false">IF(OR(J43="",J43=0),"",L43/J43*1000)</f>
        <v>0</v>
      </c>
      <c r="R43" s="24" t="n">
        <v>7</v>
      </c>
      <c r="S43" s="24" t="str">
        <f aca="false">IF(R43=0,"Clean title",IF(R43&lt;=3,"Light hashtags","Hashtag-stuffed"))</f>
        <v>Hashtag-stuffed</v>
      </c>
      <c r="T43" s="24" t="str">
        <f aca="false">IF(I43&lt;=10,"0–10 sec",IF(I43&lt;=60,"11–60 sec",IF(I43&lt;=180,"61–180 sec","3 min +")))</f>
        <v>0–10 sec</v>
      </c>
      <c r="U43" s="24" t="str">
        <f aca="false">IF(J43="","NO DATA",IF(J43&gt;=1000,"HIT",IF(J43&gt;=200,"OK","LOW")))</f>
        <v>LOW</v>
      </c>
    </row>
    <row r="44" customFormat="false" ht="23.85" hidden="false" customHeight="false" outlineLevel="0" collapsed="false">
      <c r="A44" s="39" t="n">
        <v>40</v>
      </c>
      <c r="B44" s="40" t="s">
        <v>148</v>
      </c>
      <c r="C44" s="41" t="s">
        <v>149</v>
      </c>
      <c r="D44" s="42" t="n">
        <v>44956</v>
      </c>
      <c r="E44" s="39" t="n">
        <f aca="false">YEAR(D44)</f>
        <v>2023</v>
      </c>
      <c r="F44" s="39" t="s">
        <v>100</v>
      </c>
      <c r="G44" s="39" t="s">
        <v>73</v>
      </c>
      <c r="H44" s="39" t="s">
        <v>67</v>
      </c>
      <c r="I44" s="40" t="n">
        <v>60</v>
      </c>
      <c r="J44" s="43" t="n">
        <v>111</v>
      </c>
      <c r="K44" s="44" t="n">
        <v>0.3359</v>
      </c>
      <c r="L44" s="40" t="n">
        <v>0</v>
      </c>
      <c r="M44" s="43" t="n">
        <v>227</v>
      </c>
      <c r="N44" s="45" t="n">
        <v>0.0044</v>
      </c>
      <c r="O44" s="46" t="n">
        <f aca="false">IF(OR(J44="",J44=0),"",K44*3600/J44)</f>
        <v>10.8940540540541</v>
      </c>
      <c r="P44" s="47" t="n">
        <f aca="false">IF(OR(O44="",I44=0),"",O44/I44)</f>
        <v>0.181567567567568</v>
      </c>
      <c r="Q44" s="46" t="n">
        <f aca="false">IF(OR(J44="",J44=0),"",L44/J44*1000)</f>
        <v>0</v>
      </c>
      <c r="R44" s="39" t="n">
        <v>10</v>
      </c>
      <c r="S44" s="39" t="str">
        <f aca="false">IF(R44=0,"Clean title",IF(R44&lt;=3,"Light hashtags","Hashtag-stuffed"))</f>
        <v>Hashtag-stuffed</v>
      </c>
      <c r="T44" s="39" t="str">
        <f aca="false">IF(I44&lt;=10,"0–10 sec",IF(I44&lt;=60,"11–60 sec",IF(I44&lt;=180,"61–180 sec","3 min +")))</f>
        <v>11–60 sec</v>
      </c>
      <c r="U44" s="39" t="str">
        <f aca="false">IF(J44="","NO DATA",IF(J44&gt;=1000,"HIT",IF(J44&gt;=200,"OK","LOW")))</f>
        <v>LOW</v>
      </c>
    </row>
    <row r="45" customFormat="false" ht="23.85" hidden="false" customHeight="false" outlineLevel="0" collapsed="false">
      <c r="A45" s="24" t="n">
        <v>41</v>
      </c>
      <c r="B45" s="31" t="s">
        <v>150</v>
      </c>
      <c r="C45" s="32" t="s">
        <v>151</v>
      </c>
      <c r="D45" s="33" t="n">
        <v>44947</v>
      </c>
      <c r="E45" s="24" t="n">
        <f aca="false">YEAR(D45)</f>
        <v>2023</v>
      </c>
      <c r="F45" s="24" t="s">
        <v>100</v>
      </c>
      <c r="G45" s="24" t="s">
        <v>73</v>
      </c>
      <c r="H45" s="24" t="s">
        <v>67</v>
      </c>
      <c r="I45" s="31" t="n">
        <v>61</v>
      </c>
      <c r="J45" s="34" t="n">
        <v>104</v>
      </c>
      <c r="K45" s="35" t="n">
        <v>0.4712</v>
      </c>
      <c r="L45" s="31" t="n">
        <v>1</v>
      </c>
      <c r="M45" s="34" t="n">
        <v>222</v>
      </c>
      <c r="N45" s="36" t="n">
        <v>0.0045</v>
      </c>
      <c r="O45" s="37" t="n">
        <f aca="false">IF(OR(J45="",J45=0),"",K45*3600/J45)</f>
        <v>16.3107692307692</v>
      </c>
      <c r="P45" s="38" t="n">
        <f aca="false">IF(OR(O45="",I45=0),"",O45/I45)</f>
        <v>0.267389659520807</v>
      </c>
      <c r="Q45" s="37" t="n">
        <f aca="false">IF(OR(J45="",J45=0),"",L45/J45*1000)</f>
        <v>9.61538461538462</v>
      </c>
      <c r="R45" s="24" t="n">
        <v>9</v>
      </c>
      <c r="S45" s="24" t="str">
        <f aca="false">IF(R45=0,"Clean title",IF(R45&lt;=3,"Light hashtags","Hashtag-stuffed"))</f>
        <v>Hashtag-stuffed</v>
      </c>
      <c r="T45" s="24" t="str">
        <f aca="false">IF(I45&lt;=10,"0–10 sec",IF(I45&lt;=60,"11–60 sec",IF(I45&lt;=180,"61–180 sec","3 min +")))</f>
        <v>61–180 sec</v>
      </c>
      <c r="U45" s="24" t="str">
        <f aca="false">IF(J45="","NO DATA",IF(J45&gt;=1000,"HIT",IF(J45&gt;=200,"OK","LOW")))</f>
        <v>LOW</v>
      </c>
    </row>
    <row r="46" customFormat="false" ht="15" hidden="false" customHeight="false" outlineLevel="0" collapsed="false">
      <c r="A46" s="39" t="n">
        <v>42</v>
      </c>
      <c r="B46" s="40" t="s">
        <v>152</v>
      </c>
      <c r="C46" s="41" t="s">
        <v>153</v>
      </c>
      <c r="D46" s="42" t="n">
        <v>46201</v>
      </c>
      <c r="E46" s="39" t="n">
        <f aca="false">YEAR(D46)</f>
        <v>2026</v>
      </c>
      <c r="F46" s="39" t="s">
        <v>65</v>
      </c>
      <c r="G46" s="39" t="s">
        <v>66</v>
      </c>
      <c r="H46" s="39" t="s">
        <v>67</v>
      </c>
      <c r="I46" s="40" t="n">
        <v>4</v>
      </c>
      <c r="J46" s="43" t="n">
        <v>80</v>
      </c>
      <c r="K46" s="44" t="n">
        <v>0.0384</v>
      </c>
      <c r="L46" s="40" t="n">
        <v>0</v>
      </c>
      <c r="M46" s="43" t="n">
        <v>13</v>
      </c>
      <c r="N46" s="45" t="n">
        <v>0</v>
      </c>
      <c r="O46" s="46" t="n">
        <f aca="false">IF(OR(J46="",J46=0),"",K46*3600/J46)</f>
        <v>1.728</v>
      </c>
      <c r="P46" s="47" t="n">
        <f aca="false">IF(OR(O46="",I46=0),"",O46/I46)</f>
        <v>0.432</v>
      </c>
      <c r="Q46" s="46" t="n">
        <f aca="false">IF(OR(J46="",J46=0),"",L46/J46*1000)</f>
        <v>0</v>
      </c>
      <c r="R46" s="39" t="n">
        <v>0</v>
      </c>
      <c r="S46" s="39" t="str">
        <f aca="false">IF(R46=0,"Clean title",IF(R46&lt;=3,"Light hashtags","Hashtag-stuffed"))</f>
        <v>Clean title</v>
      </c>
      <c r="T46" s="39" t="str">
        <f aca="false">IF(I46&lt;=10,"0–10 sec",IF(I46&lt;=60,"11–60 sec",IF(I46&lt;=180,"61–180 sec","3 min +")))</f>
        <v>0–10 sec</v>
      </c>
      <c r="U46" s="39" t="str">
        <f aca="false">IF(J46="","NO DATA",IF(J46&gt;=1000,"HIT",IF(J46&gt;=200,"OK","LOW")))</f>
        <v>LOW</v>
      </c>
    </row>
    <row r="47" customFormat="false" ht="23.85" hidden="false" customHeight="false" outlineLevel="0" collapsed="false">
      <c r="A47" s="24" t="n">
        <v>43</v>
      </c>
      <c r="B47" s="31" t="s">
        <v>154</v>
      </c>
      <c r="C47" s="32" t="s">
        <v>155</v>
      </c>
      <c r="D47" s="33" t="n">
        <v>45304</v>
      </c>
      <c r="E47" s="24" t="n">
        <f aca="false">YEAR(D47)</f>
        <v>2024</v>
      </c>
      <c r="F47" s="24" t="s">
        <v>65</v>
      </c>
      <c r="G47" s="24" t="s">
        <v>66</v>
      </c>
      <c r="H47" s="24" t="s">
        <v>67</v>
      </c>
      <c r="I47" s="31" t="n">
        <v>4</v>
      </c>
      <c r="J47" s="34" t="n">
        <v>72</v>
      </c>
      <c r="K47" s="35" t="n">
        <v>0.1061</v>
      </c>
      <c r="L47" s="31" t="n">
        <v>0</v>
      </c>
      <c r="M47" s="34" t="n">
        <v>105</v>
      </c>
      <c r="N47" s="36" t="n">
        <v>0.0095</v>
      </c>
      <c r="O47" s="37" t="n">
        <f aca="false">IF(OR(J47="",J47=0),"",K47*3600/J47)</f>
        <v>5.305</v>
      </c>
      <c r="P47" s="38" t="n">
        <f aca="false">IF(OR(O47="",I47=0),"",O47/I47)</f>
        <v>1.32625</v>
      </c>
      <c r="Q47" s="37" t="n">
        <f aca="false">IF(OR(J47="",J47=0),"",L47/J47*1000)</f>
        <v>0</v>
      </c>
      <c r="R47" s="24" t="n">
        <v>8</v>
      </c>
      <c r="S47" s="24" t="str">
        <f aca="false">IF(R47=0,"Clean title",IF(R47&lt;=3,"Light hashtags","Hashtag-stuffed"))</f>
        <v>Hashtag-stuffed</v>
      </c>
      <c r="T47" s="24" t="str">
        <f aca="false">IF(I47&lt;=10,"0–10 sec",IF(I47&lt;=60,"11–60 sec",IF(I47&lt;=180,"61–180 sec","3 min +")))</f>
        <v>0–10 sec</v>
      </c>
      <c r="U47" s="24" t="str">
        <f aca="false">IF(J47="","NO DATA",IF(J47&gt;=1000,"HIT",IF(J47&gt;=200,"OK","LOW")))</f>
        <v>LOW</v>
      </c>
    </row>
    <row r="48" customFormat="false" ht="35.05" hidden="false" customHeight="false" outlineLevel="0" collapsed="false">
      <c r="A48" s="39" t="n">
        <v>44</v>
      </c>
      <c r="B48" s="40" t="s">
        <v>156</v>
      </c>
      <c r="C48" s="41" t="s">
        <v>157</v>
      </c>
      <c r="D48" s="42" t="n">
        <v>45243</v>
      </c>
      <c r="E48" s="39" t="n">
        <f aca="false">YEAR(D48)</f>
        <v>2023</v>
      </c>
      <c r="F48" s="39" t="s">
        <v>65</v>
      </c>
      <c r="G48" s="39" t="s">
        <v>82</v>
      </c>
      <c r="H48" s="39" t="s">
        <v>67</v>
      </c>
      <c r="I48" s="40" t="n">
        <v>13</v>
      </c>
      <c r="J48" s="43" t="n">
        <v>64</v>
      </c>
      <c r="K48" s="44" t="n">
        <v>0.1773</v>
      </c>
      <c r="L48" s="40" t="n">
        <v>1</v>
      </c>
      <c r="M48" s="43" t="n">
        <v>1440</v>
      </c>
      <c r="N48" s="45" t="n">
        <v>0.041</v>
      </c>
      <c r="O48" s="46" t="n">
        <f aca="false">IF(OR(J48="",J48=0),"",K48*3600/J48)</f>
        <v>9.973125</v>
      </c>
      <c r="P48" s="47" t="n">
        <f aca="false">IF(OR(O48="",I48=0),"",O48/I48)</f>
        <v>0.767163461538462</v>
      </c>
      <c r="Q48" s="46" t="n">
        <f aca="false">IF(OR(J48="",J48=0),"",L48/J48*1000)</f>
        <v>15.625</v>
      </c>
      <c r="R48" s="39" t="n">
        <v>8</v>
      </c>
      <c r="S48" s="39" t="str">
        <f aca="false">IF(R48=0,"Clean title",IF(R48&lt;=3,"Light hashtags","Hashtag-stuffed"))</f>
        <v>Hashtag-stuffed</v>
      </c>
      <c r="T48" s="39" t="str">
        <f aca="false">IF(I48&lt;=10,"0–10 sec",IF(I48&lt;=60,"11–60 sec",IF(I48&lt;=180,"61–180 sec","3 min +")))</f>
        <v>11–60 sec</v>
      </c>
      <c r="U48" s="39" t="str">
        <f aca="false">IF(J48="","NO DATA",IF(J48&gt;=1000,"HIT",IF(J48&gt;=200,"OK","LOW")))</f>
        <v>LOW</v>
      </c>
    </row>
    <row r="49" customFormat="false" ht="35.05" hidden="false" customHeight="false" outlineLevel="0" collapsed="false">
      <c r="A49" s="24" t="n">
        <v>45</v>
      </c>
      <c r="B49" s="31" t="s">
        <v>158</v>
      </c>
      <c r="C49" s="32" t="s">
        <v>159</v>
      </c>
      <c r="D49" s="33" t="n">
        <v>45221</v>
      </c>
      <c r="E49" s="24" t="n">
        <f aca="false">YEAR(D49)</f>
        <v>2023</v>
      </c>
      <c r="F49" s="24" t="s">
        <v>100</v>
      </c>
      <c r="G49" s="24" t="s">
        <v>73</v>
      </c>
      <c r="H49" s="24" t="s">
        <v>83</v>
      </c>
      <c r="I49" s="31" t="n">
        <v>1388</v>
      </c>
      <c r="J49" s="34" t="n">
        <v>57</v>
      </c>
      <c r="K49" s="35" t="n">
        <v>0.9008</v>
      </c>
      <c r="L49" s="31" t="n">
        <v>0</v>
      </c>
      <c r="M49" s="34" t="n">
        <v>352</v>
      </c>
      <c r="N49" s="36" t="n">
        <v>0.1563</v>
      </c>
      <c r="O49" s="37" t="n">
        <f aca="false">IF(OR(J49="",J49=0),"",K49*3600/J49)</f>
        <v>56.8926315789474</v>
      </c>
      <c r="P49" s="38" t="n">
        <f aca="false">IF(OR(O49="",I49=0),"",O49/I49)</f>
        <v>0.0409889276505385</v>
      </c>
      <c r="Q49" s="37" t="n">
        <f aca="false">IF(OR(J49="",J49=0),"",L49/J49*1000)</f>
        <v>0</v>
      </c>
      <c r="R49" s="24" t="n">
        <v>10</v>
      </c>
      <c r="S49" s="24" t="str">
        <f aca="false">IF(R49=0,"Clean title",IF(R49&lt;=3,"Light hashtags","Hashtag-stuffed"))</f>
        <v>Hashtag-stuffed</v>
      </c>
      <c r="T49" s="24" t="str">
        <f aca="false">IF(I49&lt;=10,"0–10 sec",IF(I49&lt;=60,"11–60 sec",IF(I49&lt;=180,"61–180 sec","3 min +")))</f>
        <v>3 min +</v>
      </c>
      <c r="U49" s="24" t="str">
        <f aca="false">IF(J49="","NO DATA",IF(J49&gt;=1000,"HIT",IF(J49&gt;=200,"OK","LOW")))</f>
        <v>LOW</v>
      </c>
    </row>
    <row r="50" customFormat="false" ht="15" hidden="false" customHeight="false" outlineLevel="0" collapsed="false">
      <c r="A50" s="39" t="n">
        <v>46</v>
      </c>
      <c r="B50" s="40" t="s">
        <v>160</v>
      </c>
      <c r="C50" s="41" t="s">
        <v>161</v>
      </c>
      <c r="D50" s="42" t="n">
        <v>45991</v>
      </c>
      <c r="E50" s="39" t="n">
        <f aca="false">YEAR(D50)</f>
        <v>2025</v>
      </c>
      <c r="F50" s="39" t="s">
        <v>65</v>
      </c>
      <c r="G50" s="39" t="s">
        <v>66</v>
      </c>
      <c r="H50" s="39" t="s">
        <v>67</v>
      </c>
      <c r="I50" s="40" t="n">
        <v>5</v>
      </c>
      <c r="J50" s="43" t="n">
        <v>56</v>
      </c>
      <c r="K50" s="44" t="n">
        <v>0.0233</v>
      </c>
      <c r="L50" s="40" t="n">
        <v>0</v>
      </c>
      <c r="M50" s="43" t="n">
        <v>71</v>
      </c>
      <c r="N50" s="45" t="n">
        <v>0</v>
      </c>
      <c r="O50" s="46" t="n">
        <f aca="false">IF(OR(J50="",J50=0),"",K50*3600/J50)</f>
        <v>1.49785714285714</v>
      </c>
      <c r="P50" s="47" t="n">
        <f aca="false">IF(OR(O50="",I50=0),"",O50/I50)</f>
        <v>0.299571428571429</v>
      </c>
      <c r="Q50" s="46" t="n">
        <f aca="false">IF(OR(J50="",J50=0),"",L50/J50*1000)</f>
        <v>0</v>
      </c>
      <c r="R50" s="39" t="n">
        <v>0</v>
      </c>
      <c r="S50" s="39" t="str">
        <f aca="false">IF(R50=0,"Clean title",IF(R50&lt;=3,"Light hashtags","Hashtag-stuffed"))</f>
        <v>Clean title</v>
      </c>
      <c r="T50" s="39" t="str">
        <f aca="false">IF(I50&lt;=10,"0–10 sec",IF(I50&lt;=60,"11–60 sec",IF(I50&lt;=180,"61–180 sec","3 min +")))</f>
        <v>0–10 sec</v>
      </c>
      <c r="U50" s="39" t="str">
        <f aca="false">IF(J50="","NO DATA",IF(J50&gt;=1000,"HIT",IF(J50&gt;=200,"OK","LOW")))</f>
        <v>LOW</v>
      </c>
    </row>
    <row r="51" customFormat="false" ht="15" hidden="false" customHeight="false" outlineLevel="0" collapsed="false">
      <c r="A51" s="24" t="n">
        <v>47</v>
      </c>
      <c r="B51" s="31" t="s">
        <v>162</v>
      </c>
      <c r="C51" s="32" t="s">
        <v>163</v>
      </c>
      <c r="D51" s="33" t="n">
        <v>45975</v>
      </c>
      <c r="E51" s="24" t="n">
        <f aca="false">YEAR(D51)</f>
        <v>2025</v>
      </c>
      <c r="F51" s="24" t="s">
        <v>65</v>
      </c>
      <c r="G51" s="24" t="s">
        <v>66</v>
      </c>
      <c r="H51" s="24" t="s">
        <v>67</v>
      </c>
      <c r="I51" s="31" t="n">
        <v>5</v>
      </c>
      <c r="J51" s="34" t="n">
        <v>48</v>
      </c>
      <c r="K51" s="35" t="n">
        <v>0.016</v>
      </c>
      <c r="L51" s="31" t="n">
        <v>0</v>
      </c>
      <c r="M51" s="34" t="n">
        <v>17</v>
      </c>
      <c r="N51" s="36" t="n">
        <v>0</v>
      </c>
      <c r="O51" s="37" t="n">
        <f aca="false">IF(OR(J51="",J51=0),"",K51*3600/J51)</f>
        <v>1.2</v>
      </c>
      <c r="P51" s="38" t="n">
        <f aca="false">IF(OR(O51="",I51=0),"",O51/I51)</f>
        <v>0.24</v>
      </c>
      <c r="Q51" s="37" t="n">
        <f aca="false">IF(OR(J51="",J51=0),"",L51/J51*1000)</f>
        <v>0</v>
      </c>
      <c r="R51" s="24" t="n">
        <v>0</v>
      </c>
      <c r="S51" s="24" t="str">
        <f aca="false">IF(R51=0,"Clean title",IF(R51&lt;=3,"Light hashtags","Hashtag-stuffed"))</f>
        <v>Clean title</v>
      </c>
      <c r="T51" s="24" t="str">
        <f aca="false">IF(I51&lt;=10,"0–10 sec",IF(I51&lt;=60,"11–60 sec",IF(I51&lt;=180,"61–180 sec","3 min +")))</f>
        <v>0–10 sec</v>
      </c>
      <c r="U51" s="24" t="str">
        <f aca="false">IF(J51="","NO DATA",IF(J51&gt;=1000,"HIT",IF(J51&gt;=200,"OK","LOW")))</f>
        <v>LOW</v>
      </c>
    </row>
    <row r="52" customFormat="false" ht="23.85" hidden="false" customHeight="false" outlineLevel="0" collapsed="false">
      <c r="A52" s="39" t="n">
        <v>48</v>
      </c>
      <c r="B52" s="40" t="s">
        <v>164</v>
      </c>
      <c r="C52" s="41" t="s">
        <v>165</v>
      </c>
      <c r="D52" s="42" t="n">
        <v>45237</v>
      </c>
      <c r="E52" s="39" t="n">
        <f aca="false">YEAR(D52)</f>
        <v>2023</v>
      </c>
      <c r="F52" s="39" t="s">
        <v>65</v>
      </c>
      <c r="G52" s="39" t="s">
        <v>82</v>
      </c>
      <c r="H52" s="39" t="s">
        <v>67</v>
      </c>
      <c r="I52" s="40" t="n">
        <v>10</v>
      </c>
      <c r="J52" s="43" t="n">
        <v>44</v>
      </c>
      <c r="K52" s="44" t="n">
        <v>0.0966</v>
      </c>
      <c r="L52" s="40" t="n">
        <v>0</v>
      </c>
      <c r="M52" s="43" t="n">
        <v>1640</v>
      </c>
      <c r="N52" s="45" t="n">
        <v>0.0244</v>
      </c>
      <c r="O52" s="46" t="n">
        <f aca="false">IF(OR(J52="",J52=0),"",K52*3600/J52)</f>
        <v>7.90363636363636</v>
      </c>
      <c r="P52" s="47" t="n">
        <f aca="false">IF(OR(O52="",I52=0),"",O52/I52)</f>
        <v>0.790363636363636</v>
      </c>
      <c r="Q52" s="46" t="n">
        <f aca="false">IF(OR(J52="",J52=0),"",L52/J52*1000)</f>
        <v>0</v>
      </c>
      <c r="R52" s="39" t="n">
        <v>7</v>
      </c>
      <c r="S52" s="39" t="str">
        <f aca="false">IF(R52=0,"Clean title",IF(R52&lt;=3,"Light hashtags","Hashtag-stuffed"))</f>
        <v>Hashtag-stuffed</v>
      </c>
      <c r="T52" s="39" t="str">
        <f aca="false">IF(I52&lt;=10,"0–10 sec",IF(I52&lt;=60,"11–60 sec",IF(I52&lt;=180,"61–180 sec","3 min +")))</f>
        <v>0–10 sec</v>
      </c>
      <c r="U52" s="39" t="str">
        <f aca="false">IF(J52="","NO DATA",IF(J52&gt;=1000,"HIT",IF(J52&gt;=200,"OK","LOW")))</f>
        <v>LOW</v>
      </c>
    </row>
    <row r="53" customFormat="false" ht="15" hidden="false" customHeight="false" outlineLevel="0" collapsed="false">
      <c r="A53" s="24" t="n">
        <v>49</v>
      </c>
      <c r="B53" s="31" t="s">
        <v>166</v>
      </c>
      <c r="C53" s="32" t="s">
        <v>167</v>
      </c>
      <c r="D53" s="33" t="n">
        <v>46173</v>
      </c>
      <c r="E53" s="24" t="n">
        <f aca="false">YEAR(D53)</f>
        <v>2026</v>
      </c>
      <c r="F53" s="24" t="s">
        <v>65</v>
      </c>
      <c r="G53" s="24" t="s">
        <v>82</v>
      </c>
      <c r="H53" s="24" t="s">
        <v>67</v>
      </c>
      <c r="I53" s="31" t="n">
        <v>54</v>
      </c>
      <c r="J53" s="34" t="n">
        <v>43</v>
      </c>
      <c r="K53" s="35" t="n">
        <v>0.0211</v>
      </c>
      <c r="L53" s="31" t="n">
        <v>0</v>
      </c>
      <c r="M53" s="34" t="n">
        <v>19</v>
      </c>
      <c r="N53" s="36" t="n">
        <v>0</v>
      </c>
      <c r="O53" s="37" t="n">
        <f aca="false">IF(OR(J53="",J53=0),"",K53*3600/J53)</f>
        <v>1.76651162790698</v>
      </c>
      <c r="P53" s="38" t="n">
        <f aca="false">IF(OR(O53="",I53=0),"",O53/I53)</f>
        <v>0.0327131782945736</v>
      </c>
      <c r="Q53" s="37" t="n">
        <f aca="false">IF(OR(J53="",J53=0),"",L53/J53*1000)</f>
        <v>0</v>
      </c>
      <c r="R53" s="24" t="n">
        <v>0</v>
      </c>
      <c r="S53" s="24" t="str">
        <f aca="false">IF(R53=0,"Clean title",IF(R53&lt;=3,"Light hashtags","Hashtag-stuffed"))</f>
        <v>Clean title</v>
      </c>
      <c r="T53" s="24" t="str">
        <f aca="false">IF(I53&lt;=10,"0–10 sec",IF(I53&lt;=60,"11–60 sec",IF(I53&lt;=180,"61–180 sec","3 min +")))</f>
        <v>11–60 sec</v>
      </c>
      <c r="U53" s="24" t="str">
        <f aca="false">IF(J53="","NO DATA",IF(J53&gt;=1000,"HIT",IF(J53&gt;=200,"OK","LOW")))</f>
        <v>LOW</v>
      </c>
    </row>
    <row r="54" customFormat="false" ht="15" hidden="false" customHeight="false" outlineLevel="0" collapsed="false">
      <c r="A54" s="39" t="n">
        <v>50</v>
      </c>
      <c r="B54" s="40" t="s">
        <v>168</v>
      </c>
      <c r="C54" s="41" t="s">
        <v>169</v>
      </c>
      <c r="D54" s="42" t="n">
        <v>45439</v>
      </c>
      <c r="E54" s="39" t="n">
        <f aca="false">YEAR(D54)</f>
        <v>2024</v>
      </c>
      <c r="F54" s="39" t="s">
        <v>65</v>
      </c>
      <c r="G54" s="39" t="s">
        <v>66</v>
      </c>
      <c r="H54" s="39" t="s">
        <v>67</v>
      </c>
      <c r="I54" s="40" t="n">
        <v>4</v>
      </c>
      <c r="J54" s="43" t="n">
        <v>41</v>
      </c>
      <c r="K54" s="44" t="n">
        <v>0.0643</v>
      </c>
      <c r="L54" s="40" t="n">
        <v>0</v>
      </c>
      <c r="M54" s="43" t="n">
        <v>72</v>
      </c>
      <c r="N54" s="45" t="n">
        <v>0.0278</v>
      </c>
      <c r="O54" s="46" t="n">
        <f aca="false">IF(OR(J54="",J54=0),"",K54*3600/J54)</f>
        <v>5.64585365853659</v>
      </c>
      <c r="P54" s="47" t="n">
        <f aca="false">IF(OR(O54="",I54=0),"",O54/I54)</f>
        <v>1.41146341463415</v>
      </c>
      <c r="Q54" s="46" t="n">
        <f aca="false">IF(OR(J54="",J54=0),"",L54/J54*1000)</f>
        <v>0</v>
      </c>
      <c r="R54" s="39" t="n">
        <v>4</v>
      </c>
      <c r="S54" s="39" t="str">
        <f aca="false">IF(R54=0,"Clean title",IF(R54&lt;=3,"Light hashtags","Hashtag-stuffed"))</f>
        <v>Hashtag-stuffed</v>
      </c>
      <c r="T54" s="39" t="str">
        <f aca="false">IF(I54&lt;=10,"0–10 sec",IF(I54&lt;=60,"11–60 sec",IF(I54&lt;=180,"61–180 sec","3 min +")))</f>
        <v>0–10 sec</v>
      </c>
      <c r="U54" s="39" t="str">
        <f aca="false">IF(J54="","NO DATA",IF(J54&gt;=1000,"HIT",IF(J54&gt;=200,"OK","LOW")))</f>
        <v>LOW</v>
      </c>
    </row>
    <row r="55" customFormat="false" ht="15" hidden="false" customHeight="false" outlineLevel="0" collapsed="false">
      <c r="A55" s="24" t="n">
        <v>51</v>
      </c>
      <c r="B55" s="31" t="s">
        <v>170</v>
      </c>
      <c r="C55" s="32" t="s">
        <v>171</v>
      </c>
      <c r="D55" s="33" t="n">
        <v>45241</v>
      </c>
      <c r="E55" s="24" t="n">
        <f aca="false">YEAR(D55)</f>
        <v>2023</v>
      </c>
      <c r="F55" s="24" t="s">
        <v>65</v>
      </c>
      <c r="G55" s="24" t="s">
        <v>82</v>
      </c>
      <c r="H55" s="24" t="s">
        <v>67</v>
      </c>
      <c r="I55" s="31" t="n">
        <v>4</v>
      </c>
      <c r="J55" s="34" t="n">
        <v>39</v>
      </c>
      <c r="K55" s="35" t="n">
        <v>0.0371</v>
      </c>
      <c r="L55" s="31" t="n">
        <v>0</v>
      </c>
      <c r="M55" s="34" t="n">
        <v>1098</v>
      </c>
      <c r="N55" s="36" t="n">
        <v>0.0328</v>
      </c>
      <c r="O55" s="37" t="n">
        <f aca="false">IF(OR(J55="",J55=0),"",K55*3600/J55)</f>
        <v>3.42461538461538</v>
      </c>
      <c r="P55" s="38" t="n">
        <f aca="false">IF(OR(O55="",I55=0),"",O55/I55)</f>
        <v>0.856153846153846</v>
      </c>
      <c r="Q55" s="37" t="n">
        <f aca="false">IF(OR(J55="",J55=0),"",L55/J55*1000)</f>
        <v>0</v>
      </c>
      <c r="R55" s="24" t="n">
        <v>0</v>
      </c>
      <c r="S55" s="24" t="str">
        <f aca="false">IF(R55=0,"Clean title",IF(R55&lt;=3,"Light hashtags","Hashtag-stuffed"))</f>
        <v>Clean title</v>
      </c>
      <c r="T55" s="24" t="str">
        <f aca="false">IF(I55&lt;=10,"0–10 sec",IF(I55&lt;=60,"11–60 sec",IF(I55&lt;=180,"61–180 sec","3 min +")))</f>
        <v>0–10 sec</v>
      </c>
      <c r="U55" s="24" t="str">
        <f aca="false">IF(J55="","NO DATA",IF(J55&gt;=1000,"HIT",IF(J55&gt;=200,"OK","LOW")))</f>
        <v>LOW</v>
      </c>
    </row>
    <row r="56" customFormat="false" ht="35.05" hidden="false" customHeight="false" outlineLevel="0" collapsed="false">
      <c r="A56" s="39" t="n">
        <v>52</v>
      </c>
      <c r="B56" s="40" t="s">
        <v>172</v>
      </c>
      <c r="C56" s="41" t="s">
        <v>173</v>
      </c>
      <c r="D56" s="42" t="n">
        <v>45219</v>
      </c>
      <c r="E56" s="39" t="n">
        <f aca="false">YEAR(D56)</f>
        <v>2023</v>
      </c>
      <c r="F56" s="39" t="s">
        <v>100</v>
      </c>
      <c r="G56" s="39" t="s">
        <v>73</v>
      </c>
      <c r="H56" s="39" t="s">
        <v>67</v>
      </c>
      <c r="I56" s="40" t="n">
        <v>8</v>
      </c>
      <c r="J56" s="43" t="n">
        <v>30</v>
      </c>
      <c r="K56" s="44" t="n">
        <v>0.0573</v>
      </c>
      <c r="L56" s="40" t="n">
        <v>0</v>
      </c>
      <c r="M56" s="43" t="n">
        <v>398</v>
      </c>
      <c r="N56" s="45" t="n">
        <v>0.0101</v>
      </c>
      <c r="O56" s="46" t="n">
        <f aca="false">IF(OR(J56="",J56=0),"",K56*3600/J56)</f>
        <v>6.876</v>
      </c>
      <c r="P56" s="47" t="n">
        <f aca="false">IF(OR(O56="",I56=0),"",O56/I56)</f>
        <v>0.8595</v>
      </c>
      <c r="Q56" s="46" t="n">
        <f aca="false">IF(OR(J56="",J56=0),"",L56/J56*1000)</f>
        <v>0</v>
      </c>
      <c r="R56" s="39" t="n">
        <v>11</v>
      </c>
      <c r="S56" s="39" t="str">
        <f aca="false">IF(R56=0,"Clean title",IF(R56&lt;=3,"Light hashtags","Hashtag-stuffed"))</f>
        <v>Hashtag-stuffed</v>
      </c>
      <c r="T56" s="39" t="str">
        <f aca="false">IF(I56&lt;=10,"0–10 sec",IF(I56&lt;=60,"11–60 sec",IF(I56&lt;=180,"61–180 sec","3 min +")))</f>
        <v>0–10 sec</v>
      </c>
      <c r="U56" s="39" t="str">
        <f aca="false">IF(J56="","NO DATA",IF(J56&gt;=1000,"HIT",IF(J56&gt;=200,"OK","LOW")))</f>
        <v>LOW</v>
      </c>
    </row>
    <row r="57" customFormat="false" ht="23.85" hidden="false" customHeight="false" outlineLevel="0" collapsed="false">
      <c r="A57" s="24" t="n">
        <v>53</v>
      </c>
      <c r="B57" s="31" t="s">
        <v>174</v>
      </c>
      <c r="C57" s="32" t="s">
        <v>175</v>
      </c>
      <c r="D57" s="33" t="n">
        <v>45432</v>
      </c>
      <c r="E57" s="24" t="n">
        <f aca="false">YEAR(D57)</f>
        <v>2024</v>
      </c>
      <c r="F57" s="24" t="s">
        <v>65</v>
      </c>
      <c r="G57" s="24" t="s">
        <v>66</v>
      </c>
      <c r="H57" s="24" t="s">
        <v>67</v>
      </c>
      <c r="I57" s="31" t="n">
        <v>8</v>
      </c>
      <c r="J57" s="34" t="n">
        <v>24</v>
      </c>
      <c r="K57" s="35" t="n">
        <v>0.0566</v>
      </c>
      <c r="L57" s="31" t="n">
        <v>0</v>
      </c>
      <c r="M57" s="34" t="n">
        <v>49</v>
      </c>
      <c r="N57" s="36" t="n">
        <v>0</v>
      </c>
      <c r="O57" s="37" t="n">
        <f aca="false">IF(OR(J57="",J57=0),"",K57*3600/J57)</f>
        <v>8.49</v>
      </c>
      <c r="P57" s="38" t="n">
        <f aca="false">IF(OR(O57="",I57=0),"",O57/I57)</f>
        <v>1.06125</v>
      </c>
      <c r="Q57" s="37" t="n">
        <f aca="false">IF(OR(J57="",J57=0),"",L57/J57*1000)</f>
        <v>0</v>
      </c>
      <c r="R57" s="24" t="n">
        <v>4</v>
      </c>
      <c r="S57" s="24" t="str">
        <f aca="false">IF(R57=0,"Clean title",IF(R57&lt;=3,"Light hashtags","Hashtag-stuffed"))</f>
        <v>Hashtag-stuffed</v>
      </c>
      <c r="T57" s="24" t="str">
        <f aca="false">IF(I57&lt;=10,"0–10 sec",IF(I57&lt;=60,"11–60 sec",IF(I57&lt;=180,"61–180 sec","3 min +")))</f>
        <v>0–10 sec</v>
      </c>
      <c r="U57" s="24" t="str">
        <f aca="false">IF(J57="","NO DATA",IF(J57&gt;=1000,"HIT",IF(J57&gt;=200,"OK","LOW")))</f>
        <v>LOW</v>
      </c>
    </row>
    <row r="58" customFormat="false" ht="15" hidden="false" customHeight="false" outlineLevel="0" collapsed="false">
      <c r="A58" s="39" t="n">
        <v>54</v>
      </c>
      <c r="B58" s="40" t="s">
        <v>176</v>
      </c>
      <c r="C58" s="41" t="s">
        <v>177</v>
      </c>
      <c r="D58" s="42" t="n">
        <v>46158</v>
      </c>
      <c r="E58" s="39" t="n">
        <f aca="false">YEAR(D58)</f>
        <v>2026</v>
      </c>
      <c r="F58" s="39" t="s">
        <v>65</v>
      </c>
      <c r="G58" s="39" t="s">
        <v>66</v>
      </c>
      <c r="H58" s="39" t="s">
        <v>67</v>
      </c>
      <c r="I58" s="40" t="n">
        <v>4</v>
      </c>
      <c r="J58" s="43" t="n">
        <v>18</v>
      </c>
      <c r="K58" s="44" t="n">
        <v>0.0168</v>
      </c>
      <c r="L58" s="40" t="n">
        <v>0</v>
      </c>
      <c r="M58" s="43" t="n">
        <v>165</v>
      </c>
      <c r="N58" s="45" t="n">
        <v>0.0606</v>
      </c>
      <c r="O58" s="46" t="n">
        <f aca="false">IF(OR(J58="",J58=0),"",K58*3600/J58)</f>
        <v>3.36</v>
      </c>
      <c r="P58" s="47" t="n">
        <f aca="false">IF(OR(O58="",I58=0),"",O58/I58)</f>
        <v>0.84</v>
      </c>
      <c r="Q58" s="46" t="n">
        <f aca="false">IF(OR(J58="",J58=0),"",L58/J58*1000)</f>
        <v>0</v>
      </c>
      <c r="R58" s="39" t="n">
        <v>1</v>
      </c>
      <c r="S58" s="39" t="str">
        <f aca="false">IF(R58=0,"Clean title",IF(R58&lt;=3,"Light hashtags","Hashtag-stuffed"))</f>
        <v>Light hashtags</v>
      </c>
      <c r="T58" s="39" t="str">
        <f aca="false">IF(I58&lt;=10,"0–10 sec",IF(I58&lt;=60,"11–60 sec",IF(I58&lt;=180,"61–180 sec","3 min +")))</f>
        <v>0–10 sec</v>
      </c>
      <c r="U58" s="39" t="str">
        <f aca="false">IF(J58="","NO DATA",IF(J58&gt;=1000,"HIT",IF(J58&gt;=200,"OK","LOW")))</f>
        <v>LOW</v>
      </c>
    </row>
    <row r="59" customFormat="false" ht="23.85" hidden="false" customHeight="false" outlineLevel="0" collapsed="false">
      <c r="A59" s="24" t="n">
        <v>55</v>
      </c>
      <c r="B59" s="31" t="s">
        <v>178</v>
      </c>
      <c r="C59" s="32" t="s">
        <v>179</v>
      </c>
      <c r="D59" s="33" t="n">
        <v>45968</v>
      </c>
      <c r="E59" s="24" t="n">
        <f aca="false">YEAR(D59)</f>
        <v>2025</v>
      </c>
      <c r="F59" s="24" t="s">
        <v>65</v>
      </c>
      <c r="G59" s="24" t="s">
        <v>66</v>
      </c>
      <c r="H59" s="24" t="s">
        <v>67</v>
      </c>
      <c r="I59" s="31" t="n">
        <v>4</v>
      </c>
      <c r="J59" s="34" t="n">
        <v>17</v>
      </c>
      <c r="K59" s="35" t="n">
        <v>0.0091</v>
      </c>
      <c r="L59" s="31" t="n">
        <v>0</v>
      </c>
      <c r="M59" s="34" t="n">
        <v>52</v>
      </c>
      <c r="N59" s="36" t="n">
        <v>0</v>
      </c>
      <c r="O59" s="37" t="n">
        <f aca="false">IF(OR(J59="",J59=0),"",K59*3600/J59)</f>
        <v>1.92705882352941</v>
      </c>
      <c r="P59" s="38" t="n">
        <f aca="false">IF(OR(O59="",I59=0),"",O59/I59)</f>
        <v>0.481764705882353</v>
      </c>
      <c r="Q59" s="37" t="n">
        <f aca="false">IF(OR(J59="",J59=0),"",L59/J59*1000)</f>
        <v>0</v>
      </c>
      <c r="R59" s="24" t="n">
        <v>5</v>
      </c>
      <c r="S59" s="24" t="str">
        <f aca="false">IF(R59=0,"Clean title",IF(R59&lt;=3,"Light hashtags","Hashtag-stuffed"))</f>
        <v>Hashtag-stuffed</v>
      </c>
      <c r="T59" s="24" t="str">
        <f aca="false">IF(I59&lt;=10,"0–10 sec",IF(I59&lt;=60,"11–60 sec",IF(I59&lt;=180,"61–180 sec","3 min +")))</f>
        <v>0–10 sec</v>
      </c>
      <c r="U59" s="24" t="str">
        <f aca="false">IF(J59="","NO DATA",IF(J59&gt;=1000,"HIT",IF(J59&gt;=200,"OK","LOW")))</f>
        <v>LOW</v>
      </c>
    </row>
    <row r="60" customFormat="false" ht="15" hidden="false" customHeight="false" outlineLevel="0" collapsed="false">
      <c r="A60" s="39" t="n">
        <v>56</v>
      </c>
      <c r="B60" s="40" t="s">
        <v>180</v>
      </c>
      <c r="C60" s="41" t="s">
        <v>181</v>
      </c>
      <c r="D60" s="42" t="n">
        <v>46137</v>
      </c>
      <c r="E60" s="39" t="n">
        <f aca="false">YEAR(D60)</f>
        <v>2026</v>
      </c>
      <c r="F60" s="39" t="s">
        <v>65</v>
      </c>
      <c r="G60" s="39" t="s">
        <v>82</v>
      </c>
      <c r="H60" s="39" t="s">
        <v>67</v>
      </c>
      <c r="I60" s="40" t="n">
        <v>61</v>
      </c>
      <c r="J60" s="43" t="n">
        <v>13</v>
      </c>
      <c r="K60" s="44" t="n">
        <v>0.1077</v>
      </c>
      <c r="L60" s="40" t="n">
        <v>0</v>
      </c>
      <c r="M60" s="43" t="n">
        <v>194</v>
      </c>
      <c r="N60" s="45" t="n">
        <v>0.0464</v>
      </c>
      <c r="O60" s="46" t="n">
        <f aca="false">IF(OR(J60="",J60=0),"",K60*3600/J60)</f>
        <v>29.8246153846154</v>
      </c>
      <c r="P60" s="47" t="n">
        <f aca="false">IF(OR(O60="",I60=0),"",O60/I60)</f>
        <v>0.488928121059269</v>
      </c>
      <c r="Q60" s="46" t="n">
        <f aca="false">IF(OR(J60="",J60=0),"",L60/J60*1000)</f>
        <v>0</v>
      </c>
      <c r="R60" s="39" t="n">
        <v>0</v>
      </c>
      <c r="S60" s="39" t="str">
        <f aca="false">IF(R60=0,"Clean title",IF(R60&lt;=3,"Light hashtags","Hashtag-stuffed"))</f>
        <v>Clean title</v>
      </c>
      <c r="T60" s="39" t="str">
        <f aca="false">IF(I60&lt;=10,"0–10 sec",IF(I60&lt;=60,"11–60 sec",IF(I60&lt;=180,"61–180 sec","3 min +")))</f>
        <v>61–180 sec</v>
      </c>
      <c r="U60" s="39" t="str">
        <f aca="false">IF(J60="","NO DATA",IF(J60&gt;=1000,"HIT",IF(J60&gt;=200,"OK","LOW")))</f>
        <v>LOW</v>
      </c>
    </row>
    <row r="61" customFormat="false" ht="23.85" hidden="false" customHeight="false" outlineLevel="0" collapsed="false">
      <c r="A61" s="24" t="n">
        <v>57</v>
      </c>
      <c r="B61" s="31" t="s">
        <v>182</v>
      </c>
      <c r="C61" s="32" t="s">
        <v>155</v>
      </c>
      <c r="D61" s="33" t="n">
        <v>45319</v>
      </c>
      <c r="E61" s="24" t="n">
        <f aca="false">YEAR(D61)</f>
        <v>2024</v>
      </c>
      <c r="F61" s="24" t="s">
        <v>65</v>
      </c>
      <c r="G61" s="24" t="s">
        <v>66</v>
      </c>
      <c r="H61" s="24" t="s">
        <v>67</v>
      </c>
      <c r="I61" s="31" t="n">
        <v>9</v>
      </c>
      <c r="J61" s="34" t="n">
        <v>13</v>
      </c>
      <c r="K61" s="35" t="n">
        <v>0.0261</v>
      </c>
      <c r="L61" s="31" t="n">
        <v>0</v>
      </c>
      <c r="M61" s="34" t="n">
        <v>87</v>
      </c>
      <c r="N61" s="36" t="n">
        <v>0.023</v>
      </c>
      <c r="O61" s="37" t="n">
        <f aca="false">IF(OR(J61="",J61=0),"",K61*3600/J61)</f>
        <v>7.22769230769231</v>
      </c>
      <c r="P61" s="38" t="n">
        <f aca="false">IF(OR(O61="",I61=0),"",O61/I61)</f>
        <v>0.803076923076923</v>
      </c>
      <c r="Q61" s="37" t="n">
        <f aca="false">IF(OR(J61="",J61=0),"",L61/J61*1000)</f>
        <v>0</v>
      </c>
      <c r="R61" s="24" t="n">
        <v>8</v>
      </c>
      <c r="S61" s="24" t="str">
        <f aca="false">IF(R61=0,"Clean title",IF(R61&lt;=3,"Light hashtags","Hashtag-stuffed"))</f>
        <v>Hashtag-stuffed</v>
      </c>
      <c r="T61" s="24" t="str">
        <f aca="false">IF(I61&lt;=10,"0–10 sec",IF(I61&lt;=60,"11–60 sec",IF(I61&lt;=180,"61–180 sec","3 min +")))</f>
        <v>0–10 sec</v>
      </c>
      <c r="U61" s="24" t="str">
        <f aca="false">IF(J61="","NO DATA",IF(J61&gt;=1000,"HIT",IF(J61&gt;=200,"OK","LOW")))</f>
        <v>LOW</v>
      </c>
    </row>
    <row r="62" customFormat="false" ht="35.05" hidden="false" customHeight="false" outlineLevel="0" collapsed="false">
      <c r="A62" s="39" t="n">
        <v>58</v>
      </c>
      <c r="B62" s="40" t="s">
        <v>183</v>
      </c>
      <c r="C62" s="41" t="s">
        <v>184</v>
      </c>
      <c r="D62" s="42" t="n">
        <v>45245</v>
      </c>
      <c r="E62" s="39" t="n">
        <f aca="false">YEAR(D62)</f>
        <v>2023</v>
      </c>
      <c r="F62" s="39" t="s">
        <v>65</v>
      </c>
      <c r="G62" s="39" t="s">
        <v>82</v>
      </c>
      <c r="H62" s="39" t="s">
        <v>67</v>
      </c>
      <c r="I62" s="40" t="n">
        <v>2</v>
      </c>
      <c r="J62" s="43" t="n">
        <v>12</v>
      </c>
      <c r="K62" s="44" t="n">
        <v>0.0065</v>
      </c>
      <c r="L62" s="40" t="n">
        <v>0</v>
      </c>
      <c r="M62" s="43" t="n">
        <v>335</v>
      </c>
      <c r="N62" s="45" t="n">
        <v>0.0358</v>
      </c>
      <c r="O62" s="46" t="n">
        <f aca="false">IF(OR(J62="",J62=0),"",K62*3600/J62)</f>
        <v>1.95</v>
      </c>
      <c r="P62" s="47" t="n">
        <f aca="false">IF(OR(O62="",I62=0),"",O62/I62)</f>
        <v>0.975</v>
      </c>
      <c r="Q62" s="46" t="n">
        <f aca="false">IF(OR(J62="",J62=0),"",L62/J62*1000)</f>
        <v>0</v>
      </c>
      <c r="R62" s="39" t="n">
        <v>8</v>
      </c>
      <c r="S62" s="39" t="str">
        <f aca="false">IF(R62=0,"Clean title",IF(R62&lt;=3,"Light hashtags","Hashtag-stuffed"))</f>
        <v>Hashtag-stuffed</v>
      </c>
      <c r="T62" s="39" t="str">
        <f aca="false">IF(I62&lt;=10,"0–10 sec",IF(I62&lt;=60,"11–60 sec",IF(I62&lt;=180,"61–180 sec","3 min +")))</f>
        <v>0–10 sec</v>
      </c>
      <c r="U62" s="39" t="str">
        <f aca="false">IF(J62="","NO DATA",IF(J62&gt;=1000,"HIT",IF(J62&gt;=200,"OK","LOW")))</f>
        <v>LOW</v>
      </c>
    </row>
    <row r="63" customFormat="false" ht="23.85" hidden="false" customHeight="false" outlineLevel="0" collapsed="false">
      <c r="A63" s="24" t="n">
        <v>59</v>
      </c>
      <c r="B63" s="31" t="s">
        <v>185</v>
      </c>
      <c r="C63" s="32" t="s">
        <v>186</v>
      </c>
      <c r="D63" s="33" t="n">
        <v>45965</v>
      </c>
      <c r="E63" s="24" t="n">
        <f aca="false">YEAR(D63)</f>
        <v>2025</v>
      </c>
      <c r="F63" s="24" t="s">
        <v>65</v>
      </c>
      <c r="G63" s="24" t="s">
        <v>66</v>
      </c>
      <c r="H63" s="24" t="s">
        <v>67</v>
      </c>
      <c r="I63" s="31" t="n">
        <v>2</v>
      </c>
      <c r="J63" s="34" t="n">
        <v>10</v>
      </c>
      <c r="K63" s="35" t="n">
        <v>0.0039</v>
      </c>
      <c r="L63" s="31" t="n">
        <v>0</v>
      </c>
      <c r="M63" s="34" t="n">
        <v>64</v>
      </c>
      <c r="N63" s="36" t="n">
        <v>0</v>
      </c>
      <c r="O63" s="37" t="n">
        <f aca="false">IF(OR(J63="",J63=0),"",K63*3600/J63)</f>
        <v>1.404</v>
      </c>
      <c r="P63" s="38" t="n">
        <f aca="false">IF(OR(O63="",I63=0),"",O63/I63)</f>
        <v>0.702</v>
      </c>
      <c r="Q63" s="37" t="n">
        <f aca="false">IF(OR(J63="",J63=0),"",L63/J63*1000)</f>
        <v>0</v>
      </c>
      <c r="R63" s="24" t="n">
        <v>8</v>
      </c>
      <c r="S63" s="24" t="str">
        <f aca="false">IF(R63=0,"Clean title",IF(R63&lt;=3,"Light hashtags","Hashtag-stuffed"))</f>
        <v>Hashtag-stuffed</v>
      </c>
      <c r="T63" s="24" t="str">
        <f aca="false">IF(I63&lt;=10,"0–10 sec",IF(I63&lt;=60,"11–60 sec",IF(I63&lt;=180,"61–180 sec","3 min +")))</f>
        <v>0–10 sec</v>
      </c>
      <c r="U63" s="24" t="str">
        <f aca="false">IF(J63="","NO DATA",IF(J63&gt;=1000,"HIT",IF(J63&gt;=200,"OK","LOW")))</f>
        <v>LOW</v>
      </c>
    </row>
    <row r="64" customFormat="false" ht="15" hidden="false" customHeight="false" outlineLevel="0" collapsed="false">
      <c r="A64" s="39" t="n">
        <v>60</v>
      </c>
      <c r="B64" s="40" t="s">
        <v>187</v>
      </c>
      <c r="C64" s="41" t="s">
        <v>188</v>
      </c>
      <c r="D64" s="42" t="n">
        <v>46165</v>
      </c>
      <c r="E64" s="39" t="n">
        <f aca="false">YEAR(D64)</f>
        <v>2026</v>
      </c>
      <c r="F64" s="39" t="s">
        <v>65</v>
      </c>
      <c r="G64" s="39" t="s">
        <v>66</v>
      </c>
      <c r="H64" s="39" t="s">
        <v>67</v>
      </c>
      <c r="I64" s="40" t="n">
        <v>3</v>
      </c>
      <c r="J64" s="43" t="n">
        <v>10</v>
      </c>
      <c r="K64" s="44" t="n">
        <v>0.009</v>
      </c>
      <c r="L64" s="40" t="n">
        <v>0</v>
      </c>
      <c r="M64" s="43" t="n">
        <v>17</v>
      </c>
      <c r="N64" s="45" t="n">
        <v>0.1765</v>
      </c>
      <c r="O64" s="46" t="n">
        <f aca="false">IF(OR(J64="",J64=0),"",K64*3600/J64)</f>
        <v>3.24</v>
      </c>
      <c r="P64" s="47" t="n">
        <f aca="false">IF(OR(O64="",I64=0),"",O64/I64)</f>
        <v>1.08</v>
      </c>
      <c r="Q64" s="46" t="n">
        <f aca="false">IF(OR(J64="",J64=0),"",L64/J64*1000)</f>
        <v>0</v>
      </c>
      <c r="R64" s="39" t="n">
        <v>1</v>
      </c>
      <c r="S64" s="39" t="str">
        <f aca="false">IF(R64=0,"Clean title",IF(R64&lt;=3,"Light hashtags","Hashtag-stuffed"))</f>
        <v>Light hashtags</v>
      </c>
      <c r="T64" s="39" t="str">
        <f aca="false">IF(I64&lt;=10,"0–10 sec",IF(I64&lt;=60,"11–60 sec",IF(I64&lt;=180,"61–180 sec","3 min +")))</f>
        <v>0–10 sec</v>
      </c>
      <c r="U64" s="39" t="str">
        <f aca="false">IF(J64="","NO DATA",IF(J64&gt;=1000,"HIT",IF(J64&gt;=200,"OK","LOW")))</f>
        <v>LOW</v>
      </c>
    </row>
    <row r="65" customFormat="false" ht="15" hidden="false" customHeight="false" outlineLevel="0" collapsed="false">
      <c r="A65" s="24" t="n">
        <v>61</v>
      </c>
      <c r="B65" s="31" t="s">
        <v>189</v>
      </c>
      <c r="C65" s="32" t="s">
        <v>190</v>
      </c>
      <c r="D65" s="33" t="n">
        <v>45986</v>
      </c>
      <c r="E65" s="24" t="n">
        <f aca="false">YEAR(D65)</f>
        <v>2025</v>
      </c>
      <c r="F65" s="24" t="s">
        <v>65</v>
      </c>
      <c r="G65" s="24" t="s">
        <v>82</v>
      </c>
      <c r="H65" s="24" t="s">
        <v>67</v>
      </c>
      <c r="I65" s="31" t="n">
        <v>3</v>
      </c>
      <c r="J65" s="34" t="n">
        <v>6</v>
      </c>
      <c r="K65" s="35" t="n">
        <v>0.0031</v>
      </c>
      <c r="L65" s="31" t="n">
        <v>0</v>
      </c>
      <c r="M65" s="34" t="n">
        <v>76</v>
      </c>
      <c r="N65" s="36" t="n">
        <v>0</v>
      </c>
      <c r="O65" s="37" t="n">
        <f aca="false">IF(OR(J65="",J65=0),"",K65*3600/J65)</f>
        <v>1.86</v>
      </c>
      <c r="P65" s="38" t="n">
        <f aca="false">IF(OR(O65="",I65=0),"",O65/I65)</f>
        <v>0.62</v>
      </c>
      <c r="Q65" s="37" t="n">
        <f aca="false">IF(OR(J65="",J65=0),"",L65/J65*1000)</f>
        <v>0</v>
      </c>
      <c r="R65" s="24" t="n">
        <v>0</v>
      </c>
      <c r="S65" s="24" t="str">
        <f aca="false">IF(R65=0,"Clean title",IF(R65&lt;=3,"Light hashtags","Hashtag-stuffed"))</f>
        <v>Clean title</v>
      </c>
      <c r="T65" s="24" t="str">
        <f aca="false">IF(I65&lt;=10,"0–10 sec",IF(I65&lt;=60,"11–60 sec",IF(I65&lt;=180,"61–180 sec","3 min +")))</f>
        <v>0–10 sec</v>
      </c>
      <c r="U65" s="24" t="str">
        <f aca="false">IF(J65="","NO DATA",IF(J65&gt;=1000,"HIT",IF(J65&gt;=200,"OK","LOW")))</f>
        <v>LOW</v>
      </c>
    </row>
    <row r="66" customFormat="false" ht="15" hidden="false" customHeight="false" outlineLevel="0" collapsed="false">
      <c r="A66" s="39" t="n">
        <v>62</v>
      </c>
      <c r="B66" s="40" t="s">
        <v>191</v>
      </c>
      <c r="C66" s="41" t="s">
        <v>192</v>
      </c>
      <c r="D66" s="42" t="n">
        <v>46179</v>
      </c>
      <c r="E66" s="39" t="n">
        <f aca="false">YEAR(D66)</f>
        <v>2026</v>
      </c>
      <c r="F66" s="39" t="s">
        <v>65</v>
      </c>
      <c r="G66" s="39" t="s">
        <v>82</v>
      </c>
      <c r="H66" s="39" t="s">
        <v>67</v>
      </c>
      <c r="I66" s="40" t="n">
        <v>9</v>
      </c>
      <c r="J66" s="43" t="n">
        <v>3</v>
      </c>
      <c r="K66" s="44" t="n">
        <v>0.0045</v>
      </c>
      <c r="L66" s="40" t="n">
        <v>0</v>
      </c>
      <c r="M66" s="43" t="n">
        <v>20</v>
      </c>
      <c r="N66" s="45" t="n">
        <v>0.1</v>
      </c>
      <c r="O66" s="46" t="n">
        <f aca="false">IF(OR(J66="",J66=0),"",K66*3600/J66)</f>
        <v>5.4</v>
      </c>
      <c r="P66" s="47" t="n">
        <f aca="false">IF(OR(O66="",I66=0),"",O66/I66)</f>
        <v>0.6</v>
      </c>
      <c r="Q66" s="46" t="n">
        <f aca="false">IF(OR(J66="",J66=0),"",L66/J66*1000)</f>
        <v>0</v>
      </c>
      <c r="R66" s="39" t="n">
        <v>0</v>
      </c>
      <c r="S66" s="39" t="str">
        <f aca="false">IF(R66=0,"Clean title",IF(R66&lt;=3,"Light hashtags","Hashtag-stuffed"))</f>
        <v>Clean title</v>
      </c>
      <c r="T66" s="39" t="str">
        <f aca="false">IF(I66&lt;=10,"0–10 sec",IF(I66&lt;=60,"11–60 sec",IF(I66&lt;=180,"61–180 sec","3 min +")))</f>
        <v>0–10 sec</v>
      </c>
      <c r="U66" s="39" t="str">
        <f aca="false">IF(J66="","NO DATA",IF(J66&gt;=1000,"HIT",IF(J66&gt;=200,"OK","LOW")))</f>
        <v>LOW</v>
      </c>
    </row>
    <row r="67" customFormat="false" ht="15" hidden="false" customHeight="false" outlineLevel="0" collapsed="false">
      <c r="A67" s="24" t="n">
        <v>63</v>
      </c>
      <c r="B67" s="31" t="s">
        <v>193</v>
      </c>
      <c r="C67" s="32" t="s">
        <v>194</v>
      </c>
      <c r="D67" s="33" t="n">
        <v>46214</v>
      </c>
      <c r="E67" s="24" t="n">
        <f aca="false">YEAR(D67)</f>
        <v>2026</v>
      </c>
      <c r="F67" s="24" t="s">
        <v>65</v>
      </c>
      <c r="G67" s="24" t="s">
        <v>66</v>
      </c>
      <c r="H67" s="24" t="s">
        <v>67</v>
      </c>
      <c r="I67" s="31" t="n">
        <v>3</v>
      </c>
      <c r="J67" s="34" t="n">
        <v>2</v>
      </c>
      <c r="K67" s="35" t="n">
        <v>0.0016</v>
      </c>
      <c r="L67" s="31" t="n">
        <v>0</v>
      </c>
      <c r="M67" s="34" t="n">
        <v>10</v>
      </c>
      <c r="N67" s="36" t="n">
        <v>0.1</v>
      </c>
      <c r="O67" s="37" t="n">
        <f aca="false">IF(OR(J67="",J67=0),"",K67*3600/J67)</f>
        <v>2.88</v>
      </c>
      <c r="P67" s="38" t="n">
        <f aca="false">IF(OR(O67="",I67=0),"",O67/I67)</f>
        <v>0.96</v>
      </c>
      <c r="Q67" s="37" t="n">
        <f aca="false">IF(OR(J67="",J67=0),"",L67/J67*1000)</f>
        <v>0</v>
      </c>
      <c r="R67" s="24" t="n">
        <v>0</v>
      </c>
      <c r="S67" s="24" t="str">
        <f aca="false">IF(R67=0,"Clean title",IF(R67&lt;=3,"Light hashtags","Hashtag-stuffed"))</f>
        <v>Clean title</v>
      </c>
      <c r="T67" s="24" t="str">
        <f aca="false">IF(I67&lt;=10,"0–10 sec",IF(I67&lt;=60,"11–60 sec",IF(I67&lt;=180,"61–180 sec","3 min +")))</f>
        <v>0–10 sec</v>
      </c>
      <c r="U67" s="24" t="str">
        <f aca="false">IF(J67="","NO DATA",IF(J67&gt;=1000,"HIT",IF(J67&gt;=200,"OK","LOW")))</f>
        <v>LOW</v>
      </c>
    </row>
    <row r="68" customFormat="false" ht="15" hidden="false" customHeight="false" outlineLevel="0" collapsed="false">
      <c r="A68" s="39" t="n">
        <v>64</v>
      </c>
      <c r="B68" s="40" t="s">
        <v>195</v>
      </c>
      <c r="C68" s="41" t="s">
        <v>196</v>
      </c>
      <c r="D68" s="42" t="n">
        <v>46208</v>
      </c>
      <c r="E68" s="39" t="n">
        <f aca="false">YEAR(D68)</f>
        <v>2026</v>
      </c>
      <c r="F68" s="39" t="s">
        <v>65</v>
      </c>
      <c r="G68" s="39" t="s">
        <v>82</v>
      </c>
      <c r="H68" s="39" t="s">
        <v>67</v>
      </c>
      <c r="I68" s="40" t="n">
        <v>2</v>
      </c>
      <c r="J68" s="43" t="n">
        <v>2</v>
      </c>
      <c r="K68" s="44" t="n">
        <v>0.0006</v>
      </c>
      <c r="L68" s="40" t="n">
        <v>0</v>
      </c>
      <c r="M68" s="43" t="n">
        <v>10</v>
      </c>
      <c r="N68" s="45" t="n">
        <v>0.1</v>
      </c>
      <c r="O68" s="46" t="n">
        <f aca="false">IF(OR(J68="",J68=0),"",K68*3600/J68)</f>
        <v>1.08</v>
      </c>
      <c r="P68" s="47" t="n">
        <f aca="false">IF(OR(O68="",I68=0),"",O68/I68)</f>
        <v>0.54</v>
      </c>
      <c r="Q68" s="46" t="n">
        <f aca="false">IF(OR(J68="",J68=0),"",L68/J68*1000)</f>
        <v>0</v>
      </c>
      <c r="R68" s="39" t="n">
        <v>0</v>
      </c>
      <c r="S68" s="39" t="str">
        <f aca="false">IF(R68=0,"Clean title",IF(R68&lt;=3,"Light hashtags","Hashtag-stuffed"))</f>
        <v>Clean title</v>
      </c>
      <c r="T68" s="39" t="str">
        <f aca="false">IF(I68&lt;=10,"0–10 sec",IF(I68&lt;=60,"11–60 sec",IF(I68&lt;=180,"61–180 sec","3 min +")))</f>
        <v>0–10 sec</v>
      </c>
      <c r="U68" s="39" t="str">
        <f aca="false">IF(J68="","NO DATA",IF(J68&gt;=1000,"HIT",IF(J68&gt;=200,"OK","LOW")))</f>
        <v>LOW</v>
      </c>
    </row>
    <row r="69" customFormat="false" ht="15" hidden="false" customHeight="false" outlineLevel="0" collapsed="false">
      <c r="A69" s="24" t="n">
        <v>65</v>
      </c>
      <c r="B69" s="31" t="s">
        <v>197</v>
      </c>
      <c r="C69" s="32" t="s">
        <v>198</v>
      </c>
      <c r="D69" s="33" t="n">
        <v>45993</v>
      </c>
      <c r="E69" s="24" t="n">
        <f aca="false">YEAR(D69)</f>
        <v>2025</v>
      </c>
      <c r="F69" s="24" t="s">
        <v>65</v>
      </c>
      <c r="G69" s="24" t="s">
        <v>82</v>
      </c>
      <c r="H69" s="24" t="s">
        <v>67</v>
      </c>
      <c r="I69" s="31" t="n">
        <v>5</v>
      </c>
      <c r="J69" s="34" t="n">
        <v>2</v>
      </c>
      <c r="K69" s="35" t="n">
        <v>0.0003</v>
      </c>
      <c r="L69" s="31" t="n">
        <v>0</v>
      </c>
      <c r="M69" s="34" t="n">
        <v>0</v>
      </c>
      <c r="N69" s="36"/>
      <c r="O69" s="37" t="n">
        <f aca="false">IF(OR(J69="",J69=0),"",K69*3600/J69)</f>
        <v>0.54</v>
      </c>
      <c r="P69" s="38" t="n">
        <f aca="false">IF(OR(O69="",I69=0),"",O69/I69)</f>
        <v>0.108</v>
      </c>
      <c r="Q69" s="37" t="n">
        <f aca="false">IF(OR(J69="",J69=0),"",L69/J69*1000)</f>
        <v>0</v>
      </c>
      <c r="R69" s="24" t="n">
        <v>0</v>
      </c>
      <c r="S69" s="24" t="str">
        <f aca="false">IF(R69=0,"Clean title",IF(R69&lt;=3,"Light hashtags","Hashtag-stuffed"))</f>
        <v>Clean title</v>
      </c>
      <c r="T69" s="24" t="str">
        <f aca="false">IF(I69&lt;=10,"0–10 sec",IF(I69&lt;=60,"11–60 sec",IF(I69&lt;=180,"61–180 sec","3 min +")))</f>
        <v>0–10 sec</v>
      </c>
      <c r="U69" s="24" t="str">
        <f aca="false">IF(J69="","NO DATA",IF(J69&gt;=1000,"HIT",IF(J69&gt;=200,"OK","LOW")))</f>
        <v>LOW</v>
      </c>
    </row>
    <row r="70" customFormat="false" ht="15" hidden="false" customHeight="false" outlineLevel="0" collapsed="false">
      <c r="A70" s="39" t="n">
        <v>66</v>
      </c>
      <c r="B70" s="40" t="s">
        <v>199</v>
      </c>
      <c r="C70" s="41" t="s">
        <v>200</v>
      </c>
      <c r="D70" s="42" t="n">
        <v>46207</v>
      </c>
      <c r="E70" s="39" t="n">
        <f aca="false">YEAR(D70)</f>
        <v>2026</v>
      </c>
      <c r="F70" s="39" t="s">
        <v>65</v>
      </c>
      <c r="G70" s="39" t="s">
        <v>82</v>
      </c>
      <c r="H70" s="39" t="s">
        <v>67</v>
      </c>
      <c r="I70" s="40" t="n">
        <v>3</v>
      </c>
      <c r="J70" s="43" t="n">
        <v>1</v>
      </c>
      <c r="K70" s="44" t="n">
        <v>0.0006</v>
      </c>
      <c r="L70" s="40" t="n">
        <v>0</v>
      </c>
      <c r="M70" s="43" t="n">
        <v>3</v>
      </c>
      <c r="N70" s="45" t="n">
        <v>0.3333</v>
      </c>
      <c r="O70" s="46" t="n">
        <f aca="false">IF(OR(J70="",J70=0),"",K70*3600/J70)</f>
        <v>2.16</v>
      </c>
      <c r="P70" s="47" t="n">
        <f aca="false">IF(OR(O70="",I70=0),"",O70/I70)</f>
        <v>0.72</v>
      </c>
      <c r="Q70" s="46" t="n">
        <f aca="false">IF(OR(J70="",J70=0),"",L70/J70*1000)</f>
        <v>0</v>
      </c>
      <c r="R70" s="39" t="n">
        <v>0</v>
      </c>
      <c r="S70" s="39" t="str">
        <f aca="false">IF(R70=0,"Clean title",IF(R70&lt;=3,"Light hashtags","Hashtag-stuffed"))</f>
        <v>Clean title</v>
      </c>
      <c r="T70" s="39" t="str">
        <f aca="false">IF(I70&lt;=10,"0–10 sec",IF(I70&lt;=60,"11–60 sec",IF(I70&lt;=180,"61–180 sec","3 min +")))</f>
        <v>0–10 sec</v>
      </c>
      <c r="U70" s="39" t="str">
        <f aca="false">IF(J70="","NO DATA",IF(J70&gt;=1000,"HIT",IF(J70&gt;=200,"OK","LOW")))</f>
        <v>LOW</v>
      </c>
    </row>
    <row r="71" customFormat="false" ht="23.85" hidden="false" customHeight="false" outlineLevel="0" collapsed="false">
      <c r="A71" s="24" t="n">
        <v>67</v>
      </c>
      <c r="B71" s="31" t="s">
        <v>201</v>
      </c>
      <c r="C71" s="32" t="s">
        <v>202</v>
      </c>
      <c r="D71" s="33" t="n">
        <v>45446</v>
      </c>
      <c r="E71" s="24" t="n">
        <f aca="false">YEAR(D71)</f>
        <v>2024</v>
      </c>
      <c r="F71" s="24" t="s">
        <v>65</v>
      </c>
      <c r="G71" s="24" t="s">
        <v>66</v>
      </c>
      <c r="H71" s="24" t="s">
        <v>67</v>
      </c>
      <c r="I71" s="31" t="n">
        <v>2</v>
      </c>
      <c r="J71" s="34" t="n">
        <v>1</v>
      </c>
      <c r="K71" s="35" t="n">
        <v>0.0009</v>
      </c>
      <c r="L71" s="31" t="n">
        <v>0</v>
      </c>
      <c r="M71" s="34" t="n">
        <v>51</v>
      </c>
      <c r="N71" s="36" t="n">
        <v>0.0196</v>
      </c>
      <c r="O71" s="37" t="n">
        <f aca="false">IF(OR(J71="",J71=0),"",K71*3600/J71)</f>
        <v>3.24</v>
      </c>
      <c r="P71" s="38" t="n">
        <f aca="false">IF(OR(O71="",I71=0),"",O71/I71)</f>
        <v>1.62</v>
      </c>
      <c r="Q71" s="37" t="n">
        <f aca="false">IF(OR(J71="",J71=0),"",L71/J71*1000)</f>
        <v>0</v>
      </c>
      <c r="R71" s="24" t="n">
        <v>6</v>
      </c>
      <c r="S71" s="24" t="str">
        <f aca="false">IF(R71=0,"Clean title",IF(R71&lt;=3,"Light hashtags","Hashtag-stuffed"))</f>
        <v>Hashtag-stuffed</v>
      </c>
      <c r="T71" s="24" t="str">
        <f aca="false">IF(I71&lt;=10,"0–10 sec",IF(I71&lt;=60,"11–60 sec",IF(I71&lt;=180,"61–180 sec","3 min +")))</f>
        <v>0–10 sec</v>
      </c>
      <c r="U71" s="24" t="str">
        <f aca="false">IF(J71="","NO DATA",IF(J71&gt;=1000,"HIT",IF(J71&gt;=200,"OK","LOW")))</f>
        <v>LOW</v>
      </c>
    </row>
    <row r="72" customFormat="false" ht="15" hidden="false" customHeight="false" outlineLevel="0" collapsed="false">
      <c r="A72" s="39" t="n">
        <v>68</v>
      </c>
      <c r="B72" s="40" t="s">
        <v>203</v>
      </c>
      <c r="C72" s="41" t="s">
        <v>204</v>
      </c>
      <c r="D72" s="42" t="n">
        <v>44757</v>
      </c>
      <c r="E72" s="39" t="n">
        <f aca="false">YEAR(D72)</f>
        <v>2022</v>
      </c>
      <c r="F72" s="39" t="s">
        <v>205</v>
      </c>
      <c r="G72" s="39" t="s">
        <v>73</v>
      </c>
      <c r="H72" s="39" t="s">
        <v>206</v>
      </c>
      <c r="I72" s="40" t="n">
        <v>0</v>
      </c>
      <c r="J72" s="43"/>
      <c r="K72" s="44"/>
      <c r="L72" s="40"/>
      <c r="M72" s="43" t="n">
        <v>5</v>
      </c>
      <c r="N72" s="45" t="n">
        <v>0</v>
      </c>
      <c r="O72" s="46" t="str">
        <f aca="false">IF(OR(J72="",J72=0),"",K72*3600/J72)</f>
        <v/>
      </c>
      <c r="P72" s="47" t="str">
        <f aca="false">IF(OR(O72="",I72=0),"",O72/I72)</f>
        <v/>
      </c>
      <c r="Q72" s="46" t="str">
        <f aca="false">IF(OR(J72="",J72=0),"",L72/J72*1000)</f>
        <v/>
      </c>
      <c r="R72" s="39" t="n">
        <v>0</v>
      </c>
      <c r="S72" s="39" t="str">
        <f aca="false">IF(R72=0,"Clean title",IF(R72&lt;=3,"Light hashtags","Hashtag-stuffed"))</f>
        <v>Clean title</v>
      </c>
      <c r="T72" s="39" t="str">
        <f aca="false">IF(I72&lt;=10,"0–10 sec",IF(I72&lt;=60,"11–60 sec",IF(I72&lt;=180,"61–180 sec","3 min +")))</f>
        <v>0–10 sec</v>
      </c>
      <c r="U72" s="39" t="str">
        <f aca="false">IF(J72="","NO DATA",IF(J72&gt;=1000,"HIT",IF(J72&gt;=200,"OK","LOW")))</f>
        <v>NO DATA</v>
      </c>
    </row>
    <row r="73" customFormat="false" ht="15" hidden="false" customHeight="false" outlineLevel="0" collapsed="false">
      <c r="A73" s="24" t="n">
        <v>69</v>
      </c>
      <c r="B73" s="31" t="s">
        <v>207</v>
      </c>
      <c r="C73" s="32" t="s">
        <v>208</v>
      </c>
      <c r="D73" s="33" t="n">
        <v>46193</v>
      </c>
      <c r="E73" s="24" t="n">
        <f aca="false">YEAR(D73)</f>
        <v>2026</v>
      </c>
      <c r="F73" s="24" t="s">
        <v>65</v>
      </c>
      <c r="G73" s="24" t="s">
        <v>82</v>
      </c>
      <c r="H73" s="24" t="s">
        <v>67</v>
      </c>
      <c r="I73" s="31" t="n">
        <v>10</v>
      </c>
      <c r="J73" s="34"/>
      <c r="K73" s="35"/>
      <c r="L73" s="31"/>
      <c r="M73" s="34" t="n">
        <v>5</v>
      </c>
      <c r="N73" s="36" t="n">
        <v>0</v>
      </c>
      <c r="O73" s="37" t="str">
        <f aca="false">IF(OR(J73="",J73=0),"",K73*3600/J73)</f>
        <v/>
      </c>
      <c r="P73" s="38" t="str">
        <f aca="false">IF(OR(O73="",I73=0),"",O73/I73)</f>
        <v/>
      </c>
      <c r="Q73" s="37" t="str">
        <f aca="false">IF(OR(J73="",J73=0),"",L73/J73*1000)</f>
        <v/>
      </c>
      <c r="R73" s="24" t="n">
        <v>0</v>
      </c>
      <c r="S73" s="24" t="str">
        <f aca="false">IF(R73=0,"Clean title",IF(R73&lt;=3,"Light hashtags","Hashtag-stuffed"))</f>
        <v>Clean title</v>
      </c>
      <c r="T73" s="24" t="str">
        <f aca="false">IF(I73&lt;=10,"0–10 sec",IF(I73&lt;=60,"11–60 sec",IF(I73&lt;=180,"61–180 sec","3 min +")))</f>
        <v>0–10 sec</v>
      </c>
      <c r="U73" s="24" t="str">
        <f aca="false">IF(J73="","NO DATA",IF(J73&gt;=1000,"HIT",IF(J73&gt;=200,"OK","LOW")))</f>
        <v>NO DATA</v>
      </c>
    </row>
    <row r="74" customFormat="false" ht="15" hidden="false" customHeight="false" outlineLevel="0" collapsed="false">
      <c r="A74" s="39" t="n">
        <v>70</v>
      </c>
      <c r="B74" s="40" t="s">
        <v>209</v>
      </c>
      <c r="C74" s="41" t="s">
        <v>210</v>
      </c>
      <c r="D74" s="42" t="n">
        <v>46215</v>
      </c>
      <c r="E74" s="39" t="n">
        <f aca="false">YEAR(D74)</f>
        <v>2026</v>
      </c>
      <c r="F74" s="39" t="s">
        <v>65</v>
      </c>
      <c r="G74" s="39" t="s">
        <v>82</v>
      </c>
      <c r="H74" s="39" t="s">
        <v>67</v>
      </c>
      <c r="I74" s="40" t="n">
        <v>3</v>
      </c>
      <c r="J74" s="43"/>
      <c r="K74" s="44"/>
      <c r="L74" s="40"/>
      <c r="M74" s="43" t="n">
        <v>6</v>
      </c>
      <c r="N74" s="45" t="n">
        <v>0</v>
      </c>
      <c r="O74" s="46" t="str">
        <f aca="false">IF(OR(J74="",J74=0),"",K74*3600/J74)</f>
        <v/>
      </c>
      <c r="P74" s="47" t="str">
        <f aca="false">IF(OR(O74="",I74=0),"",O74/I74)</f>
        <v/>
      </c>
      <c r="Q74" s="46" t="str">
        <f aca="false">IF(OR(J74="",J74=0),"",L74/J74*1000)</f>
        <v/>
      </c>
      <c r="R74" s="39" t="n">
        <v>0</v>
      </c>
      <c r="S74" s="39" t="str">
        <f aca="false">IF(R74=0,"Clean title",IF(R74&lt;=3,"Light hashtags","Hashtag-stuffed"))</f>
        <v>Clean title</v>
      </c>
      <c r="T74" s="39" t="str">
        <f aca="false">IF(I74&lt;=10,"0–10 sec",IF(I74&lt;=60,"11–60 sec",IF(I74&lt;=180,"61–180 sec","3 min +")))</f>
        <v>0–10 sec</v>
      </c>
      <c r="U74" s="39" t="str">
        <f aca="false">IF(J74="","NO DATA",IF(J74&gt;=1000,"HIT",IF(J74&gt;=200,"OK","LOW")))</f>
        <v>NO DATA</v>
      </c>
    </row>
    <row r="75" customFormat="false" ht="15" hidden="false" customHeight="false" outlineLevel="0" collapsed="false">
      <c r="A75" s="24" t="n">
        <v>71</v>
      </c>
      <c r="B75" s="31" t="s">
        <v>211</v>
      </c>
      <c r="C75" s="32" t="s">
        <v>212</v>
      </c>
      <c r="D75" s="33" t="n">
        <v>46200</v>
      </c>
      <c r="E75" s="24" t="n">
        <f aca="false">YEAR(D75)</f>
        <v>2026</v>
      </c>
      <c r="F75" s="24" t="s">
        <v>65</v>
      </c>
      <c r="G75" s="24" t="s">
        <v>82</v>
      </c>
      <c r="H75" s="24" t="s">
        <v>67</v>
      </c>
      <c r="I75" s="31" t="n">
        <v>10</v>
      </c>
      <c r="J75" s="34"/>
      <c r="K75" s="35"/>
      <c r="L75" s="31"/>
      <c r="M75" s="34" t="n">
        <v>10</v>
      </c>
      <c r="N75" s="36" t="n">
        <v>0</v>
      </c>
      <c r="O75" s="37" t="str">
        <f aca="false">IF(OR(J75="",J75=0),"",K75*3600/J75)</f>
        <v/>
      </c>
      <c r="P75" s="38" t="str">
        <f aca="false">IF(OR(O75="",I75=0),"",O75/I75)</f>
        <v/>
      </c>
      <c r="Q75" s="37" t="str">
        <f aca="false">IF(OR(J75="",J75=0),"",L75/J75*1000)</f>
        <v/>
      </c>
      <c r="R75" s="24" t="n">
        <v>0</v>
      </c>
      <c r="S75" s="24" t="str">
        <f aca="false">IF(R75=0,"Clean title",IF(R75&lt;=3,"Light hashtags","Hashtag-stuffed"))</f>
        <v>Clean title</v>
      </c>
      <c r="T75" s="24" t="str">
        <f aca="false">IF(I75&lt;=10,"0–10 sec",IF(I75&lt;=60,"11–60 sec",IF(I75&lt;=180,"61–180 sec","3 min +")))</f>
        <v>0–10 sec</v>
      </c>
      <c r="U75" s="24" t="str">
        <f aca="false">IF(J75="","NO DATA",IF(J75&gt;=1000,"HIT",IF(J75&gt;=200,"OK","LOW")))</f>
        <v>NO DATA</v>
      </c>
    </row>
    <row r="76" customFormat="false" ht="23.85" hidden="false" customHeight="false" outlineLevel="0" collapsed="false">
      <c r="A76" s="39" t="n">
        <v>72</v>
      </c>
      <c r="B76" s="40" t="s">
        <v>213</v>
      </c>
      <c r="C76" s="41" t="s">
        <v>214</v>
      </c>
      <c r="D76" s="42" t="n">
        <v>46186</v>
      </c>
      <c r="E76" s="39" t="n">
        <f aca="false">YEAR(D76)</f>
        <v>2026</v>
      </c>
      <c r="F76" s="39" t="s">
        <v>65</v>
      </c>
      <c r="G76" s="39" t="s">
        <v>82</v>
      </c>
      <c r="H76" s="39" t="s">
        <v>67</v>
      </c>
      <c r="I76" s="40" t="n">
        <v>7</v>
      </c>
      <c r="J76" s="43"/>
      <c r="K76" s="44"/>
      <c r="L76" s="40"/>
      <c r="M76" s="43" t="n">
        <v>8</v>
      </c>
      <c r="N76" s="45" t="n">
        <v>0</v>
      </c>
      <c r="O76" s="46" t="str">
        <f aca="false">IF(OR(J76="",J76=0),"",K76*3600/J76)</f>
        <v/>
      </c>
      <c r="P76" s="47" t="str">
        <f aca="false">IF(OR(O76="",I76=0),"",O76/I76)</f>
        <v/>
      </c>
      <c r="Q76" s="46" t="str">
        <f aca="false">IF(OR(J76="",J76=0),"",L76/J76*1000)</f>
        <v/>
      </c>
      <c r="R76" s="39" t="n">
        <v>0</v>
      </c>
      <c r="S76" s="39" t="str">
        <f aca="false">IF(R76=0,"Clean title",IF(R76&lt;=3,"Light hashtags","Hashtag-stuffed"))</f>
        <v>Clean title</v>
      </c>
      <c r="T76" s="39" t="str">
        <f aca="false">IF(I76&lt;=10,"0–10 sec",IF(I76&lt;=60,"11–60 sec",IF(I76&lt;=180,"61–180 sec","3 min +")))</f>
        <v>0–10 sec</v>
      </c>
      <c r="U76" s="39" t="str">
        <f aca="false">IF(J76="","NO DATA",IF(J76&gt;=1000,"HIT",IF(J76&gt;=200,"OK","LOW")))</f>
        <v>NO DATA</v>
      </c>
    </row>
    <row r="78" customFormat="false" ht="15.75" hidden="false" customHeight="true" outlineLevel="0" collapsed="false">
      <c r="A78" s="48" t="s">
        <v>215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</row>
    <row r="79" customFormat="false" ht="27.75" hidden="false" customHeight="true" outlineLevel="0" collapsed="false">
      <c r="A79" s="49" t="s">
        <v>216</v>
      </c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</row>
    <row r="80" customFormat="false" ht="27.75" hidden="false" customHeight="true" outlineLevel="0" collapsed="false">
      <c r="A80" s="49" t="s">
        <v>217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</row>
    <row r="81" customFormat="false" ht="27.75" hidden="false" customHeight="true" outlineLevel="0" collapsed="false">
      <c r="A81" s="49" t="s">
        <v>218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</row>
    <row r="82" customFormat="false" ht="27.75" hidden="false" customHeight="true" outlineLevel="0" collapsed="false">
      <c r="A82" s="49" t="s">
        <v>219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</row>
    <row r="83" customFormat="false" ht="27.75" hidden="false" customHeight="true" outlineLevel="0" collapsed="false">
      <c r="A83" s="49" t="s">
        <v>220</v>
      </c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</row>
    <row r="84" customFormat="false" ht="27.75" hidden="false" customHeight="true" outlineLevel="0" collapsed="false">
      <c r="A84" s="49" t="s">
        <v>221</v>
      </c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</row>
  </sheetData>
  <autoFilter ref="A4:U76"/>
  <mergeCells count="7">
    <mergeCell ref="A78:U78"/>
    <mergeCell ref="A79:U79"/>
    <mergeCell ref="A80:U80"/>
    <mergeCell ref="A81:U81"/>
    <mergeCell ref="A82:U82"/>
    <mergeCell ref="A83:U83"/>
    <mergeCell ref="A84:U84"/>
  </mergeCells>
  <conditionalFormatting sqref="U5:U76">
    <cfRule type="cellIs" priority="2" operator="equal" aboveAverage="0" equalAverage="0" bottom="0" percent="0" rank="0" text="" dxfId="99">
      <formula>"HIT"</formula>
    </cfRule>
    <cfRule type="cellIs" priority="3" operator="equal" aboveAverage="0" equalAverage="0" bottom="0" percent="0" rank="0" text="" dxfId="100">
      <formula>"OK"</formula>
    </cfRule>
    <cfRule type="cellIs" priority="4" operator="equal" aboveAverage="0" equalAverage="0" bottom="0" percent="0" rank="0" text="" dxfId="101">
      <formula>"LOW"</formula>
    </cfRule>
  </conditionalFormatting>
  <conditionalFormatting sqref="J5:J76">
    <cfRule type="dataBar" priority="5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{D1D7C014-DDBF-4AB0-9E58-BB9DA63FB029}</x14:id>
        </ext>
      </extLst>
    </cfRule>
  </conditionalFormatting>
  <conditionalFormatting sqref="N5:N76">
    <cfRule type="colorScale" priority="6">
      <colorScale>
        <cfvo type="num" val="0"/>
        <cfvo type="num" val="0.05"/>
        <cfvo type="num" val="0.1"/>
        <color rgb="FFF8696B"/>
        <color rgb="FFFFEB84"/>
        <color rgb="FF63BE7B"/>
      </colorScale>
    </cfRule>
  </conditionalFormatting>
  <conditionalFormatting sqref="P5:P76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S5:S76">
    <cfRule type="cellIs" priority="8" operator="equal" aboveAverage="0" equalAverage="0" bottom="0" percent="0" rank="0" text="" dxfId="102">
      <formula>"Hashtag-stuffed"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D7C014-DDBF-4AB0-9E58-BB9DA63FB029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J5:J76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0"/>
    <col collapsed="false" customWidth="true" hidden="false" outlineLevel="0" max="5" min="5" style="0" width="30"/>
    <col collapsed="false" customWidth="true" hidden="false" outlineLevel="0" max="6" min="6" style="0" width="62"/>
  </cols>
  <sheetData>
    <row r="1" customFormat="false" ht="31.5" hidden="false" customHeight="true" outlineLevel="0" collapsed="false">
      <c r="A1" s="1" t="s">
        <v>222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223</v>
      </c>
      <c r="B2" s="4"/>
      <c r="C2" s="4"/>
      <c r="D2" s="4"/>
      <c r="E2" s="4"/>
      <c r="F2" s="4"/>
    </row>
    <row r="4" customFormat="false" ht="31.5" hidden="false" customHeight="true" outlineLevel="0" collapsed="false">
      <c r="A4" s="30" t="s">
        <v>224</v>
      </c>
      <c r="B4" s="30" t="s">
        <v>38</v>
      </c>
      <c r="C4" s="30" t="s">
        <v>225</v>
      </c>
      <c r="D4" s="30" t="s">
        <v>226</v>
      </c>
      <c r="E4" s="30" t="s">
        <v>227</v>
      </c>
      <c r="F4" s="30" t="s">
        <v>228</v>
      </c>
    </row>
    <row r="5" customFormat="false" ht="15" hidden="false" customHeight="false" outlineLevel="0" collapsed="false">
      <c r="A5" s="50" t="n">
        <v>44743</v>
      </c>
      <c r="B5" s="51" t="n">
        <f aca="false">SUMIFS('Daily Views (raw)'!$B$5:$B$1935,'Daily Views (raw)'!$A$5:$A$1935,"&gt;="&amp;A5,'Daily Views (raw)'!$A$5:$A$1935,"&lt;"&amp;EDATE(A5,1))</f>
        <v>123</v>
      </c>
      <c r="C5" s="52" t="n">
        <f aca="false">COUNTIFS('All Videos'!$D$5:$D$76,"&gt;="&amp;A5,'All Videos'!$D$5:$D$76,"&lt;"&amp;EDATE(A5,1))</f>
        <v>1</v>
      </c>
      <c r="D5" s="51" t="n">
        <f aca="false">IF(C5=0,"",B5/C5)</f>
        <v>123</v>
      </c>
      <c r="E5" s="53" t="s">
        <v>229</v>
      </c>
      <c r="F5" s="54" t="s">
        <v>230</v>
      </c>
    </row>
    <row r="6" customFormat="false" ht="15" hidden="false" customHeight="false" outlineLevel="0" collapsed="false">
      <c r="A6" s="50" t="n">
        <v>44774</v>
      </c>
      <c r="B6" s="51" t="n">
        <f aca="false">SUMIFS('Daily Views (raw)'!$B$5:$B$1935,'Daily Views (raw)'!$A$5:$A$1935,"&gt;="&amp;A6,'Daily Views (raw)'!$A$5:$A$1935,"&lt;"&amp;EDATE(A6,1))</f>
        <v>36</v>
      </c>
      <c r="C6" s="52" t="n">
        <f aca="false">COUNTIFS('All Videos'!$D$5:$D$76,"&gt;="&amp;A6,'All Videos'!$D$5:$D$76,"&lt;"&amp;EDATE(A6,1))</f>
        <v>0</v>
      </c>
      <c r="D6" s="51" t="str">
        <f aca="false">IF(C6=0,"",B6/C6)</f>
        <v/>
      </c>
      <c r="E6" s="53" t="s">
        <v>229</v>
      </c>
      <c r="F6" s="54"/>
    </row>
    <row r="7" customFormat="false" ht="15" hidden="false" customHeight="false" outlineLevel="0" collapsed="false">
      <c r="A7" s="50" t="n">
        <v>44805</v>
      </c>
      <c r="B7" s="51" t="n">
        <f aca="false">SUMIFS('Daily Views (raw)'!$B$5:$B$1935,'Daily Views (raw)'!$A$5:$A$1935,"&gt;="&amp;A7,'Daily Views (raw)'!$A$5:$A$1935,"&lt;"&amp;EDATE(A7,1))</f>
        <v>84</v>
      </c>
      <c r="C7" s="52" t="n">
        <f aca="false">COUNTIFS('All Videos'!$D$5:$D$76,"&gt;="&amp;A7,'All Videos'!$D$5:$D$76,"&lt;"&amp;EDATE(A7,1))</f>
        <v>1</v>
      </c>
      <c r="D7" s="51" t="n">
        <f aca="false">IF(C7=0,"",B7/C7)</f>
        <v>84</v>
      </c>
      <c r="E7" s="53" t="s">
        <v>229</v>
      </c>
      <c r="F7" s="54"/>
    </row>
    <row r="8" customFormat="false" ht="15" hidden="false" customHeight="false" outlineLevel="0" collapsed="false">
      <c r="A8" s="50" t="n">
        <v>44835</v>
      </c>
      <c r="B8" s="51" t="n">
        <f aca="false">SUMIFS('Daily Views (raw)'!$B$5:$B$1935,'Daily Views (raw)'!$A$5:$A$1935,"&gt;="&amp;A8,'Daily Views (raw)'!$A$5:$A$1935,"&lt;"&amp;EDATE(A8,1))</f>
        <v>53</v>
      </c>
      <c r="C8" s="52" t="n">
        <f aca="false">COUNTIFS('All Videos'!$D$5:$D$76,"&gt;="&amp;A8,'All Videos'!$D$5:$D$76,"&lt;"&amp;EDATE(A8,1))</f>
        <v>0</v>
      </c>
      <c r="D8" s="51" t="str">
        <f aca="false">IF(C8=0,"",B8/C8)</f>
        <v/>
      </c>
      <c r="E8" s="53" t="s">
        <v>229</v>
      </c>
      <c r="F8" s="54"/>
    </row>
    <row r="9" customFormat="false" ht="15" hidden="false" customHeight="false" outlineLevel="0" collapsed="false">
      <c r="A9" s="50" t="n">
        <v>44866</v>
      </c>
      <c r="B9" s="51" t="n">
        <f aca="false">SUMIFS('Daily Views (raw)'!$B$5:$B$1935,'Daily Views (raw)'!$A$5:$A$1935,"&gt;="&amp;A9,'Daily Views (raw)'!$A$5:$A$1935,"&lt;"&amp;EDATE(A9,1))</f>
        <v>1202</v>
      </c>
      <c r="C9" s="52" t="n">
        <f aca="false">COUNTIFS('All Videos'!$D$5:$D$76,"&gt;="&amp;A9,'All Videos'!$D$5:$D$76,"&lt;"&amp;EDATE(A9,1))</f>
        <v>3</v>
      </c>
      <c r="D9" s="51" t="n">
        <f aca="false">IF(C9=0,"",B9/C9)</f>
        <v>400.666666666667</v>
      </c>
      <c r="E9" s="53" t="s">
        <v>229</v>
      </c>
      <c r="F9" s="54" t="s">
        <v>231</v>
      </c>
    </row>
    <row r="10" customFormat="false" ht="15" hidden="false" customHeight="false" outlineLevel="0" collapsed="false">
      <c r="A10" s="50" t="n">
        <v>44896</v>
      </c>
      <c r="B10" s="51" t="n">
        <f aca="false">SUMIFS('Daily Views (raw)'!$B$5:$B$1935,'Daily Views (raw)'!$A$5:$A$1935,"&gt;="&amp;A10,'Daily Views (raw)'!$A$5:$A$1935,"&lt;"&amp;EDATE(A10,1))</f>
        <v>3193</v>
      </c>
      <c r="C10" s="52" t="n">
        <f aca="false">COUNTIFS('All Videos'!$D$5:$D$76,"&gt;="&amp;A10,'All Videos'!$D$5:$D$76,"&lt;"&amp;EDATE(A10,1))</f>
        <v>6</v>
      </c>
      <c r="D10" s="51" t="n">
        <f aca="false">IF(C10=0,"",B10/C10)</f>
        <v>532.166666666667</v>
      </c>
      <c r="E10" s="53" t="s">
        <v>229</v>
      </c>
      <c r="F10" s="54" t="s">
        <v>232</v>
      </c>
    </row>
    <row r="11" customFormat="false" ht="15" hidden="false" customHeight="false" outlineLevel="0" collapsed="false">
      <c r="A11" s="50" t="n">
        <v>44927</v>
      </c>
      <c r="B11" s="51" t="n">
        <f aca="false">SUMIFS('Daily Views (raw)'!$B$5:$B$1935,'Daily Views (raw)'!$A$5:$A$1935,"&gt;="&amp;A11,'Daily Views (raw)'!$A$5:$A$1935,"&lt;"&amp;EDATE(A11,1))</f>
        <v>840</v>
      </c>
      <c r="C11" s="52" t="n">
        <f aca="false">COUNTIFS('All Videos'!$D$5:$D$76,"&gt;="&amp;A11,'All Videos'!$D$5:$D$76,"&lt;"&amp;EDATE(A11,1))</f>
        <v>4</v>
      </c>
      <c r="D11" s="51" t="n">
        <f aca="false">IF(C11=0,"",B11/C11)</f>
        <v>210</v>
      </c>
      <c r="E11" s="53" t="s">
        <v>233</v>
      </c>
      <c r="F11" s="54" t="s">
        <v>234</v>
      </c>
    </row>
    <row r="12" customFormat="false" ht="15" hidden="false" customHeight="false" outlineLevel="0" collapsed="false">
      <c r="A12" s="50" t="n">
        <v>44958</v>
      </c>
      <c r="B12" s="51" t="n">
        <f aca="false">SUMIFS('Daily Views (raw)'!$B$5:$B$1935,'Daily Views (raw)'!$A$5:$A$1935,"&gt;="&amp;A12,'Daily Views (raw)'!$A$5:$A$1935,"&lt;"&amp;EDATE(A12,1))</f>
        <v>844</v>
      </c>
      <c r="C12" s="52" t="n">
        <f aca="false">COUNTIFS('All Videos'!$D$5:$D$76,"&gt;="&amp;A12,'All Videos'!$D$5:$D$76,"&lt;"&amp;EDATE(A12,1))</f>
        <v>0</v>
      </c>
      <c r="D12" s="51" t="str">
        <f aca="false">IF(C12=0,"",B12/C12)</f>
        <v/>
      </c>
      <c r="E12" s="53" t="s">
        <v>233</v>
      </c>
      <c r="F12" s="54"/>
    </row>
    <row r="13" customFormat="false" ht="15" hidden="false" customHeight="false" outlineLevel="0" collapsed="false">
      <c r="A13" s="50" t="n">
        <v>44986</v>
      </c>
      <c r="B13" s="51" t="n">
        <f aca="false">SUMIFS('Daily Views (raw)'!$B$5:$B$1935,'Daily Views (raw)'!$A$5:$A$1935,"&gt;="&amp;A13,'Daily Views (raw)'!$A$5:$A$1935,"&lt;"&amp;EDATE(A13,1))</f>
        <v>731</v>
      </c>
      <c r="C13" s="52" t="n">
        <f aca="false">COUNTIFS('All Videos'!$D$5:$D$76,"&gt;="&amp;A13,'All Videos'!$D$5:$D$76,"&lt;"&amp;EDATE(A13,1))</f>
        <v>2</v>
      </c>
      <c r="D13" s="51" t="n">
        <f aca="false">IF(C13=0,"",B13/C13)</f>
        <v>365.5</v>
      </c>
      <c r="E13" s="53" t="s">
        <v>233</v>
      </c>
      <c r="F13" s="54"/>
    </row>
    <row r="14" customFormat="false" ht="15" hidden="false" customHeight="false" outlineLevel="0" collapsed="false">
      <c r="A14" s="50" t="n">
        <v>45017</v>
      </c>
      <c r="B14" s="51" t="n">
        <f aca="false">SUMIFS('Daily Views (raw)'!$B$5:$B$1935,'Daily Views (raw)'!$A$5:$A$1935,"&gt;="&amp;A14,'Daily Views (raw)'!$A$5:$A$1935,"&lt;"&amp;EDATE(A14,1))</f>
        <v>675</v>
      </c>
      <c r="C14" s="52" t="n">
        <f aca="false">COUNTIFS('All Videos'!$D$5:$D$76,"&gt;="&amp;A14,'All Videos'!$D$5:$D$76,"&lt;"&amp;EDATE(A14,1))</f>
        <v>3</v>
      </c>
      <c r="D14" s="51" t="n">
        <f aca="false">IF(C14=0,"",B14/C14)</f>
        <v>225</v>
      </c>
      <c r="E14" s="53" t="s">
        <v>233</v>
      </c>
      <c r="F14" s="54" t="s">
        <v>235</v>
      </c>
    </row>
    <row r="15" customFormat="false" ht="15" hidden="false" customHeight="false" outlineLevel="0" collapsed="false">
      <c r="A15" s="50" t="n">
        <v>45047</v>
      </c>
      <c r="B15" s="51" t="n">
        <f aca="false">SUMIFS('Daily Views (raw)'!$B$5:$B$1935,'Daily Views (raw)'!$A$5:$A$1935,"&gt;="&amp;A15,'Daily Views (raw)'!$A$5:$A$1935,"&lt;"&amp;EDATE(A15,1))</f>
        <v>453</v>
      </c>
      <c r="C15" s="52" t="n">
        <f aca="false">COUNTIFS('All Videos'!$D$5:$D$76,"&gt;="&amp;A15,'All Videos'!$D$5:$D$76,"&lt;"&amp;EDATE(A15,1))</f>
        <v>2</v>
      </c>
      <c r="D15" s="51" t="n">
        <f aca="false">IF(C15=0,"",B15/C15)</f>
        <v>226.5</v>
      </c>
      <c r="E15" s="53" t="s">
        <v>233</v>
      </c>
      <c r="F15" s="54"/>
    </row>
    <row r="16" customFormat="false" ht="15" hidden="false" customHeight="false" outlineLevel="0" collapsed="false">
      <c r="A16" s="50" t="n">
        <v>45078</v>
      </c>
      <c r="B16" s="51" t="n">
        <f aca="false">SUMIFS('Daily Views (raw)'!$B$5:$B$1935,'Daily Views (raw)'!$A$5:$A$1935,"&gt;="&amp;A16,'Daily Views (raw)'!$A$5:$A$1935,"&lt;"&amp;EDATE(A16,1))</f>
        <v>89</v>
      </c>
      <c r="C16" s="52" t="n">
        <f aca="false">COUNTIFS('All Videos'!$D$5:$D$76,"&gt;="&amp;A16,'All Videos'!$D$5:$D$76,"&lt;"&amp;EDATE(A16,1))</f>
        <v>0</v>
      </c>
      <c r="D16" s="51" t="str">
        <f aca="false">IF(C16=0,"",B16/C16)</f>
        <v/>
      </c>
      <c r="E16" s="53" t="s">
        <v>233</v>
      </c>
      <c r="F16" s="54" t="s">
        <v>236</v>
      </c>
    </row>
    <row r="17" customFormat="false" ht="15" hidden="false" customHeight="false" outlineLevel="0" collapsed="false">
      <c r="A17" s="50" t="n">
        <v>45108</v>
      </c>
      <c r="B17" s="51" t="n">
        <f aca="false">SUMIFS('Daily Views (raw)'!$B$5:$B$1935,'Daily Views (raw)'!$A$5:$A$1935,"&gt;="&amp;A17,'Daily Views (raw)'!$A$5:$A$1935,"&lt;"&amp;EDATE(A17,1))</f>
        <v>148</v>
      </c>
      <c r="C17" s="52" t="n">
        <f aca="false">COUNTIFS('All Videos'!$D$5:$D$76,"&gt;="&amp;A17,'All Videos'!$D$5:$D$76,"&lt;"&amp;EDATE(A17,1))</f>
        <v>0</v>
      </c>
      <c r="D17" s="51" t="str">
        <f aca="false">IF(C17=0,"",B17/C17)</f>
        <v/>
      </c>
      <c r="E17" s="53" t="s">
        <v>233</v>
      </c>
      <c r="F17" s="54"/>
    </row>
    <row r="18" customFormat="false" ht="15" hidden="false" customHeight="false" outlineLevel="0" collapsed="false">
      <c r="A18" s="50" t="n">
        <v>45139</v>
      </c>
      <c r="B18" s="51" t="n">
        <f aca="false">SUMIFS('Daily Views (raw)'!$B$5:$B$1935,'Daily Views (raw)'!$A$5:$A$1935,"&gt;="&amp;A18,'Daily Views (raw)'!$A$5:$A$1935,"&lt;"&amp;EDATE(A18,1))</f>
        <v>176</v>
      </c>
      <c r="C18" s="52" t="n">
        <f aca="false">COUNTIFS('All Videos'!$D$5:$D$76,"&gt;="&amp;A18,'All Videos'!$D$5:$D$76,"&lt;"&amp;EDATE(A18,1))</f>
        <v>0</v>
      </c>
      <c r="D18" s="51" t="str">
        <f aca="false">IF(C18=0,"",B18/C18)</f>
        <v/>
      </c>
      <c r="E18" s="53" t="s">
        <v>233</v>
      </c>
      <c r="F18" s="54"/>
    </row>
    <row r="19" customFormat="false" ht="15" hidden="false" customHeight="false" outlineLevel="0" collapsed="false">
      <c r="A19" s="50" t="n">
        <v>45170</v>
      </c>
      <c r="B19" s="51" t="n">
        <f aca="false">SUMIFS('Daily Views (raw)'!$B$5:$B$1935,'Daily Views (raw)'!$A$5:$A$1935,"&gt;="&amp;A19,'Daily Views (raw)'!$A$5:$A$1935,"&lt;"&amp;EDATE(A19,1))</f>
        <v>71</v>
      </c>
      <c r="C19" s="52" t="n">
        <f aca="false">COUNTIFS('All Videos'!$D$5:$D$76,"&gt;="&amp;A19,'All Videos'!$D$5:$D$76,"&lt;"&amp;EDATE(A19,1))</f>
        <v>0</v>
      </c>
      <c r="D19" s="51" t="str">
        <f aca="false">IF(C19=0,"",B19/C19)</f>
        <v/>
      </c>
      <c r="E19" s="53" t="s">
        <v>233</v>
      </c>
      <c r="F19" s="54"/>
    </row>
    <row r="20" customFormat="false" ht="15" hidden="false" customHeight="false" outlineLevel="0" collapsed="false">
      <c r="A20" s="50" t="n">
        <v>45200</v>
      </c>
      <c r="B20" s="51" t="n">
        <f aca="false">SUMIFS('Daily Views (raw)'!$B$5:$B$1935,'Daily Views (raw)'!$A$5:$A$1935,"&gt;="&amp;A20,'Daily Views (raw)'!$A$5:$A$1935,"&lt;"&amp;EDATE(A20,1))</f>
        <v>488</v>
      </c>
      <c r="C20" s="52" t="n">
        <f aca="false">COUNTIFS('All Videos'!$D$5:$D$76,"&gt;="&amp;A20,'All Videos'!$D$5:$D$76,"&lt;"&amp;EDATE(A20,1))</f>
        <v>3</v>
      </c>
      <c r="D20" s="51" t="n">
        <f aca="false">IF(C20=0,"",B20/C20)</f>
        <v>162.666666666667</v>
      </c>
      <c r="E20" s="53" t="s">
        <v>233</v>
      </c>
      <c r="F20" s="54" t="s">
        <v>237</v>
      </c>
    </row>
    <row r="21" customFormat="false" ht="15" hidden="false" customHeight="false" outlineLevel="0" collapsed="false">
      <c r="A21" s="50" t="n">
        <v>45231</v>
      </c>
      <c r="B21" s="51" t="n">
        <f aca="false">SUMIFS('Daily Views (raw)'!$B$5:$B$1935,'Daily Views (raw)'!$A$5:$A$1935,"&gt;="&amp;A21,'Daily Views (raw)'!$A$5:$A$1935,"&lt;"&amp;EDATE(A21,1))</f>
        <v>602</v>
      </c>
      <c r="C21" s="52" t="n">
        <f aca="false">COUNTIFS('All Videos'!$D$5:$D$76,"&gt;="&amp;A21,'All Videos'!$D$5:$D$76,"&lt;"&amp;EDATE(A21,1))</f>
        <v>5</v>
      </c>
      <c r="D21" s="51" t="n">
        <f aca="false">IF(C21=0,"",B21/C21)</f>
        <v>120.4</v>
      </c>
      <c r="E21" s="53" t="s">
        <v>233</v>
      </c>
      <c r="F21" s="54" t="s">
        <v>238</v>
      </c>
    </row>
    <row r="22" customFormat="false" ht="15" hidden="false" customHeight="false" outlineLevel="0" collapsed="false">
      <c r="A22" s="50" t="n">
        <v>45261</v>
      </c>
      <c r="B22" s="51" t="n">
        <f aca="false">SUMIFS('Daily Views (raw)'!$B$5:$B$1935,'Daily Views (raw)'!$A$5:$A$1935,"&gt;="&amp;A22,'Daily Views (raw)'!$A$5:$A$1935,"&lt;"&amp;EDATE(A22,1))</f>
        <v>357</v>
      </c>
      <c r="C22" s="52" t="n">
        <f aca="false">COUNTIFS('All Videos'!$D$5:$D$76,"&gt;="&amp;A22,'All Videos'!$D$5:$D$76,"&lt;"&amp;EDATE(A22,1))</f>
        <v>1</v>
      </c>
      <c r="D22" s="51" t="n">
        <f aca="false">IF(C22=0,"",B22/C22)</f>
        <v>357</v>
      </c>
      <c r="E22" s="53" t="s">
        <v>233</v>
      </c>
      <c r="F22" s="54"/>
    </row>
    <row r="23" customFormat="false" ht="15" hidden="false" customHeight="false" outlineLevel="0" collapsed="false">
      <c r="A23" s="50" t="n">
        <v>45292</v>
      </c>
      <c r="B23" s="51" t="n">
        <f aca="false">SUMIFS('Daily Views (raw)'!$B$5:$B$1935,'Daily Views (raw)'!$A$5:$A$1935,"&gt;="&amp;A23,'Daily Views (raw)'!$A$5:$A$1935,"&lt;"&amp;EDATE(A23,1))</f>
        <v>1033</v>
      </c>
      <c r="C23" s="52" t="n">
        <f aca="false">COUNTIFS('All Videos'!$D$5:$D$76,"&gt;="&amp;A23,'All Videos'!$D$5:$D$76,"&lt;"&amp;EDATE(A23,1))</f>
        <v>3</v>
      </c>
      <c r="D23" s="51" t="n">
        <f aca="false">IF(C23=0,"",B23/C23)</f>
        <v>344.333333333333</v>
      </c>
      <c r="E23" s="53" t="s">
        <v>239</v>
      </c>
      <c r="F23" s="54" t="s">
        <v>240</v>
      </c>
    </row>
    <row r="24" customFormat="false" ht="15" hidden="false" customHeight="false" outlineLevel="0" collapsed="false">
      <c r="A24" s="50" t="n">
        <v>45323</v>
      </c>
      <c r="B24" s="51" t="n">
        <f aca="false">SUMIFS('Daily Views (raw)'!$B$5:$B$1935,'Daily Views (raw)'!$A$5:$A$1935,"&gt;="&amp;A24,'Daily Views (raw)'!$A$5:$A$1935,"&lt;"&amp;EDATE(A24,1))</f>
        <v>2410</v>
      </c>
      <c r="C24" s="52" t="n">
        <f aca="false">COUNTIFS('All Videos'!$D$5:$D$76,"&gt;="&amp;A24,'All Videos'!$D$5:$D$76,"&lt;"&amp;EDATE(A24,1))</f>
        <v>0</v>
      </c>
      <c r="D24" s="51" t="str">
        <f aca="false">IF(C24=0,"",B24/C24)</f>
        <v/>
      </c>
      <c r="E24" s="53" t="s">
        <v>239</v>
      </c>
      <c r="F24" s="54" t="s">
        <v>241</v>
      </c>
    </row>
    <row r="25" customFormat="false" ht="23.85" hidden="false" customHeight="false" outlineLevel="0" collapsed="false">
      <c r="A25" s="50" t="n">
        <v>45352</v>
      </c>
      <c r="B25" s="51" t="n">
        <f aca="false">SUMIFS('Daily Views (raw)'!$B$5:$B$1935,'Daily Views (raw)'!$A$5:$A$1935,"&gt;="&amp;A25,'Daily Views (raw)'!$A$5:$A$1935,"&lt;"&amp;EDATE(A25,1))</f>
        <v>4607</v>
      </c>
      <c r="C25" s="52" t="n">
        <f aca="false">COUNTIFS('All Videos'!$D$5:$D$76,"&gt;="&amp;A25,'All Videos'!$D$5:$D$76,"&lt;"&amp;EDATE(A25,1))</f>
        <v>0</v>
      </c>
      <c r="D25" s="51" t="str">
        <f aca="false">IF(C25=0,"",B25/C25)</f>
        <v/>
      </c>
      <c r="E25" s="53" t="s">
        <v>239</v>
      </c>
      <c r="F25" s="54" t="s">
        <v>242</v>
      </c>
    </row>
    <row r="26" customFormat="false" ht="15" hidden="false" customHeight="false" outlineLevel="0" collapsed="false">
      <c r="A26" s="50" t="n">
        <v>45383</v>
      </c>
      <c r="B26" s="51" t="n">
        <f aca="false">SUMIFS('Daily Views (raw)'!$B$5:$B$1935,'Daily Views (raw)'!$A$5:$A$1935,"&gt;="&amp;A26,'Daily Views (raw)'!$A$5:$A$1935,"&lt;"&amp;EDATE(A26,1))</f>
        <v>510</v>
      </c>
      <c r="C26" s="52" t="n">
        <f aca="false">COUNTIFS('All Videos'!$D$5:$D$76,"&gt;="&amp;A26,'All Videos'!$D$5:$D$76,"&lt;"&amp;EDATE(A26,1))</f>
        <v>0</v>
      </c>
      <c r="D26" s="51" t="str">
        <f aca="false">IF(C26=0,"",B26/C26)</f>
        <v/>
      </c>
      <c r="E26" s="53" t="s">
        <v>239</v>
      </c>
      <c r="F26" s="54" t="s">
        <v>243</v>
      </c>
    </row>
    <row r="27" customFormat="false" ht="15" hidden="false" customHeight="false" outlineLevel="0" collapsed="false">
      <c r="A27" s="50" t="n">
        <v>45413</v>
      </c>
      <c r="B27" s="51" t="n">
        <f aca="false">SUMIFS('Daily Views (raw)'!$B$5:$B$1935,'Daily Views (raw)'!$A$5:$A$1935,"&gt;="&amp;A27,'Daily Views (raw)'!$A$5:$A$1935,"&lt;"&amp;EDATE(A27,1))</f>
        <v>87</v>
      </c>
      <c r="C27" s="52" t="n">
        <f aca="false">COUNTIFS('All Videos'!$D$5:$D$76,"&gt;="&amp;A27,'All Videos'!$D$5:$D$76,"&lt;"&amp;EDATE(A27,1))</f>
        <v>2</v>
      </c>
      <c r="D27" s="51" t="n">
        <f aca="false">IF(C27=0,"",B27/C27)</f>
        <v>43.5</v>
      </c>
      <c r="E27" s="53" t="s">
        <v>239</v>
      </c>
      <c r="F27" s="54" t="s">
        <v>244</v>
      </c>
    </row>
    <row r="28" customFormat="false" ht="15" hidden="false" customHeight="false" outlineLevel="0" collapsed="false">
      <c r="A28" s="50" t="n">
        <v>45444</v>
      </c>
      <c r="B28" s="51" t="n">
        <f aca="false">SUMIFS('Daily Views (raw)'!$B$5:$B$1935,'Daily Views (raw)'!$A$5:$A$1935,"&gt;="&amp;A28,'Daily Views (raw)'!$A$5:$A$1935,"&lt;"&amp;EDATE(A28,1))</f>
        <v>24</v>
      </c>
      <c r="C28" s="52" t="n">
        <f aca="false">COUNTIFS('All Videos'!$D$5:$D$76,"&gt;="&amp;A28,'All Videos'!$D$5:$D$76,"&lt;"&amp;EDATE(A28,1))</f>
        <v>1</v>
      </c>
      <c r="D28" s="51" t="n">
        <f aca="false">IF(C28=0,"",B28/C28)</f>
        <v>24</v>
      </c>
      <c r="E28" s="53" t="s">
        <v>239</v>
      </c>
      <c r="F28" s="54"/>
    </row>
    <row r="29" customFormat="false" ht="15" hidden="false" customHeight="false" outlineLevel="0" collapsed="false">
      <c r="A29" s="50" t="n">
        <v>45474</v>
      </c>
      <c r="B29" s="51" t="n">
        <f aca="false">SUMIFS('Daily Views (raw)'!$B$5:$B$1935,'Daily Views (raw)'!$A$5:$A$1935,"&gt;="&amp;A29,'Daily Views (raw)'!$A$5:$A$1935,"&lt;"&amp;EDATE(A29,1))</f>
        <v>38</v>
      </c>
      <c r="C29" s="52" t="n">
        <f aca="false">COUNTIFS('All Videos'!$D$5:$D$76,"&gt;="&amp;A29,'All Videos'!$D$5:$D$76,"&lt;"&amp;EDATE(A29,1))</f>
        <v>0</v>
      </c>
      <c r="D29" s="51" t="str">
        <f aca="false">IF(C29=0,"",B29/C29)</f>
        <v/>
      </c>
      <c r="E29" s="53" t="s">
        <v>239</v>
      </c>
      <c r="F29" s="54"/>
    </row>
    <row r="30" customFormat="false" ht="15" hidden="false" customHeight="false" outlineLevel="0" collapsed="false">
      <c r="A30" s="50" t="n">
        <v>45505</v>
      </c>
      <c r="B30" s="51" t="n">
        <f aca="false">SUMIFS('Daily Views (raw)'!$B$5:$B$1935,'Daily Views (raw)'!$A$5:$A$1935,"&gt;="&amp;A30,'Daily Views (raw)'!$A$5:$A$1935,"&lt;"&amp;EDATE(A30,1))</f>
        <v>23</v>
      </c>
      <c r="C30" s="52" t="n">
        <f aca="false">COUNTIFS('All Videos'!$D$5:$D$76,"&gt;="&amp;A30,'All Videos'!$D$5:$D$76,"&lt;"&amp;EDATE(A30,1))</f>
        <v>0</v>
      </c>
      <c r="D30" s="51" t="str">
        <f aca="false">IF(C30=0,"",B30/C30)</f>
        <v/>
      </c>
      <c r="E30" s="53" t="s">
        <v>239</v>
      </c>
      <c r="F30" s="54"/>
    </row>
    <row r="31" customFormat="false" ht="15" hidden="false" customHeight="false" outlineLevel="0" collapsed="false">
      <c r="A31" s="50" t="n">
        <v>45536</v>
      </c>
      <c r="B31" s="51" t="n">
        <f aca="false">SUMIFS('Daily Views (raw)'!$B$5:$B$1935,'Daily Views (raw)'!$A$5:$A$1935,"&gt;="&amp;A31,'Daily Views (raw)'!$A$5:$A$1935,"&lt;"&amp;EDATE(A31,1))</f>
        <v>16</v>
      </c>
      <c r="C31" s="52" t="n">
        <f aca="false">COUNTIFS('All Videos'!$D$5:$D$76,"&gt;="&amp;A31,'All Videos'!$D$5:$D$76,"&lt;"&amp;EDATE(A31,1))</f>
        <v>0</v>
      </c>
      <c r="D31" s="51" t="str">
        <f aca="false">IF(C31=0,"",B31/C31)</f>
        <v/>
      </c>
      <c r="E31" s="53" t="s">
        <v>239</v>
      </c>
      <c r="F31" s="54"/>
    </row>
    <row r="32" customFormat="false" ht="15" hidden="false" customHeight="false" outlineLevel="0" collapsed="false">
      <c r="A32" s="50" t="n">
        <v>45566</v>
      </c>
      <c r="B32" s="51" t="n">
        <f aca="false">SUMIFS('Daily Views (raw)'!$B$5:$B$1935,'Daily Views (raw)'!$A$5:$A$1935,"&gt;="&amp;A32,'Daily Views (raw)'!$A$5:$A$1935,"&lt;"&amp;EDATE(A32,1))</f>
        <v>157</v>
      </c>
      <c r="C32" s="52" t="n">
        <f aca="false">COUNTIFS('All Videos'!$D$5:$D$76,"&gt;="&amp;A32,'All Videos'!$D$5:$D$76,"&lt;"&amp;EDATE(A32,1))</f>
        <v>1</v>
      </c>
      <c r="D32" s="51" t="n">
        <f aca="false">IF(C32=0,"",B32/C32)</f>
        <v>157</v>
      </c>
      <c r="E32" s="53" t="s">
        <v>239</v>
      </c>
      <c r="F32" s="54" t="s">
        <v>245</v>
      </c>
    </row>
    <row r="33" customFormat="false" ht="15" hidden="false" customHeight="false" outlineLevel="0" collapsed="false">
      <c r="A33" s="50" t="n">
        <v>45597</v>
      </c>
      <c r="B33" s="51" t="n">
        <f aca="false">SUMIFS('Daily Views (raw)'!$B$5:$B$1935,'Daily Views (raw)'!$A$5:$A$1935,"&gt;="&amp;A33,'Daily Views (raw)'!$A$5:$A$1935,"&lt;"&amp;EDATE(A33,1))</f>
        <v>1</v>
      </c>
      <c r="C33" s="52" t="n">
        <f aca="false">COUNTIFS('All Videos'!$D$5:$D$76,"&gt;="&amp;A33,'All Videos'!$D$5:$D$76,"&lt;"&amp;EDATE(A33,1))</f>
        <v>0</v>
      </c>
      <c r="D33" s="51" t="str">
        <f aca="false">IF(C33=0,"",B33/C33)</f>
        <v/>
      </c>
      <c r="E33" s="53" t="s">
        <v>239</v>
      </c>
      <c r="F33" s="54"/>
    </row>
    <row r="34" customFormat="false" ht="15" hidden="false" customHeight="false" outlineLevel="0" collapsed="false">
      <c r="A34" s="50" t="n">
        <v>45627</v>
      </c>
      <c r="B34" s="51" t="n">
        <f aca="false">SUMIFS('Daily Views (raw)'!$B$5:$B$1935,'Daily Views (raw)'!$A$5:$A$1935,"&gt;="&amp;A34,'Daily Views (raw)'!$A$5:$A$1935,"&lt;"&amp;EDATE(A34,1))</f>
        <v>9</v>
      </c>
      <c r="C34" s="52" t="n">
        <f aca="false">COUNTIFS('All Videos'!$D$5:$D$76,"&gt;="&amp;A34,'All Videos'!$D$5:$D$76,"&lt;"&amp;EDATE(A34,1))</f>
        <v>0</v>
      </c>
      <c r="D34" s="51" t="str">
        <f aca="false">IF(C34=0,"",B34/C34)</f>
        <v/>
      </c>
      <c r="E34" s="53" t="s">
        <v>239</v>
      </c>
      <c r="F34" s="54"/>
    </row>
    <row r="35" customFormat="false" ht="15" hidden="false" customHeight="false" outlineLevel="0" collapsed="false">
      <c r="A35" s="50" t="n">
        <v>45658</v>
      </c>
      <c r="B35" s="51" t="n">
        <f aca="false">SUMIFS('Daily Views (raw)'!$B$5:$B$1935,'Daily Views (raw)'!$A$5:$A$1935,"&gt;="&amp;A35,'Daily Views (raw)'!$A$5:$A$1935,"&lt;"&amp;EDATE(A35,1))</f>
        <v>6</v>
      </c>
      <c r="C35" s="52" t="n">
        <f aca="false">COUNTIFS('All Videos'!$D$5:$D$76,"&gt;="&amp;A35,'All Videos'!$D$5:$D$76,"&lt;"&amp;EDATE(A35,1))</f>
        <v>0</v>
      </c>
      <c r="D35" s="51" t="str">
        <f aca="false">IF(C35=0,"",B35/C35)</f>
        <v/>
      </c>
      <c r="E35" s="53" t="s">
        <v>246</v>
      </c>
      <c r="F35" s="54"/>
    </row>
    <row r="36" customFormat="false" ht="15" hidden="false" customHeight="false" outlineLevel="0" collapsed="false">
      <c r="A36" s="50" t="n">
        <v>45689</v>
      </c>
      <c r="B36" s="51" t="n">
        <f aca="false">SUMIFS('Daily Views (raw)'!$B$5:$B$1935,'Daily Views (raw)'!$A$5:$A$1935,"&gt;="&amp;A36,'Daily Views (raw)'!$A$5:$A$1935,"&lt;"&amp;EDATE(A36,1))</f>
        <v>4</v>
      </c>
      <c r="C36" s="52" t="n">
        <f aca="false">COUNTIFS('All Videos'!$D$5:$D$76,"&gt;="&amp;A36,'All Videos'!$D$5:$D$76,"&lt;"&amp;EDATE(A36,1))</f>
        <v>0</v>
      </c>
      <c r="D36" s="51" t="str">
        <f aca="false">IF(C36=0,"",B36/C36)</f>
        <v/>
      </c>
      <c r="E36" s="53" t="s">
        <v>246</v>
      </c>
      <c r="F36" s="54"/>
    </row>
    <row r="37" customFormat="false" ht="15" hidden="false" customHeight="false" outlineLevel="0" collapsed="false">
      <c r="A37" s="50" t="n">
        <v>45717</v>
      </c>
      <c r="B37" s="51" t="n">
        <f aca="false">SUMIFS('Daily Views (raw)'!$B$5:$B$1935,'Daily Views (raw)'!$A$5:$A$1935,"&gt;="&amp;A37,'Daily Views (raw)'!$A$5:$A$1935,"&lt;"&amp;EDATE(A37,1))</f>
        <v>10</v>
      </c>
      <c r="C37" s="52" t="n">
        <f aca="false">COUNTIFS('All Videos'!$D$5:$D$76,"&gt;="&amp;A37,'All Videos'!$D$5:$D$76,"&lt;"&amp;EDATE(A37,1))</f>
        <v>0</v>
      </c>
      <c r="D37" s="51" t="str">
        <f aca="false">IF(C37=0,"",B37/C37)</f>
        <v/>
      </c>
      <c r="E37" s="53" t="s">
        <v>246</v>
      </c>
      <c r="F37" s="54"/>
    </row>
    <row r="38" customFormat="false" ht="15" hidden="false" customHeight="false" outlineLevel="0" collapsed="false">
      <c r="A38" s="50" t="n">
        <v>45748</v>
      </c>
      <c r="B38" s="51" t="n">
        <f aca="false">SUMIFS('Daily Views (raw)'!$B$5:$B$1935,'Daily Views (raw)'!$A$5:$A$1935,"&gt;="&amp;A38,'Daily Views (raw)'!$A$5:$A$1935,"&lt;"&amp;EDATE(A38,1))</f>
        <v>2</v>
      </c>
      <c r="C38" s="52" t="n">
        <f aca="false">COUNTIFS('All Videos'!$D$5:$D$76,"&gt;="&amp;A38,'All Videos'!$D$5:$D$76,"&lt;"&amp;EDATE(A38,1))</f>
        <v>0</v>
      </c>
      <c r="D38" s="51" t="str">
        <f aca="false">IF(C38=0,"",B38/C38)</f>
        <v/>
      </c>
      <c r="E38" s="53" t="s">
        <v>246</v>
      </c>
      <c r="F38" s="54"/>
    </row>
    <row r="39" customFormat="false" ht="15" hidden="false" customHeight="false" outlineLevel="0" collapsed="false">
      <c r="A39" s="50" t="n">
        <v>45778</v>
      </c>
      <c r="B39" s="51" t="n">
        <f aca="false">SUMIFS('Daily Views (raw)'!$B$5:$B$1935,'Daily Views (raw)'!$A$5:$A$1935,"&gt;="&amp;A39,'Daily Views (raw)'!$A$5:$A$1935,"&lt;"&amp;EDATE(A39,1))</f>
        <v>2</v>
      </c>
      <c r="C39" s="52" t="n">
        <f aca="false">COUNTIFS('All Videos'!$D$5:$D$76,"&gt;="&amp;A39,'All Videos'!$D$5:$D$76,"&lt;"&amp;EDATE(A39,1))</f>
        <v>0</v>
      </c>
      <c r="D39" s="51" t="str">
        <f aca="false">IF(C39=0,"",B39/C39)</f>
        <v/>
      </c>
      <c r="E39" s="53" t="s">
        <v>246</v>
      </c>
      <c r="F39" s="54"/>
    </row>
    <row r="40" customFormat="false" ht="15" hidden="false" customHeight="false" outlineLevel="0" collapsed="false">
      <c r="A40" s="50" t="n">
        <v>45809</v>
      </c>
      <c r="B40" s="51" t="n">
        <f aca="false">SUMIFS('Daily Views (raw)'!$B$5:$B$1935,'Daily Views (raw)'!$A$5:$A$1935,"&gt;="&amp;A40,'Daily Views (raw)'!$A$5:$A$1935,"&lt;"&amp;EDATE(A40,1))</f>
        <v>3</v>
      </c>
      <c r="C40" s="52" t="n">
        <f aca="false">COUNTIFS('All Videos'!$D$5:$D$76,"&gt;="&amp;A40,'All Videos'!$D$5:$D$76,"&lt;"&amp;EDATE(A40,1))</f>
        <v>0</v>
      </c>
      <c r="D40" s="51" t="str">
        <f aca="false">IF(C40=0,"",B40/C40)</f>
        <v/>
      </c>
      <c r="E40" s="53" t="s">
        <v>246</v>
      </c>
      <c r="F40" s="54"/>
    </row>
    <row r="41" customFormat="false" ht="15" hidden="false" customHeight="false" outlineLevel="0" collapsed="false">
      <c r="A41" s="50" t="n">
        <v>45839</v>
      </c>
      <c r="B41" s="51" t="n">
        <f aca="false">SUMIFS('Daily Views (raw)'!$B$5:$B$1935,'Daily Views (raw)'!$A$5:$A$1935,"&gt;="&amp;A41,'Daily Views (raw)'!$A$5:$A$1935,"&lt;"&amp;EDATE(A41,1))</f>
        <v>7</v>
      </c>
      <c r="C41" s="52" t="n">
        <f aca="false">COUNTIFS('All Videos'!$D$5:$D$76,"&gt;="&amp;A41,'All Videos'!$D$5:$D$76,"&lt;"&amp;EDATE(A41,1))</f>
        <v>0</v>
      </c>
      <c r="D41" s="51" t="str">
        <f aca="false">IF(C41=0,"",B41/C41)</f>
        <v/>
      </c>
      <c r="E41" s="53" t="s">
        <v>246</v>
      </c>
      <c r="F41" s="54"/>
    </row>
    <row r="42" customFormat="false" ht="15" hidden="false" customHeight="false" outlineLevel="0" collapsed="false">
      <c r="A42" s="50" t="n">
        <v>45870</v>
      </c>
      <c r="B42" s="51" t="n">
        <f aca="false">SUMIFS('Daily Views (raw)'!$B$5:$B$1935,'Daily Views (raw)'!$A$5:$A$1935,"&gt;="&amp;A42,'Daily Views (raw)'!$A$5:$A$1935,"&lt;"&amp;EDATE(A42,1))</f>
        <v>3</v>
      </c>
      <c r="C42" s="52" t="n">
        <f aca="false">COUNTIFS('All Videos'!$D$5:$D$76,"&gt;="&amp;A42,'All Videos'!$D$5:$D$76,"&lt;"&amp;EDATE(A42,1))</f>
        <v>0</v>
      </c>
      <c r="D42" s="51" t="str">
        <f aca="false">IF(C42=0,"",B42/C42)</f>
        <v/>
      </c>
      <c r="E42" s="53" t="s">
        <v>246</v>
      </c>
      <c r="F42" s="54"/>
    </row>
    <row r="43" customFormat="false" ht="15" hidden="false" customHeight="false" outlineLevel="0" collapsed="false">
      <c r="A43" s="50" t="n">
        <v>45901</v>
      </c>
      <c r="B43" s="51" t="n">
        <f aca="false">SUMIFS('Daily Views (raw)'!$B$5:$B$1935,'Daily Views (raw)'!$A$5:$A$1935,"&gt;="&amp;A43,'Daily Views (raw)'!$A$5:$A$1935,"&lt;"&amp;EDATE(A43,1))</f>
        <v>6</v>
      </c>
      <c r="C43" s="52" t="n">
        <f aca="false">COUNTIFS('All Videos'!$D$5:$D$76,"&gt;="&amp;A43,'All Videos'!$D$5:$D$76,"&lt;"&amp;EDATE(A43,1))</f>
        <v>0</v>
      </c>
      <c r="D43" s="51" t="str">
        <f aca="false">IF(C43=0,"",B43/C43)</f>
        <v/>
      </c>
      <c r="E43" s="53" t="s">
        <v>246</v>
      </c>
      <c r="F43" s="54"/>
    </row>
    <row r="44" customFormat="false" ht="15" hidden="false" customHeight="false" outlineLevel="0" collapsed="false">
      <c r="A44" s="50" t="n">
        <v>45931</v>
      </c>
      <c r="B44" s="51" t="n">
        <f aca="false">SUMIFS('Daily Views (raw)'!$B$5:$B$1935,'Daily Views (raw)'!$A$5:$A$1935,"&gt;="&amp;A44,'Daily Views (raw)'!$A$5:$A$1935,"&lt;"&amp;EDATE(A44,1))</f>
        <v>14</v>
      </c>
      <c r="C44" s="52" t="n">
        <f aca="false">COUNTIFS('All Videos'!$D$5:$D$76,"&gt;="&amp;A44,'All Videos'!$D$5:$D$76,"&lt;"&amp;EDATE(A44,1))</f>
        <v>0</v>
      </c>
      <c r="D44" s="51" t="str">
        <f aca="false">IF(C44=0,"",B44/C44)</f>
        <v/>
      </c>
      <c r="E44" s="53" t="s">
        <v>246</v>
      </c>
      <c r="F44" s="54"/>
    </row>
    <row r="45" customFormat="false" ht="15" hidden="false" customHeight="false" outlineLevel="0" collapsed="false">
      <c r="A45" s="50" t="n">
        <v>45962</v>
      </c>
      <c r="B45" s="51" t="n">
        <f aca="false">SUMIFS('Daily Views (raw)'!$B$5:$B$1935,'Daily Views (raw)'!$A$5:$A$1935,"&gt;="&amp;A45,'Daily Views (raw)'!$A$5:$A$1935,"&lt;"&amp;EDATE(A45,1))</f>
        <v>4781</v>
      </c>
      <c r="C45" s="52" t="n">
        <f aca="false">COUNTIFS('All Videos'!$D$5:$D$76,"&gt;="&amp;A45,'All Videos'!$D$5:$D$76,"&lt;"&amp;EDATE(A45,1))</f>
        <v>13</v>
      </c>
      <c r="D45" s="51" t="n">
        <f aca="false">IF(C45=0,"",B45/C45)</f>
        <v>367.769230769231</v>
      </c>
      <c r="E45" s="53" t="s">
        <v>246</v>
      </c>
      <c r="F45" s="54" t="s">
        <v>247</v>
      </c>
    </row>
    <row r="46" customFormat="false" ht="15" hidden="false" customHeight="false" outlineLevel="0" collapsed="false">
      <c r="A46" s="50" t="n">
        <v>45992</v>
      </c>
      <c r="B46" s="51" t="n">
        <f aca="false">SUMIFS('Daily Views (raw)'!$B$5:$B$1935,'Daily Views (raw)'!$A$5:$A$1935,"&gt;="&amp;A46,'Daily Views (raw)'!$A$5:$A$1935,"&lt;"&amp;EDATE(A46,1))</f>
        <v>201</v>
      </c>
      <c r="C46" s="52" t="n">
        <f aca="false">COUNTIFS('All Videos'!$D$5:$D$76,"&gt;="&amp;A46,'All Videos'!$D$5:$D$76,"&lt;"&amp;EDATE(A46,1))</f>
        <v>1</v>
      </c>
      <c r="D46" s="51" t="n">
        <f aca="false">IF(C46=0,"",B46/C46)</f>
        <v>201</v>
      </c>
      <c r="E46" s="53" t="s">
        <v>246</v>
      </c>
      <c r="F46" s="54" t="s">
        <v>248</v>
      </c>
    </row>
    <row r="47" customFormat="false" ht="15" hidden="false" customHeight="false" outlineLevel="0" collapsed="false">
      <c r="A47" s="50" t="n">
        <v>46023</v>
      </c>
      <c r="B47" s="51" t="n">
        <f aca="false">SUMIFS('Daily Views (raw)'!$B$5:$B$1935,'Daily Views (raw)'!$A$5:$A$1935,"&gt;="&amp;A47,'Daily Views (raw)'!$A$5:$A$1935,"&lt;"&amp;EDATE(A47,1))</f>
        <v>14</v>
      </c>
      <c r="C47" s="52" t="n">
        <f aca="false">COUNTIFS('All Videos'!$D$5:$D$76,"&gt;="&amp;A47,'All Videos'!$D$5:$D$76,"&lt;"&amp;EDATE(A47,1))</f>
        <v>0</v>
      </c>
      <c r="D47" s="51" t="str">
        <f aca="false">IF(C47=0,"",B47/C47)</f>
        <v/>
      </c>
      <c r="E47" s="53" t="s">
        <v>249</v>
      </c>
      <c r="F47" s="54"/>
    </row>
    <row r="48" customFormat="false" ht="15" hidden="false" customHeight="false" outlineLevel="0" collapsed="false">
      <c r="A48" s="50" t="n">
        <v>46054</v>
      </c>
      <c r="B48" s="51" t="n">
        <f aca="false">SUMIFS('Daily Views (raw)'!$B$5:$B$1935,'Daily Views (raw)'!$A$5:$A$1935,"&gt;="&amp;A48,'Daily Views (raw)'!$A$5:$A$1935,"&lt;"&amp;EDATE(A48,1))</f>
        <v>7</v>
      </c>
      <c r="C48" s="52" t="n">
        <f aca="false">COUNTIFS('All Videos'!$D$5:$D$76,"&gt;="&amp;A48,'All Videos'!$D$5:$D$76,"&lt;"&amp;EDATE(A48,1))</f>
        <v>0</v>
      </c>
      <c r="D48" s="51" t="str">
        <f aca="false">IF(C48=0,"",B48/C48)</f>
        <v/>
      </c>
      <c r="E48" s="53" t="s">
        <v>249</v>
      </c>
      <c r="F48" s="54"/>
    </row>
    <row r="49" customFormat="false" ht="15" hidden="false" customHeight="false" outlineLevel="0" collapsed="false">
      <c r="A49" s="50" t="n">
        <v>46082</v>
      </c>
      <c r="B49" s="51" t="n">
        <f aca="false">SUMIFS('Daily Views (raw)'!$B$5:$B$1935,'Daily Views (raw)'!$A$5:$A$1935,"&gt;="&amp;A49,'Daily Views (raw)'!$A$5:$A$1935,"&lt;"&amp;EDATE(A49,1))</f>
        <v>10</v>
      </c>
      <c r="C49" s="52" t="n">
        <f aca="false">COUNTIFS('All Videos'!$D$5:$D$76,"&gt;="&amp;A49,'All Videos'!$D$5:$D$76,"&lt;"&amp;EDATE(A49,1))</f>
        <v>0</v>
      </c>
      <c r="D49" s="51" t="str">
        <f aca="false">IF(C49=0,"",B49/C49)</f>
        <v/>
      </c>
      <c r="E49" s="53" t="s">
        <v>249</v>
      </c>
      <c r="F49" s="54"/>
    </row>
    <row r="50" customFormat="false" ht="15" hidden="false" customHeight="false" outlineLevel="0" collapsed="false">
      <c r="A50" s="50" t="n">
        <v>46113</v>
      </c>
      <c r="B50" s="51" t="n">
        <f aca="false">SUMIFS('Daily Views (raw)'!$B$5:$B$1935,'Daily Views (raw)'!$A$5:$A$1935,"&gt;="&amp;A50,'Daily Views (raw)'!$A$5:$A$1935,"&lt;"&amp;EDATE(A50,1))</f>
        <v>803</v>
      </c>
      <c r="C50" s="52" t="n">
        <f aca="false">COUNTIFS('All Videos'!$D$5:$D$76,"&gt;="&amp;A50,'All Videos'!$D$5:$D$76,"&lt;"&amp;EDATE(A50,1))</f>
        <v>3</v>
      </c>
      <c r="D50" s="51" t="n">
        <f aca="false">IF(C50=0,"",B50/C50)</f>
        <v>267.666666666667</v>
      </c>
      <c r="E50" s="53" t="s">
        <v>249</v>
      </c>
      <c r="F50" s="54" t="s">
        <v>250</v>
      </c>
    </row>
    <row r="51" customFormat="false" ht="15" hidden="false" customHeight="false" outlineLevel="0" collapsed="false">
      <c r="A51" s="50" t="n">
        <v>46143</v>
      </c>
      <c r="B51" s="51" t="n">
        <f aca="false">SUMIFS('Daily Views (raw)'!$B$5:$B$1935,'Daily Views (raw)'!$A$5:$A$1935,"&gt;="&amp;A51,'Daily Views (raw)'!$A$5:$A$1935,"&lt;"&amp;EDATE(A51,1))</f>
        <v>1628</v>
      </c>
      <c r="C51" s="52" t="n">
        <f aca="false">COUNTIFS('All Videos'!$D$5:$D$76,"&gt;="&amp;A51,'All Videos'!$D$5:$D$76,"&lt;"&amp;EDATE(A51,1))</f>
        <v>5</v>
      </c>
      <c r="D51" s="51" t="n">
        <f aca="false">IF(C51=0,"",B51/C51)</f>
        <v>325.6</v>
      </c>
      <c r="E51" s="53" t="s">
        <v>249</v>
      </c>
      <c r="F51" s="54" t="s">
        <v>251</v>
      </c>
    </row>
    <row r="52" customFormat="false" ht="15" hidden="false" customHeight="false" outlineLevel="0" collapsed="false">
      <c r="A52" s="50" t="n">
        <v>46174</v>
      </c>
      <c r="B52" s="51" t="n">
        <f aca="false">SUMIFS('Daily Views (raw)'!$B$5:$B$1935,'Daily Views (raw)'!$A$5:$A$1935,"&gt;="&amp;A52,'Daily Views (raw)'!$A$5:$A$1935,"&lt;"&amp;EDATE(A52,1))</f>
        <v>2358</v>
      </c>
      <c r="C52" s="52" t="n">
        <f aca="false">COUNTIFS('All Videos'!$D$5:$D$76,"&gt;="&amp;A52,'All Videos'!$D$5:$D$76,"&lt;"&amp;EDATE(A52,1))</f>
        <v>8</v>
      </c>
      <c r="D52" s="51" t="n">
        <f aca="false">IF(C52=0,"",B52/C52)</f>
        <v>294.75</v>
      </c>
      <c r="E52" s="53" t="s">
        <v>249</v>
      </c>
      <c r="F52" s="54" t="s">
        <v>252</v>
      </c>
    </row>
    <row r="53" customFormat="false" ht="15" hidden="false" customHeight="false" outlineLevel="0" collapsed="false">
      <c r="A53" s="50" t="n">
        <v>46204</v>
      </c>
      <c r="B53" s="51" t="n">
        <f aca="false">SUMIFS('Daily Views (raw)'!$B$5:$B$1935,'Daily Views (raw)'!$A$5:$A$1935,"&gt;="&amp;A53,'Daily Views (raw)'!$A$5:$A$1935,"&lt;"&amp;EDATE(A53,1))</f>
        <v>32</v>
      </c>
      <c r="C53" s="52" t="n">
        <f aca="false">COUNTIFS('All Videos'!$D$5:$D$76,"&gt;="&amp;A53,'All Videos'!$D$5:$D$76,"&lt;"&amp;EDATE(A53,1))</f>
        <v>4</v>
      </c>
      <c r="D53" s="51" t="n">
        <f aca="false">IF(C53=0,"",B53/C53)</f>
        <v>8</v>
      </c>
      <c r="E53" s="53" t="s">
        <v>249</v>
      </c>
      <c r="F53" s="54" t="s">
        <v>253</v>
      </c>
    </row>
    <row r="54" customFormat="false" ht="15" hidden="false" customHeight="false" outlineLevel="0" collapsed="false">
      <c r="A54" s="50" t="n">
        <v>46235</v>
      </c>
      <c r="B54" s="51" t="n">
        <f aca="false">SUMIFS('Daily Views (raw)'!$B$5:$B$1935,'Daily Views (raw)'!$A$5:$A$1935,"&gt;="&amp;A54,'Daily Views (raw)'!$A$5:$A$1935,"&lt;"&amp;EDATE(A54,1))</f>
        <v>19</v>
      </c>
      <c r="C54" s="52" t="n">
        <f aca="false">COUNTIFS('All Videos'!$D$5:$D$76,"&gt;="&amp;A54,'All Videos'!$D$5:$D$76,"&lt;"&amp;EDATE(A54,1))</f>
        <v>0</v>
      </c>
      <c r="D54" s="51" t="str">
        <f aca="false">IF(C54=0,"",B54/C54)</f>
        <v/>
      </c>
      <c r="E54" s="53" t="s">
        <v>249</v>
      </c>
      <c r="F54" s="54"/>
    </row>
    <row r="55" customFormat="false" ht="15" hidden="false" customHeight="false" outlineLevel="0" collapsed="false">
      <c r="A55" s="50" t="n">
        <v>46266</v>
      </c>
      <c r="B55" s="51" t="n">
        <f aca="false">SUMIFS('Daily Views (raw)'!$B$5:$B$1935,'Daily Views (raw)'!$A$5:$A$1935,"&gt;="&amp;A55,'Daily Views (raw)'!$A$5:$A$1935,"&lt;"&amp;EDATE(A55,1))</f>
        <v>47</v>
      </c>
      <c r="C55" s="52" t="n">
        <f aca="false">COUNTIFS('All Videos'!$D$5:$D$76,"&gt;="&amp;A55,'All Videos'!$D$5:$D$76,"&lt;"&amp;EDATE(A55,1))</f>
        <v>0</v>
      </c>
      <c r="D55" s="51" t="str">
        <f aca="false">IF(C55=0,"",B55/C55)</f>
        <v/>
      </c>
      <c r="E55" s="53" t="s">
        <v>249</v>
      </c>
      <c r="F55" s="54"/>
    </row>
    <row r="56" customFormat="false" ht="15" hidden="false" customHeight="false" outlineLevel="0" collapsed="false">
      <c r="A56" s="50" t="n">
        <v>46296</v>
      </c>
      <c r="B56" s="51" t="n">
        <f aca="false">SUMIFS('Daily Views (raw)'!$B$5:$B$1935,'Daily Views (raw)'!$A$5:$A$1935,"&gt;="&amp;A56,'Daily Views (raw)'!$A$5:$A$1935,"&lt;"&amp;EDATE(A56,1))</f>
        <v>7</v>
      </c>
      <c r="C56" s="52" t="n">
        <f aca="false">COUNTIFS('All Videos'!$D$5:$D$76,"&gt;="&amp;A56,'All Videos'!$D$5:$D$76,"&lt;"&amp;EDATE(A56,1))</f>
        <v>0</v>
      </c>
      <c r="D56" s="51" t="str">
        <f aca="false">IF(C56=0,"",B56/C56)</f>
        <v/>
      </c>
      <c r="E56" s="53" t="s">
        <v>249</v>
      </c>
      <c r="F56" s="54"/>
    </row>
  </sheetData>
  <conditionalFormatting sqref="B5:B56">
    <cfRule type="dataBar" priority="2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{FC8AC249-4A8F-4F14-A4C9-AA95759024E6}</x14:id>
        </ext>
      </extLst>
    </cfRule>
  </conditionalFormatting>
  <conditionalFormatting sqref="C5:C56">
    <cfRule type="colorScale" priority="3">
      <colorScale>
        <cfvo type="num" val="0"/>
        <cfvo type="max" val="0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8AC249-4A8F-4F14-A4C9-AA95759024E6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B5:B56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T2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18"/>
  </cols>
  <sheetData>
    <row r="1" customFormat="false" ht="31.5" hidden="false" customHeight="true" outlineLevel="0" collapsed="false">
      <c r="A1" s="1" t="s">
        <v>254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3" t="s">
        <v>255</v>
      </c>
      <c r="B2" s="4"/>
      <c r="C2" s="4"/>
      <c r="D2" s="4"/>
      <c r="E2" s="4"/>
      <c r="F2" s="4"/>
      <c r="G2" s="4"/>
      <c r="H2" s="4"/>
    </row>
    <row r="4" customFormat="false" ht="31.5" hidden="false" customHeight="true" outlineLevel="0" collapsed="false">
      <c r="A4" s="30" t="s">
        <v>256</v>
      </c>
      <c r="B4" s="30" t="s">
        <v>64</v>
      </c>
      <c r="C4" s="30" t="s">
        <v>69</v>
      </c>
      <c r="D4" s="30" t="s">
        <v>71</v>
      </c>
      <c r="E4" s="30" t="s">
        <v>75</v>
      </c>
      <c r="F4" s="30" t="s">
        <v>77</v>
      </c>
    </row>
    <row r="5" customFormat="false" ht="15" hidden="false" customHeight="false" outlineLevel="0" collapsed="false">
      <c r="A5" s="55" t="n">
        <v>44893</v>
      </c>
      <c r="B5" s="56" t="n">
        <v>0</v>
      </c>
      <c r="C5" s="56" t="n">
        <v>0</v>
      </c>
      <c r="D5" s="56" t="n">
        <v>0</v>
      </c>
      <c r="E5" s="56" t="n">
        <v>0</v>
      </c>
      <c r="F5" s="56" t="n">
        <v>0</v>
      </c>
    </row>
    <row r="6" customFormat="false" ht="15" hidden="false" customHeight="false" outlineLevel="0" collapsed="false">
      <c r="A6" s="55" t="n">
        <v>44900</v>
      </c>
      <c r="B6" s="56" t="n">
        <v>0</v>
      </c>
      <c r="C6" s="56" t="n">
        <v>0</v>
      </c>
      <c r="D6" s="56" t="n">
        <v>1553</v>
      </c>
      <c r="E6" s="56" t="n">
        <v>0</v>
      </c>
      <c r="F6" s="56" t="n">
        <v>0</v>
      </c>
    </row>
    <row r="7" customFormat="false" ht="15" hidden="false" customHeight="false" outlineLevel="0" collapsed="false">
      <c r="A7" s="55" t="n">
        <v>44907</v>
      </c>
      <c r="B7" s="56" t="n">
        <v>0</v>
      </c>
      <c r="C7" s="56" t="n">
        <v>0</v>
      </c>
      <c r="D7" s="56" t="n">
        <v>2</v>
      </c>
      <c r="E7" s="56" t="n">
        <v>0</v>
      </c>
      <c r="F7" s="56" t="n">
        <v>0</v>
      </c>
    </row>
    <row r="8" customFormat="false" ht="15" hidden="false" customHeight="false" outlineLevel="0" collapsed="false">
      <c r="A8" s="55" t="n">
        <v>44914</v>
      </c>
      <c r="B8" s="56" t="n">
        <v>0</v>
      </c>
      <c r="C8" s="56" t="n">
        <v>0</v>
      </c>
      <c r="D8" s="56" t="n">
        <v>0</v>
      </c>
      <c r="E8" s="56" t="n">
        <v>0</v>
      </c>
      <c r="F8" s="56" t="n">
        <v>0</v>
      </c>
    </row>
    <row r="9" customFormat="false" ht="15" hidden="false" customHeight="false" outlineLevel="0" collapsed="false">
      <c r="A9" s="55" t="n">
        <v>44921</v>
      </c>
      <c r="B9" s="56" t="n">
        <v>0</v>
      </c>
      <c r="C9" s="56" t="n">
        <v>0</v>
      </c>
      <c r="D9" s="56" t="n">
        <v>0</v>
      </c>
      <c r="E9" s="56" t="n">
        <v>0</v>
      </c>
      <c r="F9" s="56" t="n">
        <v>0</v>
      </c>
    </row>
    <row r="10" customFormat="false" ht="15" hidden="false" customHeight="false" outlineLevel="0" collapsed="false">
      <c r="A10" s="55" t="n">
        <v>44928</v>
      </c>
      <c r="B10" s="56" t="n">
        <v>0</v>
      </c>
      <c r="C10" s="56" t="n">
        <v>0</v>
      </c>
      <c r="D10" s="56" t="n">
        <v>1</v>
      </c>
      <c r="E10" s="56" t="n">
        <v>0</v>
      </c>
      <c r="F10" s="56" t="n">
        <v>0</v>
      </c>
    </row>
    <row r="11" customFormat="false" ht="15" hidden="false" customHeight="false" outlineLevel="0" collapsed="false">
      <c r="A11" s="55" t="n">
        <v>44935</v>
      </c>
      <c r="B11" s="56" t="n">
        <v>0</v>
      </c>
      <c r="C11" s="56" t="n">
        <v>0</v>
      </c>
      <c r="D11" s="56" t="n">
        <v>0</v>
      </c>
      <c r="E11" s="56" t="n">
        <v>0</v>
      </c>
      <c r="F11" s="56" t="n">
        <v>0</v>
      </c>
    </row>
    <row r="12" customFormat="false" ht="15" hidden="false" customHeight="false" outlineLevel="0" collapsed="false">
      <c r="A12" s="55" t="n">
        <v>44942</v>
      </c>
      <c r="B12" s="56" t="n">
        <v>0</v>
      </c>
      <c r="C12" s="56" t="n">
        <v>0</v>
      </c>
      <c r="D12" s="56" t="n">
        <v>0</v>
      </c>
      <c r="E12" s="56" t="n">
        <v>0</v>
      </c>
      <c r="F12" s="56" t="n">
        <v>0</v>
      </c>
    </row>
    <row r="13" customFormat="false" ht="15" hidden="false" customHeight="false" outlineLevel="0" collapsed="false">
      <c r="A13" s="55" t="n">
        <v>44949</v>
      </c>
      <c r="B13" s="56" t="n">
        <v>0</v>
      </c>
      <c r="C13" s="56" t="n">
        <v>0</v>
      </c>
      <c r="D13" s="56" t="n">
        <v>1</v>
      </c>
      <c r="E13" s="56" t="n">
        <v>0</v>
      </c>
      <c r="F13" s="56" t="n">
        <v>0</v>
      </c>
    </row>
    <row r="14" customFormat="false" ht="15" hidden="false" customHeight="false" outlineLevel="0" collapsed="false">
      <c r="A14" s="55" t="n">
        <v>44956</v>
      </c>
      <c r="B14" s="56" t="n">
        <v>0</v>
      </c>
      <c r="C14" s="56" t="n">
        <v>0</v>
      </c>
      <c r="D14" s="56" t="n">
        <v>0</v>
      </c>
      <c r="E14" s="56" t="n">
        <v>0</v>
      </c>
      <c r="F14" s="56" t="n">
        <v>0</v>
      </c>
    </row>
    <row r="15" customFormat="false" ht="15" hidden="false" customHeight="false" outlineLevel="0" collapsed="false">
      <c r="A15" s="55" t="n">
        <v>44963</v>
      </c>
      <c r="B15" s="56" t="n">
        <v>0</v>
      </c>
      <c r="C15" s="56" t="n">
        <v>0</v>
      </c>
      <c r="D15" s="56" t="n">
        <v>0</v>
      </c>
      <c r="E15" s="56" t="n">
        <v>0</v>
      </c>
      <c r="F15" s="56" t="n">
        <v>0</v>
      </c>
    </row>
    <row r="16" customFormat="false" ht="15" hidden="false" customHeight="false" outlineLevel="0" collapsed="false">
      <c r="A16" s="55" t="n">
        <v>44970</v>
      </c>
      <c r="B16" s="56" t="n">
        <v>0</v>
      </c>
      <c r="C16" s="56" t="n">
        <v>0</v>
      </c>
      <c r="D16" s="56" t="n">
        <v>0</v>
      </c>
      <c r="E16" s="56" t="n">
        <v>0</v>
      </c>
      <c r="F16" s="56" t="n">
        <v>0</v>
      </c>
    </row>
    <row r="17" customFormat="false" ht="15" hidden="false" customHeight="false" outlineLevel="0" collapsed="false">
      <c r="A17" s="55" t="n">
        <v>44977</v>
      </c>
      <c r="B17" s="56" t="n">
        <v>0</v>
      </c>
      <c r="C17" s="56" t="n">
        <v>0</v>
      </c>
      <c r="D17" s="56" t="n">
        <v>0</v>
      </c>
      <c r="E17" s="56" t="n">
        <v>0</v>
      </c>
      <c r="F17" s="56" t="n">
        <v>0</v>
      </c>
    </row>
    <row r="18" customFormat="false" ht="15" hidden="false" customHeight="false" outlineLevel="0" collapsed="false">
      <c r="A18" s="55" t="n">
        <v>44984</v>
      </c>
      <c r="B18" s="56" t="n">
        <v>0</v>
      </c>
      <c r="C18" s="56" t="n">
        <v>0</v>
      </c>
      <c r="D18" s="56" t="n">
        <v>0</v>
      </c>
      <c r="E18" s="56" t="n">
        <v>0</v>
      </c>
      <c r="F18" s="56" t="n">
        <v>0</v>
      </c>
    </row>
    <row r="19" customFormat="false" ht="15" hidden="false" customHeight="false" outlineLevel="0" collapsed="false">
      <c r="A19" s="55" t="n">
        <v>44991</v>
      </c>
      <c r="B19" s="56" t="n">
        <v>0</v>
      </c>
      <c r="C19" s="56" t="n">
        <v>0</v>
      </c>
      <c r="D19" s="56" t="n">
        <v>0</v>
      </c>
      <c r="E19" s="56" t="n">
        <v>0</v>
      </c>
      <c r="F19" s="56" t="n">
        <v>0</v>
      </c>
    </row>
    <row r="20" customFormat="false" ht="15" hidden="false" customHeight="false" outlineLevel="0" collapsed="false">
      <c r="A20" s="55" t="n">
        <v>44998</v>
      </c>
      <c r="B20" s="56" t="n">
        <v>0</v>
      </c>
      <c r="C20" s="56" t="n">
        <v>0</v>
      </c>
      <c r="D20" s="56" t="n">
        <v>0</v>
      </c>
      <c r="E20" s="56" t="n">
        <v>0</v>
      </c>
      <c r="F20" s="56" t="n">
        <v>0</v>
      </c>
    </row>
    <row r="21" customFormat="false" ht="15" hidden="false" customHeight="false" outlineLevel="0" collapsed="false">
      <c r="A21" s="55" t="n">
        <v>45005</v>
      </c>
      <c r="B21" s="56" t="n">
        <v>0</v>
      </c>
      <c r="C21" s="56" t="n">
        <v>0</v>
      </c>
      <c r="D21" s="56" t="n">
        <v>1</v>
      </c>
      <c r="E21" s="56" t="n">
        <v>0</v>
      </c>
      <c r="F21" s="56" t="n">
        <v>0</v>
      </c>
    </row>
    <row r="22" customFormat="false" ht="15" hidden="false" customHeight="false" outlineLevel="0" collapsed="false">
      <c r="A22" s="55" t="n">
        <v>45012</v>
      </c>
      <c r="B22" s="56" t="n">
        <v>0</v>
      </c>
      <c r="C22" s="56" t="n">
        <v>0</v>
      </c>
      <c r="D22" s="56" t="n">
        <v>0</v>
      </c>
      <c r="E22" s="56" t="n">
        <v>0</v>
      </c>
      <c r="F22" s="56" t="n">
        <v>0</v>
      </c>
    </row>
    <row r="23" customFormat="false" ht="15" hidden="false" customHeight="false" outlineLevel="0" collapsed="false">
      <c r="A23" s="55" t="n">
        <v>45019</v>
      </c>
      <c r="B23" s="56" t="n">
        <v>0</v>
      </c>
      <c r="C23" s="56" t="n">
        <v>0</v>
      </c>
      <c r="D23" s="56" t="n">
        <v>0</v>
      </c>
      <c r="E23" s="56" t="n">
        <v>0</v>
      </c>
      <c r="F23" s="56" t="n">
        <v>0</v>
      </c>
    </row>
    <row r="24" customFormat="false" ht="15" hidden="false" customHeight="false" outlineLevel="0" collapsed="false">
      <c r="A24" s="55" t="n">
        <v>45026</v>
      </c>
      <c r="B24" s="56" t="n">
        <v>0</v>
      </c>
      <c r="C24" s="56" t="n">
        <v>0</v>
      </c>
      <c r="D24" s="56" t="n">
        <v>0</v>
      </c>
      <c r="E24" s="56" t="n">
        <v>0</v>
      </c>
      <c r="F24" s="56" t="n">
        <v>0</v>
      </c>
    </row>
    <row r="25" customFormat="false" ht="15" hidden="false" customHeight="false" outlineLevel="0" collapsed="false">
      <c r="A25" s="55" t="n">
        <v>45033</v>
      </c>
      <c r="B25" s="56" t="n">
        <v>0</v>
      </c>
      <c r="C25" s="56" t="n">
        <v>0</v>
      </c>
      <c r="D25" s="56" t="n">
        <v>0</v>
      </c>
      <c r="E25" s="56" t="n">
        <v>0</v>
      </c>
      <c r="F25" s="56" t="n">
        <v>0</v>
      </c>
    </row>
    <row r="26" customFormat="false" ht="15" hidden="false" customHeight="false" outlineLevel="0" collapsed="false">
      <c r="A26" s="55" t="n">
        <v>45040</v>
      </c>
      <c r="B26" s="56" t="n">
        <v>0</v>
      </c>
      <c r="C26" s="56" t="n">
        <v>0</v>
      </c>
      <c r="D26" s="56" t="n">
        <v>0</v>
      </c>
      <c r="E26" s="56" t="n">
        <v>0</v>
      </c>
      <c r="F26" s="56" t="n">
        <v>0</v>
      </c>
      <c r="H26" s="57" t="s">
        <v>257</v>
      </c>
    </row>
    <row r="27" customFormat="false" ht="30" hidden="false" customHeight="true" outlineLevel="0" collapsed="false">
      <c r="A27" s="55" t="n">
        <v>45047</v>
      </c>
      <c r="B27" s="56" t="n">
        <v>0</v>
      </c>
      <c r="C27" s="56" t="n">
        <v>0</v>
      </c>
      <c r="D27" s="56" t="n">
        <v>0</v>
      </c>
      <c r="E27" s="56" t="n">
        <v>0</v>
      </c>
      <c r="F27" s="56" t="n">
        <v>0</v>
      </c>
      <c r="H27" s="58" t="s">
        <v>258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</row>
    <row r="28" customFormat="false" ht="30" hidden="false" customHeight="true" outlineLevel="0" collapsed="false">
      <c r="A28" s="55" t="n">
        <v>45054</v>
      </c>
      <c r="B28" s="56" t="n">
        <v>0</v>
      </c>
      <c r="C28" s="56" t="n">
        <v>0</v>
      </c>
      <c r="D28" s="56" t="n">
        <v>0</v>
      </c>
      <c r="E28" s="56" t="n">
        <v>0</v>
      </c>
      <c r="F28" s="56" t="n">
        <v>0</v>
      </c>
      <c r="H28" s="58" t="s">
        <v>259</v>
      </c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</row>
    <row r="29" customFormat="false" ht="30" hidden="false" customHeight="true" outlineLevel="0" collapsed="false">
      <c r="A29" s="55" t="n">
        <v>45061</v>
      </c>
      <c r="B29" s="56" t="n">
        <v>0</v>
      </c>
      <c r="C29" s="56" t="n">
        <v>0</v>
      </c>
      <c r="D29" s="56" t="n">
        <v>0</v>
      </c>
      <c r="E29" s="56" t="n">
        <v>0</v>
      </c>
      <c r="F29" s="56" t="n">
        <v>0</v>
      </c>
      <c r="H29" s="58" t="s">
        <v>260</v>
      </c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</row>
    <row r="30" customFormat="false" ht="15" hidden="false" customHeight="false" outlineLevel="0" collapsed="false">
      <c r="A30" s="55" t="n">
        <v>45068</v>
      </c>
      <c r="B30" s="56" t="n">
        <v>0</v>
      </c>
      <c r="C30" s="56" t="n">
        <v>0</v>
      </c>
      <c r="D30" s="56" t="n">
        <v>0</v>
      </c>
      <c r="E30" s="56" t="n">
        <v>0</v>
      </c>
      <c r="F30" s="56" t="n">
        <v>0</v>
      </c>
    </row>
    <row r="31" customFormat="false" ht="15" hidden="false" customHeight="false" outlineLevel="0" collapsed="false">
      <c r="A31" s="55" t="n">
        <v>45075</v>
      </c>
      <c r="B31" s="56" t="n">
        <v>0</v>
      </c>
      <c r="C31" s="56" t="n">
        <v>0</v>
      </c>
      <c r="D31" s="56" t="n">
        <v>0</v>
      </c>
      <c r="E31" s="56" t="n">
        <v>0</v>
      </c>
      <c r="F31" s="56" t="n">
        <v>0</v>
      </c>
    </row>
    <row r="32" customFormat="false" ht="15" hidden="false" customHeight="false" outlineLevel="0" collapsed="false">
      <c r="A32" s="55" t="n">
        <v>45082</v>
      </c>
      <c r="B32" s="56" t="n">
        <v>0</v>
      </c>
      <c r="C32" s="56" t="n">
        <v>0</v>
      </c>
      <c r="D32" s="56" t="n">
        <v>0</v>
      </c>
      <c r="E32" s="56" t="n">
        <v>0</v>
      </c>
      <c r="F32" s="56" t="n">
        <v>0</v>
      </c>
    </row>
    <row r="33" customFormat="false" ht="15" hidden="false" customHeight="false" outlineLevel="0" collapsed="false">
      <c r="A33" s="55" t="n">
        <v>45089</v>
      </c>
      <c r="B33" s="56" t="n">
        <v>0</v>
      </c>
      <c r="C33" s="56" t="n">
        <v>0</v>
      </c>
      <c r="D33" s="56" t="n">
        <v>0</v>
      </c>
      <c r="E33" s="56" t="n">
        <v>0</v>
      </c>
      <c r="F33" s="56" t="n">
        <v>0</v>
      </c>
    </row>
    <row r="34" customFormat="false" ht="15" hidden="false" customHeight="false" outlineLevel="0" collapsed="false">
      <c r="A34" s="55" t="n">
        <v>45096</v>
      </c>
      <c r="B34" s="56" t="n">
        <v>0</v>
      </c>
      <c r="C34" s="56" t="n">
        <v>0</v>
      </c>
      <c r="D34" s="56" t="n">
        <v>0</v>
      </c>
      <c r="E34" s="56" t="n">
        <v>0</v>
      </c>
      <c r="F34" s="56" t="n">
        <v>0</v>
      </c>
    </row>
    <row r="35" customFormat="false" ht="15" hidden="false" customHeight="false" outlineLevel="0" collapsed="false">
      <c r="A35" s="55" t="n">
        <v>45103</v>
      </c>
      <c r="B35" s="56" t="n">
        <v>0</v>
      </c>
      <c r="C35" s="56" t="n">
        <v>0</v>
      </c>
      <c r="D35" s="56" t="n">
        <v>0</v>
      </c>
      <c r="E35" s="56" t="n">
        <v>0</v>
      </c>
      <c r="F35" s="56" t="n">
        <v>0</v>
      </c>
    </row>
    <row r="36" customFormat="false" ht="15" hidden="false" customHeight="false" outlineLevel="0" collapsed="false">
      <c r="A36" s="55" t="n">
        <v>45110</v>
      </c>
      <c r="B36" s="56" t="n">
        <v>0</v>
      </c>
      <c r="C36" s="56" t="n">
        <v>0</v>
      </c>
      <c r="D36" s="56" t="n">
        <v>0</v>
      </c>
      <c r="E36" s="56" t="n">
        <v>0</v>
      </c>
      <c r="F36" s="56" t="n">
        <v>0</v>
      </c>
    </row>
    <row r="37" customFormat="false" ht="15" hidden="false" customHeight="false" outlineLevel="0" collapsed="false">
      <c r="A37" s="55" t="n">
        <v>45117</v>
      </c>
      <c r="B37" s="56" t="n">
        <v>0</v>
      </c>
      <c r="C37" s="56" t="n">
        <v>0</v>
      </c>
      <c r="D37" s="56" t="n">
        <v>0</v>
      </c>
      <c r="E37" s="56" t="n">
        <v>0</v>
      </c>
      <c r="F37" s="56" t="n">
        <v>0</v>
      </c>
    </row>
    <row r="38" customFormat="false" ht="15" hidden="false" customHeight="false" outlineLevel="0" collapsed="false">
      <c r="A38" s="55" t="n">
        <v>45124</v>
      </c>
      <c r="B38" s="56" t="n">
        <v>0</v>
      </c>
      <c r="C38" s="56" t="n">
        <v>0</v>
      </c>
      <c r="D38" s="56" t="n">
        <v>0</v>
      </c>
      <c r="E38" s="56" t="n">
        <v>0</v>
      </c>
      <c r="F38" s="56" t="n">
        <v>0</v>
      </c>
    </row>
    <row r="39" customFormat="false" ht="15" hidden="false" customHeight="false" outlineLevel="0" collapsed="false">
      <c r="A39" s="55" t="n">
        <v>45131</v>
      </c>
      <c r="B39" s="56" t="n">
        <v>0</v>
      </c>
      <c r="C39" s="56" t="n">
        <v>0</v>
      </c>
      <c r="D39" s="56" t="n">
        <v>0</v>
      </c>
      <c r="E39" s="56" t="n">
        <v>0</v>
      </c>
      <c r="F39" s="56" t="n">
        <v>0</v>
      </c>
    </row>
    <row r="40" customFormat="false" ht="15" hidden="false" customHeight="false" outlineLevel="0" collapsed="false">
      <c r="A40" s="55" t="n">
        <v>45138</v>
      </c>
      <c r="B40" s="56" t="n">
        <v>0</v>
      </c>
      <c r="C40" s="56" t="n">
        <v>0</v>
      </c>
      <c r="D40" s="56" t="n">
        <v>1</v>
      </c>
      <c r="E40" s="56" t="n">
        <v>0</v>
      </c>
      <c r="F40" s="56" t="n">
        <v>0</v>
      </c>
    </row>
    <row r="41" customFormat="false" ht="15" hidden="false" customHeight="false" outlineLevel="0" collapsed="false">
      <c r="A41" s="55" t="n">
        <v>45145</v>
      </c>
      <c r="B41" s="56" t="n">
        <v>0</v>
      </c>
      <c r="C41" s="56" t="n">
        <v>0</v>
      </c>
      <c r="D41" s="56" t="n">
        <v>0</v>
      </c>
      <c r="E41" s="56" t="n">
        <v>0</v>
      </c>
      <c r="F41" s="56" t="n">
        <v>0</v>
      </c>
    </row>
    <row r="42" customFormat="false" ht="15" hidden="false" customHeight="false" outlineLevel="0" collapsed="false">
      <c r="A42" s="55" t="n">
        <v>45152</v>
      </c>
      <c r="B42" s="56" t="n">
        <v>0</v>
      </c>
      <c r="C42" s="56" t="n">
        <v>0</v>
      </c>
      <c r="D42" s="56" t="n">
        <v>0</v>
      </c>
      <c r="E42" s="56" t="n">
        <v>0</v>
      </c>
      <c r="F42" s="56" t="n">
        <v>0</v>
      </c>
    </row>
    <row r="43" customFormat="false" ht="15" hidden="false" customHeight="false" outlineLevel="0" collapsed="false">
      <c r="A43" s="55" t="n">
        <v>45159</v>
      </c>
      <c r="B43" s="56" t="n">
        <v>0</v>
      </c>
      <c r="C43" s="56" t="n">
        <v>0</v>
      </c>
      <c r="D43" s="56" t="n">
        <v>0</v>
      </c>
      <c r="E43" s="56" t="n">
        <v>0</v>
      </c>
      <c r="F43" s="56" t="n">
        <v>0</v>
      </c>
    </row>
    <row r="44" customFormat="false" ht="15" hidden="false" customHeight="false" outlineLevel="0" collapsed="false">
      <c r="A44" s="55" t="n">
        <v>45166</v>
      </c>
      <c r="B44" s="56" t="n">
        <v>0</v>
      </c>
      <c r="C44" s="56" t="n">
        <v>0</v>
      </c>
      <c r="D44" s="56" t="n">
        <v>0</v>
      </c>
      <c r="E44" s="56" t="n">
        <v>0</v>
      </c>
      <c r="F44" s="56" t="n">
        <v>0</v>
      </c>
    </row>
    <row r="45" customFormat="false" ht="15" hidden="false" customHeight="false" outlineLevel="0" collapsed="false">
      <c r="A45" s="55" t="n">
        <v>45173</v>
      </c>
      <c r="B45" s="56" t="n">
        <v>0</v>
      </c>
      <c r="C45" s="56" t="n">
        <v>0</v>
      </c>
      <c r="D45" s="56" t="n">
        <v>0</v>
      </c>
      <c r="E45" s="56" t="n">
        <v>0</v>
      </c>
      <c r="F45" s="56" t="n">
        <v>0</v>
      </c>
    </row>
    <row r="46" customFormat="false" ht="15" hidden="false" customHeight="false" outlineLevel="0" collapsed="false">
      <c r="A46" s="55" t="n">
        <v>45180</v>
      </c>
      <c r="B46" s="56" t="n">
        <v>0</v>
      </c>
      <c r="C46" s="56" t="n">
        <v>0</v>
      </c>
      <c r="D46" s="56" t="n">
        <v>0</v>
      </c>
      <c r="E46" s="56" t="n">
        <v>0</v>
      </c>
      <c r="F46" s="56" t="n">
        <v>0</v>
      </c>
    </row>
    <row r="47" customFormat="false" ht="15" hidden="false" customHeight="false" outlineLevel="0" collapsed="false">
      <c r="A47" s="55" t="n">
        <v>45187</v>
      </c>
      <c r="B47" s="56" t="n">
        <v>0</v>
      </c>
      <c r="C47" s="56" t="n">
        <v>0</v>
      </c>
      <c r="D47" s="56" t="n">
        <v>0</v>
      </c>
      <c r="E47" s="56" t="n">
        <v>0</v>
      </c>
      <c r="F47" s="56" t="n">
        <v>0</v>
      </c>
    </row>
    <row r="48" customFormat="false" ht="15" hidden="false" customHeight="false" outlineLevel="0" collapsed="false">
      <c r="A48" s="55" t="n">
        <v>45194</v>
      </c>
      <c r="B48" s="56" t="n">
        <v>0</v>
      </c>
      <c r="C48" s="56" t="n">
        <v>0</v>
      </c>
      <c r="D48" s="56" t="n">
        <v>0</v>
      </c>
      <c r="E48" s="56" t="n">
        <v>0</v>
      </c>
      <c r="F48" s="56" t="n">
        <v>0</v>
      </c>
    </row>
    <row r="49" customFormat="false" ht="15" hidden="false" customHeight="false" outlineLevel="0" collapsed="false">
      <c r="A49" s="55" t="n">
        <v>45201</v>
      </c>
      <c r="B49" s="56" t="n">
        <v>0</v>
      </c>
      <c r="C49" s="56" t="n">
        <v>0</v>
      </c>
      <c r="D49" s="56" t="n">
        <v>0</v>
      </c>
      <c r="E49" s="56" t="n">
        <v>0</v>
      </c>
      <c r="F49" s="56" t="n">
        <v>0</v>
      </c>
    </row>
    <row r="50" customFormat="false" ht="15" hidden="false" customHeight="false" outlineLevel="0" collapsed="false">
      <c r="A50" s="55" t="n">
        <v>45208</v>
      </c>
      <c r="B50" s="56" t="n">
        <v>0</v>
      </c>
      <c r="C50" s="56" t="n">
        <v>0</v>
      </c>
      <c r="D50" s="56" t="n">
        <v>0</v>
      </c>
      <c r="E50" s="56" t="n">
        <v>0</v>
      </c>
      <c r="F50" s="56" t="n">
        <v>0</v>
      </c>
    </row>
    <row r="51" customFormat="false" ht="15" hidden="false" customHeight="false" outlineLevel="0" collapsed="false">
      <c r="A51" s="55" t="n">
        <v>45215</v>
      </c>
      <c r="B51" s="56" t="n">
        <v>0</v>
      </c>
      <c r="C51" s="56" t="n">
        <v>0</v>
      </c>
      <c r="D51" s="56" t="n">
        <v>0</v>
      </c>
      <c r="E51" s="56" t="n">
        <v>0</v>
      </c>
      <c r="F51" s="56" t="n">
        <v>0</v>
      </c>
    </row>
    <row r="52" customFormat="false" ht="15" hidden="false" customHeight="false" outlineLevel="0" collapsed="false">
      <c r="A52" s="55" t="n">
        <v>45222</v>
      </c>
      <c r="B52" s="56" t="n">
        <v>0</v>
      </c>
      <c r="C52" s="56" t="n">
        <v>0</v>
      </c>
      <c r="D52" s="56" t="n">
        <v>0</v>
      </c>
      <c r="E52" s="56" t="n">
        <v>0</v>
      </c>
      <c r="F52" s="56" t="n">
        <v>0</v>
      </c>
    </row>
    <row r="53" customFormat="false" ht="15" hidden="false" customHeight="false" outlineLevel="0" collapsed="false">
      <c r="A53" s="55" t="n">
        <v>45229</v>
      </c>
      <c r="B53" s="56" t="n">
        <v>0</v>
      </c>
      <c r="C53" s="56" t="n">
        <v>0</v>
      </c>
      <c r="D53" s="56" t="n">
        <v>0</v>
      </c>
      <c r="E53" s="56" t="n">
        <v>0</v>
      </c>
      <c r="F53" s="56" t="n">
        <v>0</v>
      </c>
    </row>
    <row r="54" customFormat="false" ht="15" hidden="false" customHeight="false" outlineLevel="0" collapsed="false">
      <c r="A54" s="55" t="n">
        <v>45236</v>
      </c>
      <c r="B54" s="56" t="n">
        <v>0</v>
      </c>
      <c r="C54" s="56" t="n">
        <v>0</v>
      </c>
      <c r="D54" s="56" t="n">
        <v>0</v>
      </c>
      <c r="E54" s="56" t="n">
        <v>0</v>
      </c>
      <c r="F54" s="56" t="n">
        <v>0</v>
      </c>
    </row>
    <row r="55" customFormat="false" ht="15" hidden="false" customHeight="false" outlineLevel="0" collapsed="false">
      <c r="A55" s="55" t="n">
        <v>45243</v>
      </c>
      <c r="B55" s="56" t="n">
        <v>111</v>
      </c>
      <c r="C55" s="56" t="n">
        <v>0</v>
      </c>
      <c r="D55" s="56" t="n">
        <v>0</v>
      </c>
      <c r="E55" s="56" t="n">
        <v>0</v>
      </c>
      <c r="F55" s="56" t="n">
        <v>0</v>
      </c>
    </row>
    <row r="56" customFormat="false" ht="15" hidden="false" customHeight="false" outlineLevel="0" collapsed="false">
      <c r="A56" s="55" t="n">
        <v>45250</v>
      </c>
      <c r="B56" s="56" t="n">
        <v>164</v>
      </c>
      <c r="C56" s="56" t="n">
        <v>0</v>
      </c>
      <c r="D56" s="56" t="n">
        <v>0</v>
      </c>
      <c r="E56" s="56" t="n">
        <v>0</v>
      </c>
      <c r="F56" s="56" t="n">
        <v>0</v>
      </c>
    </row>
    <row r="57" customFormat="false" ht="15" hidden="false" customHeight="false" outlineLevel="0" collapsed="false">
      <c r="A57" s="55" t="n">
        <v>45257</v>
      </c>
      <c r="B57" s="56" t="n">
        <v>72</v>
      </c>
      <c r="C57" s="56" t="n">
        <v>0</v>
      </c>
      <c r="D57" s="56" t="n">
        <v>1</v>
      </c>
      <c r="E57" s="56" t="n">
        <v>0</v>
      </c>
      <c r="F57" s="56" t="n">
        <v>0</v>
      </c>
    </row>
    <row r="58" customFormat="false" ht="15" hidden="false" customHeight="false" outlineLevel="0" collapsed="false">
      <c r="A58" s="55" t="n">
        <v>45264</v>
      </c>
      <c r="B58" s="56" t="n">
        <v>40</v>
      </c>
      <c r="C58" s="56" t="n">
        <v>0</v>
      </c>
      <c r="D58" s="56" t="n">
        <v>0</v>
      </c>
      <c r="E58" s="56" t="n">
        <v>0</v>
      </c>
      <c r="F58" s="56" t="n">
        <v>0</v>
      </c>
    </row>
    <row r="59" customFormat="false" ht="15" hidden="false" customHeight="false" outlineLevel="0" collapsed="false">
      <c r="A59" s="55" t="n">
        <v>45271</v>
      </c>
      <c r="B59" s="56" t="n">
        <v>39</v>
      </c>
      <c r="C59" s="56" t="n">
        <v>0</v>
      </c>
      <c r="D59" s="56" t="n">
        <v>0</v>
      </c>
      <c r="E59" s="56" t="n">
        <v>0</v>
      </c>
      <c r="F59" s="56" t="n">
        <v>0</v>
      </c>
    </row>
    <row r="60" customFormat="false" ht="15" hidden="false" customHeight="false" outlineLevel="0" collapsed="false">
      <c r="A60" s="55" t="n">
        <v>45278</v>
      </c>
      <c r="B60" s="56" t="n">
        <v>67</v>
      </c>
      <c r="C60" s="56" t="n">
        <v>0</v>
      </c>
      <c r="D60" s="56" t="n">
        <v>0</v>
      </c>
      <c r="E60" s="56" t="n">
        <v>0</v>
      </c>
      <c r="F60" s="56" t="n">
        <v>0</v>
      </c>
    </row>
    <row r="61" customFormat="false" ht="15" hidden="false" customHeight="false" outlineLevel="0" collapsed="false">
      <c r="A61" s="55" t="n">
        <v>45285</v>
      </c>
      <c r="B61" s="56" t="n">
        <v>80</v>
      </c>
      <c r="C61" s="56" t="n">
        <v>0</v>
      </c>
      <c r="D61" s="56" t="n">
        <v>0</v>
      </c>
      <c r="E61" s="56" t="n">
        <v>0</v>
      </c>
      <c r="F61" s="56" t="n">
        <v>0</v>
      </c>
    </row>
    <row r="62" customFormat="false" ht="15" hidden="false" customHeight="false" outlineLevel="0" collapsed="false">
      <c r="A62" s="55" t="n">
        <v>45292</v>
      </c>
      <c r="B62" s="56" t="n">
        <v>126</v>
      </c>
      <c r="C62" s="56" t="n">
        <v>0</v>
      </c>
      <c r="D62" s="56" t="n">
        <v>0</v>
      </c>
      <c r="E62" s="56" t="n">
        <v>0</v>
      </c>
      <c r="F62" s="56" t="n">
        <v>0</v>
      </c>
    </row>
    <row r="63" customFormat="false" ht="15" hidden="false" customHeight="false" outlineLevel="0" collapsed="false">
      <c r="A63" s="55" t="n">
        <v>45299</v>
      </c>
      <c r="B63" s="56" t="n">
        <v>87</v>
      </c>
      <c r="C63" s="56" t="n">
        <v>0</v>
      </c>
      <c r="D63" s="56" t="n">
        <v>0</v>
      </c>
      <c r="E63" s="56" t="n">
        <v>0</v>
      </c>
      <c r="F63" s="56" t="n">
        <v>0</v>
      </c>
    </row>
    <row r="64" customFormat="false" ht="15" hidden="false" customHeight="false" outlineLevel="0" collapsed="false">
      <c r="A64" s="55" t="n">
        <v>45306</v>
      </c>
      <c r="B64" s="56" t="n">
        <v>142</v>
      </c>
      <c r="C64" s="56" t="n">
        <v>0</v>
      </c>
      <c r="D64" s="56" t="n">
        <v>1</v>
      </c>
      <c r="E64" s="56" t="n">
        <v>0</v>
      </c>
      <c r="F64" s="56" t="n">
        <v>0</v>
      </c>
    </row>
    <row r="65" customFormat="false" ht="15" hidden="false" customHeight="false" outlineLevel="0" collapsed="false">
      <c r="A65" s="55" t="n">
        <v>45313</v>
      </c>
      <c r="B65" s="56" t="n">
        <v>130</v>
      </c>
      <c r="C65" s="56" t="n">
        <v>0</v>
      </c>
      <c r="D65" s="56" t="n">
        <v>0</v>
      </c>
      <c r="E65" s="56" t="n">
        <v>0</v>
      </c>
      <c r="F65" s="56" t="n">
        <v>0</v>
      </c>
    </row>
    <row r="66" customFormat="false" ht="15" hidden="false" customHeight="false" outlineLevel="0" collapsed="false">
      <c r="A66" s="55" t="n">
        <v>45320</v>
      </c>
      <c r="B66" s="56" t="n">
        <v>444</v>
      </c>
      <c r="C66" s="56" t="n">
        <v>0</v>
      </c>
      <c r="D66" s="56" t="n">
        <v>0</v>
      </c>
      <c r="E66" s="56" t="n">
        <v>0</v>
      </c>
      <c r="F66" s="56" t="n">
        <v>0</v>
      </c>
    </row>
    <row r="67" customFormat="false" ht="15" hidden="false" customHeight="false" outlineLevel="0" collapsed="false">
      <c r="A67" s="55" t="n">
        <v>45327</v>
      </c>
      <c r="B67" s="56" t="n">
        <v>492</v>
      </c>
      <c r="C67" s="56" t="n">
        <v>0</v>
      </c>
      <c r="D67" s="56" t="n">
        <v>0</v>
      </c>
      <c r="E67" s="56" t="n">
        <v>0</v>
      </c>
      <c r="F67" s="56" t="n">
        <v>0</v>
      </c>
    </row>
    <row r="68" customFormat="false" ht="15" hidden="false" customHeight="false" outlineLevel="0" collapsed="false">
      <c r="A68" s="55" t="n">
        <v>45334</v>
      </c>
      <c r="B68" s="56" t="n">
        <v>423</v>
      </c>
      <c r="C68" s="56" t="n">
        <v>0</v>
      </c>
      <c r="D68" s="56" t="n">
        <v>0</v>
      </c>
      <c r="E68" s="56" t="n">
        <v>0</v>
      </c>
      <c r="F68" s="56" t="n">
        <v>0</v>
      </c>
    </row>
    <row r="69" customFormat="false" ht="15" hidden="false" customHeight="false" outlineLevel="0" collapsed="false">
      <c r="A69" s="55" t="n">
        <v>45341</v>
      </c>
      <c r="B69" s="56" t="n">
        <v>781</v>
      </c>
      <c r="C69" s="56" t="n">
        <v>0</v>
      </c>
      <c r="D69" s="56" t="n">
        <v>1</v>
      </c>
      <c r="E69" s="56" t="n">
        <v>0</v>
      </c>
      <c r="F69" s="56" t="n">
        <v>0</v>
      </c>
    </row>
    <row r="70" customFormat="false" ht="15" hidden="false" customHeight="false" outlineLevel="0" collapsed="false">
      <c r="A70" s="55" t="n">
        <v>45348</v>
      </c>
      <c r="B70" s="56" t="n">
        <v>597</v>
      </c>
      <c r="C70" s="56" t="n">
        <v>0</v>
      </c>
      <c r="D70" s="56" t="n">
        <v>0</v>
      </c>
      <c r="E70" s="56" t="n">
        <v>0</v>
      </c>
      <c r="F70" s="56" t="n">
        <v>0</v>
      </c>
    </row>
    <row r="71" customFormat="false" ht="15" hidden="false" customHeight="false" outlineLevel="0" collapsed="false">
      <c r="A71" s="55" t="n">
        <v>45355</v>
      </c>
      <c r="B71" s="56" t="n">
        <v>728</v>
      </c>
      <c r="C71" s="56" t="n">
        <v>0</v>
      </c>
      <c r="D71" s="56" t="n">
        <v>0</v>
      </c>
      <c r="E71" s="56" t="n">
        <v>0</v>
      </c>
      <c r="F71" s="56" t="n">
        <v>0</v>
      </c>
    </row>
    <row r="72" customFormat="false" ht="15" hidden="false" customHeight="false" outlineLevel="0" collapsed="false">
      <c r="A72" s="55" t="n">
        <v>45362</v>
      </c>
      <c r="B72" s="56" t="n">
        <v>1300</v>
      </c>
      <c r="C72" s="56" t="n">
        <v>0</v>
      </c>
      <c r="D72" s="56" t="n">
        <v>0</v>
      </c>
      <c r="E72" s="56" t="n">
        <v>0</v>
      </c>
      <c r="F72" s="56" t="n">
        <v>0</v>
      </c>
    </row>
    <row r="73" customFormat="false" ht="15" hidden="false" customHeight="false" outlineLevel="0" collapsed="false">
      <c r="A73" s="55" t="n">
        <v>45369</v>
      </c>
      <c r="B73" s="56" t="n">
        <v>1262</v>
      </c>
      <c r="C73" s="56" t="n">
        <v>0</v>
      </c>
      <c r="D73" s="56" t="n">
        <v>0</v>
      </c>
      <c r="E73" s="56" t="n">
        <v>0</v>
      </c>
      <c r="F73" s="56" t="n">
        <v>0</v>
      </c>
    </row>
    <row r="74" customFormat="false" ht="15" hidden="false" customHeight="false" outlineLevel="0" collapsed="false">
      <c r="A74" s="55" t="n">
        <v>45376</v>
      </c>
      <c r="B74" s="56" t="n">
        <v>1005</v>
      </c>
      <c r="C74" s="56" t="n">
        <v>0</v>
      </c>
      <c r="D74" s="56" t="n">
        <v>2</v>
      </c>
      <c r="E74" s="56" t="n">
        <v>0</v>
      </c>
      <c r="F74" s="56" t="n">
        <v>0</v>
      </c>
    </row>
    <row r="75" customFormat="false" ht="15" hidden="false" customHeight="false" outlineLevel="0" collapsed="false">
      <c r="A75" s="55" t="n">
        <v>45383</v>
      </c>
      <c r="B75" s="56" t="n">
        <v>332</v>
      </c>
      <c r="C75" s="56" t="n">
        <v>0</v>
      </c>
      <c r="D75" s="56" t="n">
        <v>1</v>
      </c>
      <c r="E75" s="56" t="n">
        <v>0</v>
      </c>
      <c r="F75" s="56" t="n">
        <v>0</v>
      </c>
    </row>
    <row r="76" customFormat="false" ht="15" hidden="false" customHeight="false" outlineLevel="0" collapsed="false">
      <c r="A76" s="55" t="n">
        <v>45390</v>
      </c>
      <c r="B76" s="56" t="n">
        <v>50</v>
      </c>
      <c r="C76" s="56" t="n">
        <v>0</v>
      </c>
      <c r="D76" s="56" t="n">
        <v>0</v>
      </c>
      <c r="E76" s="56" t="n">
        <v>0</v>
      </c>
      <c r="F76" s="56" t="n">
        <v>0</v>
      </c>
    </row>
    <row r="77" customFormat="false" ht="15" hidden="false" customHeight="false" outlineLevel="0" collapsed="false">
      <c r="A77" s="55" t="n">
        <v>45397</v>
      </c>
      <c r="B77" s="56" t="n">
        <v>78</v>
      </c>
      <c r="C77" s="56" t="n">
        <v>0</v>
      </c>
      <c r="D77" s="56" t="n">
        <v>0</v>
      </c>
      <c r="E77" s="56" t="n">
        <v>0</v>
      </c>
      <c r="F77" s="56" t="n">
        <v>0</v>
      </c>
    </row>
    <row r="78" customFormat="false" ht="15" hidden="false" customHeight="false" outlineLevel="0" collapsed="false">
      <c r="A78" s="55" t="n">
        <v>45404</v>
      </c>
      <c r="B78" s="56" t="n">
        <v>20</v>
      </c>
      <c r="C78" s="56" t="n">
        <v>0</v>
      </c>
      <c r="D78" s="56" t="n">
        <v>0</v>
      </c>
      <c r="E78" s="56" t="n">
        <v>0</v>
      </c>
      <c r="F78" s="56" t="n">
        <v>0</v>
      </c>
    </row>
    <row r="79" customFormat="false" ht="15" hidden="false" customHeight="false" outlineLevel="0" collapsed="false">
      <c r="A79" s="55" t="n">
        <v>45411</v>
      </c>
      <c r="B79" s="56" t="n">
        <v>1</v>
      </c>
      <c r="C79" s="56" t="n">
        <v>0</v>
      </c>
      <c r="D79" s="56" t="n">
        <v>0</v>
      </c>
      <c r="E79" s="56" t="n">
        <v>0</v>
      </c>
      <c r="F79" s="56" t="n">
        <v>0</v>
      </c>
    </row>
    <row r="80" customFormat="false" ht="15" hidden="false" customHeight="false" outlineLevel="0" collapsed="false">
      <c r="A80" s="55" t="n">
        <v>45418</v>
      </c>
      <c r="B80" s="56" t="n">
        <v>0</v>
      </c>
      <c r="C80" s="56" t="n">
        <v>0</v>
      </c>
      <c r="D80" s="56" t="n">
        <v>0</v>
      </c>
      <c r="E80" s="56" t="n">
        <v>0</v>
      </c>
      <c r="F80" s="56" t="n">
        <v>0</v>
      </c>
    </row>
    <row r="81" customFormat="false" ht="15" hidden="false" customHeight="false" outlineLevel="0" collapsed="false">
      <c r="A81" s="55" t="n">
        <v>45425</v>
      </c>
      <c r="B81" s="56" t="n">
        <v>0</v>
      </c>
      <c r="C81" s="56" t="n">
        <v>0</v>
      </c>
      <c r="D81" s="56" t="n">
        <v>1</v>
      </c>
      <c r="E81" s="56" t="n">
        <v>0</v>
      </c>
      <c r="F81" s="56" t="n">
        <v>0</v>
      </c>
    </row>
    <row r="82" customFormat="false" ht="15" hidden="false" customHeight="false" outlineLevel="0" collapsed="false">
      <c r="A82" s="55" t="n">
        <v>45432</v>
      </c>
      <c r="B82" s="56" t="n">
        <v>0</v>
      </c>
      <c r="C82" s="56" t="n">
        <v>0</v>
      </c>
      <c r="D82" s="56" t="n">
        <v>0</v>
      </c>
      <c r="E82" s="56" t="n">
        <v>0</v>
      </c>
      <c r="F82" s="56" t="n">
        <v>0</v>
      </c>
    </row>
    <row r="83" customFormat="false" ht="15" hidden="false" customHeight="false" outlineLevel="0" collapsed="false">
      <c r="A83" s="55" t="n">
        <v>45439</v>
      </c>
      <c r="B83" s="56" t="n">
        <v>1</v>
      </c>
      <c r="C83" s="56" t="n">
        <v>0</v>
      </c>
      <c r="D83" s="56" t="n">
        <v>0</v>
      </c>
      <c r="E83" s="56" t="n">
        <v>0</v>
      </c>
      <c r="F83" s="56" t="n">
        <v>0</v>
      </c>
    </row>
    <row r="84" customFormat="false" ht="15" hidden="false" customHeight="false" outlineLevel="0" collapsed="false">
      <c r="A84" s="55" t="n">
        <v>45446</v>
      </c>
      <c r="B84" s="56" t="n">
        <v>0</v>
      </c>
      <c r="C84" s="56" t="n">
        <v>0</v>
      </c>
      <c r="D84" s="56" t="n">
        <v>2</v>
      </c>
      <c r="E84" s="56" t="n">
        <v>0</v>
      </c>
      <c r="F84" s="56" t="n">
        <v>0</v>
      </c>
    </row>
    <row r="85" customFormat="false" ht="15" hidden="false" customHeight="false" outlineLevel="0" collapsed="false">
      <c r="A85" s="55" t="n">
        <v>45453</v>
      </c>
      <c r="B85" s="56" t="n">
        <v>1</v>
      </c>
      <c r="C85" s="56" t="n">
        <v>0</v>
      </c>
      <c r="D85" s="56" t="n">
        <v>0</v>
      </c>
      <c r="E85" s="56" t="n">
        <v>0</v>
      </c>
      <c r="F85" s="56" t="n">
        <v>0</v>
      </c>
    </row>
    <row r="86" customFormat="false" ht="15" hidden="false" customHeight="false" outlineLevel="0" collapsed="false">
      <c r="A86" s="55" t="n">
        <v>45460</v>
      </c>
      <c r="B86" s="56" t="n">
        <v>0</v>
      </c>
      <c r="C86" s="56" t="n">
        <v>0</v>
      </c>
      <c r="D86" s="56" t="n">
        <v>1</v>
      </c>
      <c r="E86" s="56" t="n">
        <v>0</v>
      </c>
      <c r="F86" s="56" t="n">
        <v>0</v>
      </c>
    </row>
    <row r="87" customFormat="false" ht="15" hidden="false" customHeight="false" outlineLevel="0" collapsed="false">
      <c r="A87" s="55" t="n">
        <v>45467</v>
      </c>
      <c r="B87" s="56" t="n">
        <v>0</v>
      </c>
      <c r="C87" s="56" t="n">
        <v>0</v>
      </c>
      <c r="D87" s="56" t="n">
        <v>0</v>
      </c>
      <c r="E87" s="56" t="n">
        <v>0</v>
      </c>
      <c r="F87" s="56" t="n">
        <v>0</v>
      </c>
    </row>
    <row r="88" customFormat="false" ht="15" hidden="false" customHeight="false" outlineLevel="0" collapsed="false">
      <c r="A88" s="55" t="n">
        <v>45474</v>
      </c>
      <c r="B88" s="56" t="n">
        <v>0</v>
      </c>
      <c r="C88" s="56" t="n">
        <v>0</v>
      </c>
      <c r="D88" s="56" t="n">
        <v>1</v>
      </c>
      <c r="E88" s="56" t="n">
        <v>0</v>
      </c>
      <c r="F88" s="56" t="n">
        <v>0</v>
      </c>
    </row>
    <row r="89" customFormat="false" ht="15" hidden="false" customHeight="false" outlineLevel="0" collapsed="false">
      <c r="A89" s="55" t="n">
        <v>45481</v>
      </c>
      <c r="B89" s="56" t="n">
        <v>0</v>
      </c>
      <c r="C89" s="56" t="n">
        <v>0</v>
      </c>
      <c r="D89" s="56" t="n">
        <v>10</v>
      </c>
      <c r="E89" s="56" t="n">
        <v>0</v>
      </c>
      <c r="F89" s="56" t="n">
        <v>0</v>
      </c>
    </row>
    <row r="90" customFormat="false" ht="15" hidden="false" customHeight="false" outlineLevel="0" collapsed="false">
      <c r="A90" s="55" t="n">
        <v>45488</v>
      </c>
      <c r="B90" s="56" t="n">
        <v>0</v>
      </c>
      <c r="C90" s="56" t="n">
        <v>0</v>
      </c>
      <c r="D90" s="56" t="n">
        <v>2</v>
      </c>
      <c r="E90" s="56" t="n">
        <v>0</v>
      </c>
      <c r="F90" s="56" t="n">
        <v>0</v>
      </c>
    </row>
    <row r="91" customFormat="false" ht="15" hidden="false" customHeight="false" outlineLevel="0" collapsed="false">
      <c r="A91" s="55" t="n">
        <v>45495</v>
      </c>
      <c r="B91" s="56" t="n">
        <v>0</v>
      </c>
      <c r="C91" s="56" t="n">
        <v>0</v>
      </c>
      <c r="D91" s="56" t="n">
        <v>0</v>
      </c>
      <c r="E91" s="56" t="n">
        <v>0</v>
      </c>
      <c r="F91" s="56" t="n">
        <v>0</v>
      </c>
    </row>
    <row r="92" customFormat="false" ht="15" hidden="false" customHeight="false" outlineLevel="0" collapsed="false">
      <c r="A92" s="55" t="n">
        <v>45502</v>
      </c>
      <c r="B92" s="56" t="n">
        <v>0</v>
      </c>
      <c r="C92" s="56" t="n">
        <v>0</v>
      </c>
      <c r="D92" s="56" t="n">
        <v>1</v>
      </c>
      <c r="E92" s="56" t="n">
        <v>0</v>
      </c>
      <c r="F92" s="56" t="n">
        <v>0</v>
      </c>
    </row>
    <row r="93" customFormat="false" ht="15" hidden="false" customHeight="false" outlineLevel="0" collapsed="false">
      <c r="A93" s="55" t="n">
        <v>45509</v>
      </c>
      <c r="B93" s="56" t="n">
        <v>1</v>
      </c>
      <c r="C93" s="56" t="n">
        <v>0</v>
      </c>
      <c r="D93" s="56" t="n">
        <v>1</v>
      </c>
      <c r="E93" s="56" t="n">
        <v>0</v>
      </c>
      <c r="F93" s="56" t="n">
        <v>0</v>
      </c>
    </row>
    <row r="94" customFormat="false" ht="15" hidden="false" customHeight="false" outlineLevel="0" collapsed="false">
      <c r="A94" s="55" t="n">
        <v>45516</v>
      </c>
      <c r="B94" s="56" t="n">
        <v>0</v>
      </c>
      <c r="C94" s="56" t="n">
        <v>0</v>
      </c>
      <c r="D94" s="56" t="n">
        <v>0</v>
      </c>
      <c r="E94" s="56" t="n">
        <v>0</v>
      </c>
      <c r="F94" s="56" t="n">
        <v>0</v>
      </c>
    </row>
    <row r="95" customFormat="false" ht="15" hidden="false" customHeight="false" outlineLevel="0" collapsed="false">
      <c r="A95" s="55" t="n">
        <v>45523</v>
      </c>
      <c r="B95" s="56" t="n">
        <v>0</v>
      </c>
      <c r="C95" s="56" t="n">
        <v>0</v>
      </c>
      <c r="D95" s="56" t="n">
        <v>1</v>
      </c>
      <c r="E95" s="56" t="n">
        <v>0</v>
      </c>
      <c r="F95" s="56" t="n">
        <v>0</v>
      </c>
    </row>
    <row r="96" customFormat="false" ht="15" hidden="false" customHeight="false" outlineLevel="0" collapsed="false">
      <c r="A96" s="55" t="n">
        <v>45530</v>
      </c>
      <c r="B96" s="56" t="n">
        <v>0</v>
      </c>
      <c r="C96" s="56" t="n">
        <v>0</v>
      </c>
      <c r="D96" s="56" t="n">
        <v>0</v>
      </c>
      <c r="E96" s="56" t="n">
        <v>0</v>
      </c>
      <c r="F96" s="56" t="n">
        <v>0</v>
      </c>
    </row>
    <row r="97" customFormat="false" ht="15" hidden="false" customHeight="false" outlineLevel="0" collapsed="false">
      <c r="A97" s="55" t="n">
        <v>45537</v>
      </c>
      <c r="B97" s="56" t="n">
        <v>0</v>
      </c>
      <c r="C97" s="56" t="n">
        <v>0</v>
      </c>
      <c r="D97" s="56" t="n">
        <v>0</v>
      </c>
      <c r="E97" s="56" t="n">
        <v>0</v>
      </c>
      <c r="F97" s="56" t="n">
        <v>0</v>
      </c>
    </row>
    <row r="98" customFormat="false" ht="15" hidden="false" customHeight="false" outlineLevel="0" collapsed="false">
      <c r="A98" s="55" t="n">
        <v>45544</v>
      </c>
      <c r="B98" s="56" t="n">
        <v>0</v>
      </c>
      <c r="C98" s="56" t="n">
        <v>0</v>
      </c>
      <c r="D98" s="56" t="n">
        <v>0</v>
      </c>
      <c r="E98" s="56" t="n">
        <v>0</v>
      </c>
      <c r="F98" s="56" t="n">
        <v>0</v>
      </c>
    </row>
    <row r="99" customFormat="false" ht="15" hidden="false" customHeight="false" outlineLevel="0" collapsed="false">
      <c r="A99" s="55" t="n">
        <v>45551</v>
      </c>
      <c r="B99" s="56" t="n">
        <v>0</v>
      </c>
      <c r="C99" s="56" t="n">
        <v>0</v>
      </c>
      <c r="D99" s="56" t="n">
        <v>0</v>
      </c>
      <c r="E99" s="56" t="n">
        <v>0</v>
      </c>
      <c r="F99" s="56" t="n">
        <v>0</v>
      </c>
    </row>
    <row r="100" customFormat="false" ht="15" hidden="false" customHeight="false" outlineLevel="0" collapsed="false">
      <c r="A100" s="55" t="n">
        <v>45558</v>
      </c>
      <c r="B100" s="56" t="n">
        <v>0</v>
      </c>
      <c r="C100" s="56" t="n">
        <v>0</v>
      </c>
      <c r="D100" s="56" t="n">
        <v>1</v>
      </c>
      <c r="E100" s="56" t="n">
        <v>0</v>
      </c>
      <c r="F100" s="56" t="n">
        <v>0</v>
      </c>
    </row>
    <row r="101" customFormat="false" ht="15" hidden="false" customHeight="false" outlineLevel="0" collapsed="false">
      <c r="A101" s="55" t="n">
        <v>45565</v>
      </c>
      <c r="B101" s="56" t="n">
        <v>0</v>
      </c>
      <c r="C101" s="56" t="n">
        <v>0</v>
      </c>
      <c r="D101" s="56" t="n">
        <v>0</v>
      </c>
      <c r="E101" s="56" t="n">
        <v>0</v>
      </c>
      <c r="F101" s="56" t="n">
        <v>0</v>
      </c>
    </row>
    <row r="102" customFormat="false" ht="15" hidden="false" customHeight="false" outlineLevel="0" collapsed="false">
      <c r="A102" s="55" t="n">
        <v>45572</v>
      </c>
      <c r="B102" s="56" t="n">
        <v>0</v>
      </c>
      <c r="C102" s="56" t="n">
        <v>0</v>
      </c>
      <c r="D102" s="56" t="n">
        <v>0</v>
      </c>
      <c r="E102" s="56" t="n">
        <v>0</v>
      </c>
      <c r="F102" s="56" t="n">
        <v>0</v>
      </c>
    </row>
    <row r="103" customFormat="false" ht="15" hidden="false" customHeight="false" outlineLevel="0" collapsed="false">
      <c r="A103" s="55" t="n">
        <v>45579</v>
      </c>
      <c r="B103" s="56" t="n">
        <v>0</v>
      </c>
      <c r="C103" s="56" t="n">
        <v>0</v>
      </c>
      <c r="D103" s="56" t="n">
        <v>0</v>
      </c>
      <c r="E103" s="56" t="n">
        <v>0</v>
      </c>
      <c r="F103" s="56" t="n">
        <v>0</v>
      </c>
    </row>
    <row r="104" customFormat="false" ht="15" hidden="false" customHeight="false" outlineLevel="0" collapsed="false">
      <c r="A104" s="55" t="n">
        <v>45586</v>
      </c>
      <c r="B104" s="56" t="n">
        <v>4</v>
      </c>
      <c r="C104" s="56" t="n">
        <v>0</v>
      </c>
      <c r="D104" s="56" t="n">
        <v>1</v>
      </c>
      <c r="E104" s="56" t="n">
        <v>0</v>
      </c>
      <c r="F104" s="56" t="n">
        <v>0</v>
      </c>
    </row>
    <row r="105" customFormat="false" ht="15" hidden="false" customHeight="false" outlineLevel="0" collapsed="false">
      <c r="A105" s="55" t="n">
        <v>45593</v>
      </c>
      <c r="B105" s="56" t="n">
        <v>1</v>
      </c>
      <c r="C105" s="56" t="n">
        <v>0</v>
      </c>
      <c r="D105" s="56" t="n">
        <v>0</v>
      </c>
      <c r="E105" s="56" t="n">
        <v>0</v>
      </c>
      <c r="F105" s="56" t="n">
        <v>0</v>
      </c>
    </row>
    <row r="106" customFormat="false" ht="15" hidden="false" customHeight="false" outlineLevel="0" collapsed="false">
      <c r="A106" s="55" t="n">
        <v>45600</v>
      </c>
      <c r="B106" s="56" t="n">
        <v>0</v>
      </c>
      <c r="C106" s="56" t="n">
        <v>0</v>
      </c>
      <c r="D106" s="56" t="n">
        <v>0</v>
      </c>
      <c r="E106" s="56" t="n">
        <v>0</v>
      </c>
      <c r="F106" s="56" t="n">
        <v>0</v>
      </c>
    </row>
    <row r="107" customFormat="false" ht="15" hidden="false" customHeight="false" outlineLevel="0" collapsed="false">
      <c r="A107" s="55" t="n">
        <v>45607</v>
      </c>
      <c r="B107" s="56" t="n">
        <v>0</v>
      </c>
      <c r="C107" s="56" t="n">
        <v>0</v>
      </c>
      <c r="D107" s="56" t="n">
        <v>0</v>
      </c>
      <c r="E107" s="56" t="n">
        <v>0</v>
      </c>
      <c r="F107" s="56" t="n">
        <v>0</v>
      </c>
    </row>
    <row r="108" customFormat="false" ht="15" hidden="false" customHeight="false" outlineLevel="0" collapsed="false">
      <c r="A108" s="55" t="n">
        <v>45614</v>
      </c>
      <c r="B108" s="56" t="n">
        <v>0</v>
      </c>
      <c r="C108" s="56" t="n">
        <v>0</v>
      </c>
      <c r="D108" s="56" t="n">
        <v>0</v>
      </c>
      <c r="E108" s="56" t="n">
        <v>0</v>
      </c>
      <c r="F108" s="56" t="n">
        <v>0</v>
      </c>
    </row>
    <row r="109" customFormat="false" ht="15" hidden="false" customHeight="false" outlineLevel="0" collapsed="false">
      <c r="A109" s="55" t="n">
        <v>45621</v>
      </c>
      <c r="B109" s="56" t="n">
        <v>1</v>
      </c>
      <c r="C109" s="56" t="n">
        <v>0</v>
      </c>
      <c r="D109" s="56" t="n">
        <v>0</v>
      </c>
      <c r="E109" s="56" t="n">
        <v>0</v>
      </c>
      <c r="F109" s="56" t="n">
        <v>0</v>
      </c>
    </row>
    <row r="110" customFormat="false" ht="15" hidden="false" customHeight="false" outlineLevel="0" collapsed="false">
      <c r="A110" s="55" t="n">
        <v>45628</v>
      </c>
      <c r="B110" s="56" t="n">
        <v>0</v>
      </c>
      <c r="C110" s="56" t="n">
        <v>0</v>
      </c>
      <c r="D110" s="56" t="n">
        <v>0</v>
      </c>
      <c r="E110" s="56" t="n">
        <v>0</v>
      </c>
      <c r="F110" s="56" t="n">
        <v>0</v>
      </c>
    </row>
    <row r="111" customFormat="false" ht="15" hidden="false" customHeight="false" outlineLevel="0" collapsed="false">
      <c r="A111" s="55" t="n">
        <v>45635</v>
      </c>
      <c r="B111" s="56" t="n">
        <v>0</v>
      </c>
      <c r="C111" s="56" t="n">
        <v>0</v>
      </c>
      <c r="D111" s="56" t="n">
        <v>0</v>
      </c>
      <c r="E111" s="56" t="n">
        <v>0</v>
      </c>
      <c r="F111" s="56" t="n">
        <v>0</v>
      </c>
    </row>
    <row r="112" customFormat="false" ht="15" hidden="false" customHeight="false" outlineLevel="0" collapsed="false">
      <c r="A112" s="55" t="n">
        <v>45642</v>
      </c>
      <c r="B112" s="56" t="n">
        <v>0</v>
      </c>
      <c r="C112" s="56" t="n">
        <v>0</v>
      </c>
      <c r="D112" s="56" t="n">
        <v>0</v>
      </c>
      <c r="E112" s="56" t="n">
        <v>0</v>
      </c>
      <c r="F112" s="56" t="n">
        <v>0</v>
      </c>
    </row>
    <row r="113" customFormat="false" ht="15" hidden="false" customHeight="false" outlineLevel="0" collapsed="false">
      <c r="A113" s="55" t="n">
        <v>45649</v>
      </c>
      <c r="B113" s="56" t="n">
        <v>0</v>
      </c>
      <c r="C113" s="56" t="n">
        <v>0</v>
      </c>
      <c r="D113" s="56" t="n">
        <v>0</v>
      </c>
      <c r="E113" s="56" t="n">
        <v>0</v>
      </c>
      <c r="F113" s="56" t="n">
        <v>0</v>
      </c>
    </row>
    <row r="114" customFormat="false" ht="15" hidden="false" customHeight="false" outlineLevel="0" collapsed="false">
      <c r="A114" s="55" t="n">
        <v>45656</v>
      </c>
      <c r="B114" s="56" t="n">
        <v>0</v>
      </c>
      <c r="C114" s="56" t="n">
        <v>0</v>
      </c>
      <c r="D114" s="56" t="n">
        <v>0</v>
      </c>
      <c r="E114" s="56" t="n">
        <v>0</v>
      </c>
      <c r="F114" s="56" t="n">
        <v>0</v>
      </c>
    </row>
    <row r="115" customFormat="false" ht="15" hidden="false" customHeight="false" outlineLevel="0" collapsed="false">
      <c r="A115" s="55" t="n">
        <v>45663</v>
      </c>
      <c r="B115" s="56" t="n">
        <v>0</v>
      </c>
      <c r="C115" s="56" t="n">
        <v>0</v>
      </c>
      <c r="D115" s="56" t="n">
        <v>0</v>
      </c>
      <c r="E115" s="56" t="n">
        <v>0</v>
      </c>
      <c r="F115" s="56" t="n">
        <v>0</v>
      </c>
    </row>
    <row r="116" customFormat="false" ht="15" hidden="false" customHeight="false" outlineLevel="0" collapsed="false">
      <c r="A116" s="55" t="n">
        <v>45670</v>
      </c>
      <c r="B116" s="56" t="n">
        <v>0</v>
      </c>
      <c r="C116" s="56" t="n">
        <v>0</v>
      </c>
      <c r="D116" s="56" t="n">
        <v>0</v>
      </c>
      <c r="E116" s="56" t="n">
        <v>0</v>
      </c>
      <c r="F116" s="56" t="n">
        <v>0</v>
      </c>
    </row>
    <row r="117" customFormat="false" ht="15" hidden="false" customHeight="false" outlineLevel="0" collapsed="false">
      <c r="A117" s="55" t="n">
        <v>45677</v>
      </c>
      <c r="B117" s="56" t="n">
        <v>0</v>
      </c>
      <c r="C117" s="56" t="n">
        <v>0</v>
      </c>
      <c r="D117" s="56" t="n">
        <v>0</v>
      </c>
      <c r="E117" s="56" t="n">
        <v>0</v>
      </c>
      <c r="F117" s="56" t="n">
        <v>0</v>
      </c>
    </row>
    <row r="118" customFormat="false" ht="15" hidden="false" customHeight="false" outlineLevel="0" collapsed="false">
      <c r="A118" s="55" t="n">
        <v>45684</v>
      </c>
      <c r="B118" s="56" t="n">
        <v>0</v>
      </c>
      <c r="C118" s="56" t="n">
        <v>0</v>
      </c>
      <c r="D118" s="56" t="n">
        <v>0</v>
      </c>
      <c r="E118" s="56" t="n">
        <v>0</v>
      </c>
      <c r="F118" s="56" t="n">
        <v>0</v>
      </c>
    </row>
    <row r="119" customFormat="false" ht="15" hidden="false" customHeight="false" outlineLevel="0" collapsed="false">
      <c r="A119" s="55" t="n">
        <v>45691</v>
      </c>
      <c r="B119" s="56" t="n">
        <v>0</v>
      </c>
      <c r="C119" s="56" t="n">
        <v>0</v>
      </c>
      <c r="D119" s="56" t="n">
        <v>0</v>
      </c>
      <c r="E119" s="56" t="n">
        <v>0</v>
      </c>
      <c r="F119" s="56" t="n">
        <v>0</v>
      </c>
    </row>
    <row r="120" customFormat="false" ht="15" hidden="false" customHeight="false" outlineLevel="0" collapsed="false">
      <c r="A120" s="55" t="n">
        <v>45698</v>
      </c>
      <c r="B120" s="56" t="n">
        <v>1</v>
      </c>
      <c r="C120" s="56" t="n">
        <v>0</v>
      </c>
      <c r="D120" s="56" t="n">
        <v>0</v>
      </c>
      <c r="E120" s="56" t="n">
        <v>0</v>
      </c>
      <c r="F120" s="56" t="n">
        <v>0</v>
      </c>
    </row>
    <row r="121" customFormat="false" ht="15" hidden="false" customHeight="false" outlineLevel="0" collapsed="false">
      <c r="A121" s="55" t="n">
        <v>45705</v>
      </c>
      <c r="B121" s="56" t="n">
        <v>0</v>
      </c>
      <c r="C121" s="56" t="n">
        <v>0</v>
      </c>
      <c r="D121" s="56" t="n">
        <v>0</v>
      </c>
      <c r="E121" s="56" t="n">
        <v>0</v>
      </c>
      <c r="F121" s="56" t="n">
        <v>0</v>
      </c>
    </row>
    <row r="122" customFormat="false" ht="15" hidden="false" customHeight="false" outlineLevel="0" collapsed="false">
      <c r="A122" s="55" t="n">
        <v>45712</v>
      </c>
      <c r="B122" s="56" t="n">
        <v>0</v>
      </c>
      <c r="C122" s="56" t="n">
        <v>0</v>
      </c>
      <c r="D122" s="56" t="n">
        <v>0</v>
      </c>
      <c r="E122" s="56" t="n">
        <v>0</v>
      </c>
      <c r="F122" s="56" t="n">
        <v>0</v>
      </c>
    </row>
    <row r="123" customFormat="false" ht="15" hidden="false" customHeight="false" outlineLevel="0" collapsed="false">
      <c r="A123" s="55" t="n">
        <v>45719</v>
      </c>
      <c r="B123" s="56" t="n">
        <v>1</v>
      </c>
      <c r="C123" s="56" t="n">
        <v>0</v>
      </c>
      <c r="D123" s="56" t="n">
        <v>0</v>
      </c>
      <c r="E123" s="56" t="n">
        <v>0</v>
      </c>
      <c r="F123" s="56" t="n">
        <v>0</v>
      </c>
    </row>
    <row r="124" customFormat="false" ht="15" hidden="false" customHeight="false" outlineLevel="0" collapsed="false">
      <c r="A124" s="55" t="n">
        <v>45726</v>
      </c>
      <c r="B124" s="56" t="n">
        <v>4</v>
      </c>
      <c r="C124" s="56" t="n">
        <v>0</v>
      </c>
      <c r="D124" s="56" t="n">
        <v>0</v>
      </c>
      <c r="E124" s="56" t="n">
        <v>0</v>
      </c>
      <c r="F124" s="56" t="n">
        <v>0</v>
      </c>
    </row>
    <row r="125" customFormat="false" ht="15" hidden="false" customHeight="false" outlineLevel="0" collapsed="false">
      <c r="A125" s="55" t="n">
        <v>45733</v>
      </c>
      <c r="B125" s="56" t="n">
        <v>1</v>
      </c>
      <c r="C125" s="56" t="n">
        <v>0</v>
      </c>
      <c r="D125" s="56" t="n">
        <v>0</v>
      </c>
      <c r="E125" s="56" t="n">
        <v>0</v>
      </c>
      <c r="F125" s="56" t="n">
        <v>0</v>
      </c>
    </row>
    <row r="126" customFormat="false" ht="15" hidden="false" customHeight="false" outlineLevel="0" collapsed="false">
      <c r="A126" s="55" t="n">
        <v>45740</v>
      </c>
      <c r="B126" s="56" t="n">
        <v>1</v>
      </c>
      <c r="C126" s="56" t="n">
        <v>0</v>
      </c>
      <c r="D126" s="56" t="n">
        <v>0</v>
      </c>
      <c r="E126" s="56" t="n">
        <v>0</v>
      </c>
      <c r="F126" s="56" t="n">
        <v>0</v>
      </c>
    </row>
    <row r="127" customFormat="false" ht="15" hidden="false" customHeight="false" outlineLevel="0" collapsed="false">
      <c r="A127" s="55" t="n">
        <v>45747</v>
      </c>
      <c r="B127" s="56" t="n">
        <v>0</v>
      </c>
      <c r="C127" s="56" t="n">
        <v>0</v>
      </c>
      <c r="D127" s="56" t="n">
        <v>0</v>
      </c>
      <c r="E127" s="56" t="n">
        <v>0</v>
      </c>
      <c r="F127" s="56" t="n">
        <v>0</v>
      </c>
    </row>
    <row r="128" customFormat="false" ht="15" hidden="false" customHeight="false" outlineLevel="0" collapsed="false">
      <c r="A128" s="55" t="n">
        <v>45754</v>
      </c>
      <c r="B128" s="56" t="n">
        <v>0</v>
      </c>
      <c r="C128" s="56" t="n">
        <v>0</v>
      </c>
      <c r="D128" s="56" t="n">
        <v>0</v>
      </c>
      <c r="E128" s="56" t="n">
        <v>0</v>
      </c>
      <c r="F128" s="56" t="n">
        <v>0</v>
      </c>
    </row>
    <row r="129" customFormat="false" ht="15" hidden="false" customHeight="false" outlineLevel="0" collapsed="false">
      <c r="A129" s="55" t="n">
        <v>45761</v>
      </c>
      <c r="B129" s="56" t="n">
        <v>0</v>
      </c>
      <c r="C129" s="56" t="n">
        <v>0</v>
      </c>
      <c r="D129" s="56" t="n">
        <v>0</v>
      </c>
      <c r="E129" s="56" t="n">
        <v>0</v>
      </c>
      <c r="F129" s="56" t="n">
        <v>0</v>
      </c>
    </row>
    <row r="130" customFormat="false" ht="15" hidden="false" customHeight="false" outlineLevel="0" collapsed="false">
      <c r="A130" s="55" t="n">
        <v>45768</v>
      </c>
      <c r="B130" s="56" t="n">
        <v>0</v>
      </c>
      <c r="C130" s="56" t="n">
        <v>0</v>
      </c>
      <c r="D130" s="56" t="n">
        <v>0</v>
      </c>
      <c r="E130" s="56" t="n">
        <v>0</v>
      </c>
      <c r="F130" s="56" t="n">
        <v>0</v>
      </c>
    </row>
    <row r="131" customFormat="false" ht="15" hidden="false" customHeight="false" outlineLevel="0" collapsed="false">
      <c r="A131" s="55" t="n">
        <v>45775</v>
      </c>
      <c r="B131" s="56" t="n">
        <v>0</v>
      </c>
      <c r="C131" s="56" t="n">
        <v>0</v>
      </c>
      <c r="D131" s="56" t="n">
        <v>0</v>
      </c>
      <c r="E131" s="56" t="n">
        <v>0</v>
      </c>
      <c r="F131" s="56" t="n">
        <v>0</v>
      </c>
    </row>
    <row r="132" customFormat="false" ht="15" hidden="false" customHeight="false" outlineLevel="0" collapsed="false">
      <c r="A132" s="55" t="n">
        <v>45782</v>
      </c>
      <c r="B132" s="56" t="n">
        <v>0</v>
      </c>
      <c r="C132" s="56" t="n">
        <v>0</v>
      </c>
      <c r="D132" s="56" t="n">
        <v>0</v>
      </c>
      <c r="E132" s="56" t="n">
        <v>0</v>
      </c>
      <c r="F132" s="56" t="n">
        <v>0</v>
      </c>
    </row>
    <row r="133" customFormat="false" ht="15" hidden="false" customHeight="false" outlineLevel="0" collapsed="false">
      <c r="A133" s="55" t="n">
        <v>45789</v>
      </c>
      <c r="B133" s="56" t="n">
        <v>1</v>
      </c>
      <c r="C133" s="56" t="n">
        <v>0</v>
      </c>
      <c r="D133" s="56" t="n">
        <v>1</v>
      </c>
      <c r="E133" s="56" t="n">
        <v>0</v>
      </c>
      <c r="F133" s="56" t="n">
        <v>0</v>
      </c>
    </row>
    <row r="134" customFormat="false" ht="15" hidden="false" customHeight="false" outlineLevel="0" collapsed="false">
      <c r="A134" s="55" t="n">
        <v>45796</v>
      </c>
      <c r="B134" s="56" t="n">
        <v>0</v>
      </c>
      <c r="C134" s="56" t="n">
        <v>0</v>
      </c>
      <c r="D134" s="56" t="n">
        <v>0</v>
      </c>
      <c r="E134" s="56" t="n">
        <v>0</v>
      </c>
      <c r="F134" s="56" t="n">
        <v>0</v>
      </c>
    </row>
    <row r="135" customFormat="false" ht="15" hidden="false" customHeight="false" outlineLevel="0" collapsed="false">
      <c r="A135" s="55" t="n">
        <v>45803</v>
      </c>
      <c r="B135" s="56" t="n">
        <v>0</v>
      </c>
      <c r="C135" s="56" t="n">
        <v>0</v>
      </c>
      <c r="D135" s="56" t="n">
        <v>0</v>
      </c>
      <c r="E135" s="56" t="n">
        <v>0</v>
      </c>
      <c r="F135" s="56" t="n">
        <v>0</v>
      </c>
    </row>
    <row r="136" customFormat="false" ht="15" hidden="false" customHeight="false" outlineLevel="0" collapsed="false">
      <c r="A136" s="55" t="n">
        <v>45810</v>
      </c>
      <c r="B136" s="56" t="n">
        <v>0</v>
      </c>
      <c r="C136" s="56" t="n">
        <v>0</v>
      </c>
      <c r="D136" s="56" t="n">
        <v>0</v>
      </c>
      <c r="E136" s="56" t="n">
        <v>0</v>
      </c>
      <c r="F136" s="56" t="n">
        <v>0</v>
      </c>
    </row>
    <row r="137" customFormat="false" ht="15" hidden="false" customHeight="false" outlineLevel="0" collapsed="false">
      <c r="A137" s="55" t="n">
        <v>45817</v>
      </c>
      <c r="B137" s="56" t="n">
        <v>0</v>
      </c>
      <c r="C137" s="56" t="n">
        <v>0</v>
      </c>
      <c r="D137" s="56" t="n">
        <v>0</v>
      </c>
      <c r="E137" s="56" t="n">
        <v>0</v>
      </c>
      <c r="F137" s="56" t="n">
        <v>0</v>
      </c>
    </row>
    <row r="138" customFormat="false" ht="15" hidden="false" customHeight="false" outlineLevel="0" collapsed="false">
      <c r="A138" s="55" t="n">
        <v>45824</v>
      </c>
      <c r="B138" s="56" t="n">
        <v>0</v>
      </c>
      <c r="C138" s="56" t="n">
        <v>0</v>
      </c>
      <c r="D138" s="56" t="n">
        <v>0</v>
      </c>
      <c r="E138" s="56" t="n">
        <v>0</v>
      </c>
      <c r="F138" s="56" t="n">
        <v>0</v>
      </c>
    </row>
    <row r="139" customFormat="false" ht="15" hidden="false" customHeight="false" outlineLevel="0" collapsed="false">
      <c r="A139" s="55" t="n">
        <v>45831</v>
      </c>
      <c r="B139" s="56" t="n">
        <v>0</v>
      </c>
      <c r="C139" s="56" t="n">
        <v>0</v>
      </c>
      <c r="D139" s="56" t="n">
        <v>0</v>
      </c>
      <c r="E139" s="56" t="n">
        <v>0</v>
      </c>
      <c r="F139" s="56" t="n">
        <v>0</v>
      </c>
    </row>
    <row r="140" customFormat="false" ht="15" hidden="false" customHeight="false" outlineLevel="0" collapsed="false">
      <c r="A140" s="55" t="n">
        <v>45838</v>
      </c>
      <c r="B140" s="56" t="n">
        <v>0</v>
      </c>
      <c r="C140" s="56" t="n">
        <v>0</v>
      </c>
      <c r="D140" s="56" t="n">
        <v>0</v>
      </c>
      <c r="E140" s="56" t="n">
        <v>0</v>
      </c>
      <c r="F140" s="56" t="n">
        <v>0</v>
      </c>
    </row>
    <row r="141" customFormat="false" ht="15" hidden="false" customHeight="false" outlineLevel="0" collapsed="false">
      <c r="A141" s="55" t="n">
        <v>45845</v>
      </c>
      <c r="B141" s="56" t="n">
        <v>0</v>
      </c>
      <c r="C141" s="56" t="n">
        <v>0</v>
      </c>
      <c r="D141" s="56" t="n">
        <v>0</v>
      </c>
      <c r="E141" s="56" t="n">
        <v>0</v>
      </c>
      <c r="F141" s="56" t="n">
        <v>0</v>
      </c>
    </row>
    <row r="142" customFormat="false" ht="15" hidden="false" customHeight="false" outlineLevel="0" collapsed="false">
      <c r="A142" s="55" t="n">
        <v>45852</v>
      </c>
      <c r="B142" s="56" t="n">
        <v>0</v>
      </c>
      <c r="C142" s="56" t="n">
        <v>0</v>
      </c>
      <c r="D142" s="56" t="n">
        <v>0</v>
      </c>
      <c r="E142" s="56" t="n">
        <v>0</v>
      </c>
      <c r="F142" s="56" t="n">
        <v>0</v>
      </c>
    </row>
    <row r="143" customFormat="false" ht="15" hidden="false" customHeight="false" outlineLevel="0" collapsed="false">
      <c r="A143" s="55" t="n">
        <v>45859</v>
      </c>
      <c r="B143" s="56" t="n">
        <v>0</v>
      </c>
      <c r="C143" s="56" t="n">
        <v>0</v>
      </c>
      <c r="D143" s="56" t="n">
        <v>0</v>
      </c>
      <c r="E143" s="56" t="n">
        <v>0</v>
      </c>
      <c r="F143" s="56" t="n">
        <v>0</v>
      </c>
    </row>
    <row r="144" customFormat="false" ht="15" hidden="false" customHeight="false" outlineLevel="0" collapsed="false">
      <c r="A144" s="55" t="n">
        <v>45866</v>
      </c>
      <c r="B144" s="56" t="n">
        <v>0</v>
      </c>
      <c r="C144" s="56" t="n">
        <v>0</v>
      </c>
      <c r="D144" s="56" t="n">
        <v>0</v>
      </c>
      <c r="E144" s="56" t="n">
        <v>0</v>
      </c>
      <c r="F144" s="56" t="n">
        <v>0</v>
      </c>
    </row>
    <row r="145" customFormat="false" ht="15" hidden="false" customHeight="false" outlineLevel="0" collapsed="false">
      <c r="A145" s="55" t="n">
        <v>45873</v>
      </c>
      <c r="B145" s="56" t="n">
        <v>0</v>
      </c>
      <c r="C145" s="56" t="n">
        <v>0</v>
      </c>
      <c r="D145" s="56" t="n">
        <v>0</v>
      </c>
      <c r="E145" s="56" t="n">
        <v>0</v>
      </c>
      <c r="F145" s="56" t="n">
        <v>0</v>
      </c>
    </row>
    <row r="146" customFormat="false" ht="15" hidden="false" customHeight="false" outlineLevel="0" collapsed="false">
      <c r="A146" s="55" t="n">
        <v>45880</v>
      </c>
      <c r="B146" s="56" t="n">
        <v>0</v>
      </c>
      <c r="C146" s="56" t="n">
        <v>0</v>
      </c>
      <c r="D146" s="56" t="n">
        <v>0</v>
      </c>
      <c r="E146" s="56" t="n">
        <v>0</v>
      </c>
      <c r="F146" s="56" t="n">
        <v>0</v>
      </c>
    </row>
    <row r="147" customFormat="false" ht="15" hidden="false" customHeight="false" outlineLevel="0" collapsed="false">
      <c r="A147" s="55" t="n">
        <v>45887</v>
      </c>
      <c r="B147" s="56" t="n">
        <v>1</v>
      </c>
      <c r="C147" s="56" t="n">
        <v>0</v>
      </c>
      <c r="D147" s="56" t="n">
        <v>0</v>
      </c>
      <c r="E147" s="56" t="n">
        <v>0</v>
      </c>
      <c r="F147" s="56" t="n">
        <v>0</v>
      </c>
    </row>
    <row r="148" customFormat="false" ht="15" hidden="false" customHeight="false" outlineLevel="0" collapsed="false">
      <c r="A148" s="55" t="n">
        <v>45894</v>
      </c>
      <c r="B148" s="56" t="n">
        <v>1</v>
      </c>
      <c r="C148" s="56" t="n">
        <v>0</v>
      </c>
      <c r="D148" s="56" t="n">
        <v>1</v>
      </c>
      <c r="E148" s="56" t="n">
        <v>0</v>
      </c>
      <c r="F148" s="56" t="n">
        <v>0</v>
      </c>
    </row>
    <row r="149" customFormat="false" ht="15" hidden="false" customHeight="false" outlineLevel="0" collapsed="false">
      <c r="A149" s="55" t="n">
        <v>45901</v>
      </c>
      <c r="B149" s="56" t="n">
        <v>0</v>
      </c>
      <c r="C149" s="56" t="n">
        <v>0</v>
      </c>
      <c r="D149" s="56" t="n">
        <v>1</v>
      </c>
      <c r="E149" s="56" t="n">
        <v>0</v>
      </c>
      <c r="F149" s="56" t="n">
        <v>0</v>
      </c>
    </row>
    <row r="150" customFormat="false" ht="15" hidden="false" customHeight="false" outlineLevel="0" collapsed="false">
      <c r="A150" s="55" t="n">
        <v>45908</v>
      </c>
      <c r="B150" s="56" t="n">
        <v>4</v>
      </c>
      <c r="C150" s="56" t="n">
        <v>0</v>
      </c>
      <c r="D150" s="56" t="n">
        <v>0</v>
      </c>
      <c r="E150" s="56" t="n">
        <v>0</v>
      </c>
      <c r="F150" s="56" t="n">
        <v>0</v>
      </c>
    </row>
    <row r="151" customFormat="false" ht="15" hidden="false" customHeight="false" outlineLevel="0" collapsed="false">
      <c r="A151" s="55" t="n">
        <v>45915</v>
      </c>
      <c r="B151" s="56" t="n">
        <v>0</v>
      </c>
      <c r="C151" s="56" t="n">
        <v>0</v>
      </c>
      <c r="D151" s="56" t="n">
        <v>0</v>
      </c>
      <c r="E151" s="56" t="n">
        <v>0</v>
      </c>
      <c r="F151" s="56" t="n">
        <v>0</v>
      </c>
    </row>
    <row r="152" customFormat="false" ht="15" hidden="false" customHeight="false" outlineLevel="0" collapsed="false">
      <c r="A152" s="55" t="n">
        <v>45922</v>
      </c>
      <c r="B152" s="56" t="n">
        <v>0</v>
      </c>
      <c r="C152" s="56" t="n">
        <v>0</v>
      </c>
      <c r="D152" s="56" t="n">
        <v>0</v>
      </c>
      <c r="E152" s="56" t="n">
        <v>0</v>
      </c>
      <c r="F152" s="56" t="n">
        <v>0</v>
      </c>
    </row>
    <row r="153" customFormat="false" ht="15" hidden="false" customHeight="false" outlineLevel="0" collapsed="false">
      <c r="A153" s="55" t="n">
        <v>45929</v>
      </c>
      <c r="B153" s="56" t="n">
        <v>0</v>
      </c>
      <c r="C153" s="56" t="n">
        <v>0</v>
      </c>
      <c r="D153" s="56" t="n">
        <v>0</v>
      </c>
      <c r="E153" s="56" t="n">
        <v>0</v>
      </c>
      <c r="F153" s="56" t="n">
        <v>0</v>
      </c>
    </row>
    <row r="154" customFormat="false" ht="15" hidden="false" customHeight="false" outlineLevel="0" collapsed="false">
      <c r="A154" s="55" t="n">
        <v>45936</v>
      </c>
      <c r="B154" s="56" t="n">
        <v>0</v>
      </c>
      <c r="C154" s="56" t="n">
        <v>0</v>
      </c>
      <c r="D154" s="56" t="n">
        <v>0</v>
      </c>
      <c r="E154" s="56" t="n">
        <v>0</v>
      </c>
      <c r="F154" s="56" t="n">
        <v>0</v>
      </c>
    </row>
    <row r="155" customFormat="false" ht="15" hidden="false" customHeight="false" outlineLevel="0" collapsed="false">
      <c r="A155" s="55" t="n">
        <v>45943</v>
      </c>
      <c r="B155" s="56" t="n">
        <v>0</v>
      </c>
      <c r="C155" s="56" t="n">
        <v>0</v>
      </c>
      <c r="D155" s="56" t="n">
        <v>0</v>
      </c>
      <c r="E155" s="56" t="n">
        <v>0</v>
      </c>
      <c r="F155" s="56" t="n">
        <v>0</v>
      </c>
    </row>
    <row r="156" customFormat="false" ht="15" hidden="false" customHeight="false" outlineLevel="0" collapsed="false">
      <c r="A156" s="55" t="n">
        <v>45950</v>
      </c>
      <c r="B156" s="56" t="n">
        <v>0</v>
      </c>
      <c r="C156" s="56" t="n">
        <v>0</v>
      </c>
      <c r="D156" s="56" t="n">
        <v>0</v>
      </c>
      <c r="E156" s="56" t="n">
        <v>0</v>
      </c>
      <c r="F156" s="56" t="n">
        <v>0</v>
      </c>
    </row>
    <row r="157" customFormat="false" ht="15" hidden="false" customHeight="false" outlineLevel="0" collapsed="false">
      <c r="A157" s="55" t="n">
        <v>45957</v>
      </c>
      <c r="B157" s="56" t="n">
        <v>0</v>
      </c>
      <c r="C157" s="56" t="n">
        <v>0</v>
      </c>
      <c r="D157" s="56" t="n">
        <v>0</v>
      </c>
      <c r="E157" s="56" t="n">
        <v>0</v>
      </c>
      <c r="F157" s="56" t="n">
        <v>0</v>
      </c>
    </row>
    <row r="158" customFormat="false" ht="15" hidden="false" customHeight="false" outlineLevel="0" collapsed="false">
      <c r="A158" s="55" t="n">
        <v>45964</v>
      </c>
      <c r="B158" s="56" t="n">
        <v>0</v>
      </c>
      <c r="C158" s="56" t="n">
        <v>0</v>
      </c>
      <c r="D158" s="56" t="n">
        <v>1</v>
      </c>
      <c r="E158" s="56" t="n">
        <v>203</v>
      </c>
      <c r="F158" s="56" t="n">
        <v>0</v>
      </c>
    </row>
    <row r="159" customFormat="false" ht="15" hidden="false" customHeight="false" outlineLevel="0" collapsed="false">
      <c r="A159" s="55" t="n">
        <v>45971</v>
      </c>
      <c r="B159" s="56" t="n">
        <v>1</v>
      </c>
      <c r="C159" s="56" t="n">
        <v>0</v>
      </c>
      <c r="D159" s="56" t="n">
        <v>1</v>
      </c>
      <c r="E159" s="56" t="n">
        <v>1382</v>
      </c>
      <c r="F159" s="56" t="n">
        <v>0</v>
      </c>
    </row>
    <row r="160" customFormat="false" ht="15" hidden="false" customHeight="false" outlineLevel="0" collapsed="false">
      <c r="A160" s="55" t="n">
        <v>45978</v>
      </c>
      <c r="B160" s="56" t="n">
        <v>0</v>
      </c>
      <c r="C160" s="56" t="n">
        <v>0</v>
      </c>
      <c r="D160" s="56" t="n">
        <v>0</v>
      </c>
      <c r="E160" s="56" t="n">
        <v>0</v>
      </c>
      <c r="F160" s="56" t="n">
        <v>0</v>
      </c>
    </row>
    <row r="161" customFormat="false" ht="15" hidden="false" customHeight="false" outlineLevel="0" collapsed="false">
      <c r="A161" s="55" t="n">
        <v>45985</v>
      </c>
      <c r="B161" s="56" t="n">
        <v>0</v>
      </c>
      <c r="C161" s="56" t="n">
        <v>1856</v>
      </c>
      <c r="D161" s="56" t="n">
        <v>0</v>
      </c>
      <c r="E161" s="56" t="n">
        <v>0</v>
      </c>
      <c r="F161" s="56" t="n">
        <v>0</v>
      </c>
    </row>
    <row r="162" customFormat="false" ht="15" hidden="false" customHeight="false" outlineLevel="0" collapsed="false">
      <c r="A162" s="55" t="n">
        <v>45992</v>
      </c>
      <c r="B162" s="56" t="n">
        <v>0</v>
      </c>
      <c r="C162" s="56" t="n">
        <v>148</v>
      </c>
      <c r="D162" s="56" t="n">
        <v>0</v>
      </c>
      <c r="E162" s="56" t="n">
        <v>0</v>
      </c>
      <c r="F162" s="56" t="n">
        <v>0</v>
      </c>
    </row>
    <row r="163" customFormat="false" ht="15" hidden="false" customHeight="false" outlineLevel="0" collapsed="false">
      <c r="A163" s="55" t="n">
        <v>45999</v>
      </c>
      <c r="B163" s="56" t="n">
        <v>0</v>
      </c>
      <c r="C163" s="56" t="n">
        <v>0</v>
      </c>
      <c r="D163" s="56" t="n">
        <v>0</v>
      </c>
      <c r="E163" s="56" t="n">
        <v>0</v>
      </c>
      <c r="F163" s="56" t="n">
        <v>0</v>
      </c>
    </row>
    <row r="164" customFormat="false" ht="15" hidden="false" customHeight="false" outlineLevel="0" collapsed="false">
      <c r="A164" s="55" t="n">
        <v>46006</v>
      </c>
      <c r="B164" s="56" t="n">
        <v>2</v>
      </c>
      <c r="C164" s="56" t="n">
        <v>0</v>
      </c>
      <c r="D164" s="56" t="n">
        <v>0</v>
      </c>
      <c r="E164" s="56" t="n">
        <v>0</v>
      </c>
      <c r="F164" s="56" t="n">
        <v>0</v>
      </c>
    </row>
    <row r="165" customFormat="false" ht="15" hidden="false" customHeight="false" outlineLevel="0" collapsed="false">
      <c r="A165" s="55" t="n">
        <v>46013</v>
      </c>
      <c r="B165" s="56" t="n">
        <v>1</v>
      </c>
      <c r="C165" s="56" t="n">
        <v>0</v>
      </c>
      <c r="D165" s="56" t="n">
        <v>0</v>
      </c>
      <c r="E165" s="56" t="n">
        <v>0</v>
      </c>
      <c r="F165" s="56" t="n">
        <v>0</v>
      </c>
    </row>
    <row r="166" customFormat="false" ht="15" hidden="false" customHeight="false" outlineLevel="0" collapsed="false">
      <c r="A166" s="55" t="n">
        <v>46020</v>
      </c>
      <c r="B166" s="56" t="n">
        <v>0</v>
      </c>
      <c r="C166" s="56" t="n">
        <v>0</v>
      </c>
      <c r="D166" s="56" t="n">
        <v>0</v>
      </c>
      <c r="E166" s="56" t="n">
        <v>0</v>
      </c>
      <c r="F166" s="56" t="n">
        <v>0</v>
      </c>
    </row>
    <row r="167" customFormat="false" ht="15" hidden="false" customHeight="false" outlineLevel="0" collapsed="false">
      <c r="A167" s="55" t="n">
        <v>46027</v>
      </c>
      <c r="B167" s="56" t="n">
        <v>0</v>
      </c>
      <c r="C167" s="56" t="n">
        <v>0</v>
      </c>
      <c r="D167" s="56" t="n">
        <v>0</v>
      </c>
      <c r="E167" s="56" t="n">
        <v>0</v>
      </c>
      <c r="F167" s="56" t="n">
        <v>0</v>
      </c>
    </row>
    <row r="168" customFormat="false" ht="15" hidden="false" customHeight="false" outlineLevel="0" collapsed="false">
      <c r="A168" s="55" t="n">
        <v>46034</v>
      </c>
      <c r="B168" s="56" t="n">
        <v>0</v>
      </c>
      <c r="C168" s="56" t="n">
        <v>0</v>
      </c>
      <c r="D168" s="56" t="n">
        <v>0</v>
      </c>
      <c r="E168" s="56" t="n">
        <v>0</v>
      </c>
      <c r="F168" s="56" t="n">
        <v>0</v>
      </c>
    </row>
    <row r="169" customFormat="false" ht="15" hidden="false" customHeight="false" outlineLevel="0" collapsed="false">
      <c r="A169" s="55" t="n">
        <v>46041</v>
      </c>
      <c r="B169" s="56" t="n">
        <v>0</v>
      </c>
      <c r="C169" s="56" t="n">
        <v>0</v>
      </c>
      <c r="D169" s="56" t="n">
        <v>0</v>
      </c>
      <c r="E169" s="56" t="n">
        <v>0</v>
      </c>
      <c r="F169" s="56" t="n">
        <v>0</v>
      </c>
    </row>
    <row r="170" customFormat="false" ht="15" hidden="false" customHeight="false" outlineLevel="0" collapsed="false">
      <c r="A170" s="55" t="n">
        <v>46048</v>
      </c>
      <c r="B170" s="56" t="n">
        <v>1</v>
      </c>
      <c r="C170" s="56" t="n">
        <v>0</v>
      </c>
      <c r="D170" s="56" t="n">
        <v>0</v>
      </c>
      <c r="E170" s="56" t="n">
        <v>0</v>
      </c>
      <c r="F170" s="56" t="n">
        <v>0</v>
      </c>
    </row>
    <row r="171" customFormat="false" ht="15" hidden="false" customHeight="false" outlineLevel="0" collapsed="false">
      <c r="A171" s="55" t="n">
        <v>46055</v>
      </c>
      <c r="B171" s="56" t="n">
        <v>0</v>
      </c>
      <c r="C171" s="56" t="n">
        <v>0</v>
      </c>
      <c r="D171" s="56" t="n">
        <v>1</v>
      </c>
      <c r="E171" s="56" t="n">
        <v>0</v>
      </c>
      <c r="F171" s="56" t="n">
        <v>0</v>
      </c>
    </row>
    <row r="172" customFormat="false" ht="15" hidden="false" customHeight="false" outlineLevel="0" collapsed="false">
      <c r="A172" s="55" t="n">
        <v>46062</v>
      </c>
      <c r="B172" s="56" t="n">
        <v>0</v>
      </c>
      <c r="C172" s="56" t="n">
        <v>0</v>
      </c>
      <c r="D172" s="56" t="n">
        <v>0</v>
      </c>
      <c r="E172" s="56" t="n">
        <v>0</v>
      </c>
      <c r="F172" s="56" t="n">
        <v>0</v>
      </c>
    </row>
    <row r="173" customFormat="false" ht="15" hidden="false" customHeight="false" outlineLevel="0" collapsed="false">
      <c r="A173" s="55" t="n">
        <v>46069</v>
      </c>
      <c r="B173" s="56" t="n">
        <v>0</v>
      </c>
      <c r="C173" s="56" t="n">
        <v>0</v>
      </c>
      <c r="D173" s="56" t="n">
        <v>0</v>
      </c>
      <c r="E173" s="56" t="n">
        <v>0</v>
      </c>
      <c r="F173" s="56" t="n">
        <v>0</v>
      </c>
    </row>
    <row r="174" customFormat="false" ht="15" hidden="false" customHeight="false" outlineLevel="0" collapsed="false">
      <c r="A174" s="55" t="n">
        <v>46076</v>
      </c>
      <c r="B174" s="56" t="n">
        <v>0</v>
      </c>
      <c r="C174" s="56" t="n">
        <v>0</v>
      </c>
      <c r="D174" s="56" t="n">
        <v>0</v>
      </c>
      <c r="E174" s="56" t="n">
        <v>0</v>
      </c>
      <c r="F174" s="56" t="n">
        <v>0</v>
      </c>
    </row>
    <row r="175" customFormat="false" ht="15" hidden="false" customHeight="false" outlineLevel="0" collapsed="false">
      <c r="A175" s="55" t="n">
        <v>46083</v>
      </c>
      <c r="B175" s="56" t="n">
        <v>0</v>
      </c>
      <c r="C175" s="56" t="n">
        <v>0</v>
      </c>
      <c r="D175" s="56" t="n">
        <v>0</v>
      </c>
      <c r="E175" s="56" t="n">
        <v>0</v>
      </c>
      <c r="F175" s="56" t="n">
        <v>0</v>
      </c>
    </row>
    <row r="176" customFormat="false" ht="15" hidden="false" customHeight="false" outlineLevel="0" collapsed="false">
      <c r="A176" s="55" t="n">
        <v>46090</v>
      </c>
      <c r="B176" s="56" t="n">
        <v>0</v>
      </c>
      <c r="C176" s="56" t="n">
        <v>0</v>
      </c>
      <c r="D176" s="56" t="n">
        <v>0</v>
      </c>
      <c r="E176" s="56" t="n">
        <v>0</v>
      </c>
      <c r="F176" s="56" t="n">
        <v>0</v>
      </c>
    </row>
    <row r="177" customFormat="false" ht="15" hidden="false" customHeight="false" outlineLevel="0" collapsed="false">
      <c r="A177" s="55" t="n">
        <v>46097</v>
      </c>
      <c r="B177" s="56" t="n">
        <v>1</v>
      </c>
      <c r="C177" s="56" t="n">
        <v>0</v>
      </c>
      <c r="D177" s="56" t="n">
        <v>0</v>
      </c>
      <c r="E177" s="56" t="n">
        <v>0</v>
      </c>
      <c r="F177" s="56" t="n">
        <v>0</v>
      </c>
    </row>
    <row r="178" customFormat="false" ht="15" hidden="false" customHeight="false" outlineLevel="0" collapsed="false">
      <c r="A178" s="55" t="n">
        <v>46104</v>
      </c>
      <c r="B178" s="56" t="n">
        <v>0</v>
      </c>
      <c r="C178" s="56" t="n">
        <v>0</v>
      </c>
      <c r="D178" s="56" t="n">
        <v>0</v>
      </c>
      <c r="E178" s="56" t="n">
        <v>0</v>
      </c>
      <c r="F178" s="56" t="n">
        <v>0</v>
      </c>
    </row>
    <row r="179" customFormat="false" ht="15" hidden="false" customHeight="false" outlineLevel="0" collapsed="false">
      <c r="A179" s="55" t="n">
        <v>46111</v>
      </c>
      <c r="B179" s="56" t="n">
        <v>0</v>
      </c>
      <c r="C179" s="56" t="n">
        <v>0</v>
      </c>
      <c r="D179" s="56" t="n">
        <v>0</v>
      </c>
      <c r="E179" s="56" t="n">
        <v>0</v>
      </c>
      <c r="F179" s="56" t="n">
        <v>0</v>
      </c>
    </row>
    <row r="180" customFormat="false" ht="15" hidden="false" customHeight="false" outlineLevel="0" collapsed="false">
      <c r="A180" s="55" t="n">
        <v>46118</v>
      </c>
      <c r="B180" s="56" t="n">
        <v>3</v>
      </c>
      <c r="C180" s="56" t="n">
        <v>0</v>
      </c>
      <c r="D180" s="56" t="n">
        <v>0</v>
      </c>
      <c r="E180" s="56" t="n">
        <v>0</v>
      </c>
      <c r="F180" s="56" t="n">
        <v>0</v>
      </c>
    </row>
    <row r="181" customFormat="false" ht="15" hidden="false" customHeight="false" outlineLevel="0" collapsed="false">
      <c r="A181" s="55" t="n">
        <v>46125</v>
      </c>
      <c r="B181" s="56" t="n">
        <v>0</v>
      </c>
      <c r="C181" s="56" t="n">
        <v>0</v>
      </c>
      <c r="D181" s="56" t="n">
        <v>0</v>
      </c>
      <c r="E181" s="56" t="n">
        <v>0</v>
      </c>
      <c r="F181" s="56" t="n">
        <v>0</v>
      </c>
    </row>
    <row r="182" customFormat="false" ht="15" hidden="false" customHeight="false" outlineLevel="0" collapsed="false">
      <c r="A182" s="55" t="n">
        <v>46132</v>
      </c>
      <c r="B182" s="56" t="n">
        <v>0</v>
      </c>
      <c r="C182" s="56" t="n">
        <v>0</v>
      </c>
      <c r="D182" s="56" t="n">
        <v>1</v>
      </c>
      <c r="E182" s="56" t="n">
        <v>0</v>
      </c>
      <c r="F182" s="56" t="n">
        <v>0</v>
      </c>
    </row>
    <row r="183" customFormat="false" ht="15" hidden="false" customHeight="false" outlineLevel="0" collapsed="false">
      <c r="A183" s="55" t="n">
        <v>46139</v>
      </c>
      <c r="B183" s="56" t="n">
        <v>1</v>
      </c>
      <c r="C183" s="56" t="n">
        <v>0</v>
      </c>
      <c r="D183" s="56" t="n">
        <v>0</v>
      </c>
      <c r="E183" s="56" t="n">
        <v>0</v>
      </c>
      <c r="F183" s="56" t="n">
        <v>0</v>
      </c>
    </row>
    <row r="184" customFormat="false" ht="15" hidden="false" customHeight="false" outlineLevel="0" collapsed="false">
      <c r="A184" s="55" t="n">
        <v>46146</v>
      </c>
      <c r="B184" s="56" t="n">
        <v>0</v>
      </c>
      <c r="C184" s="56" t="n">
        <v>0</v>
      </c>
      <c r="D184" s="56" t="n">
        <v>2</v>
      </c>
      <c r="E184" s="56" t="n">
        <v>0</v>
      </c>
      <c r="F184" s="56" t="n">
        <v>0</v>
      </c>
    </row>
    <row r="185" customFormat="false" ht="15" hidden="false" customHeight="false" outlineLevel="0" collapsed="false">
      <c r="A185" s="55" t="n">
        <v>46153</v>
      </c>
      <c r="B185" s="56" t="n">
        <v>1</v>
      </c>
      <c r="C185" s="56" t="n">
        <v>0</v>
      </c>
      <c r="D185" s="56" t="n">
        <v>0</v>
      </c>
      <c r="E185" s="56" t="n">
        <v>0</v>
      </c>
      <c r="F185" s="56" t="n">
        <v>0</v>
      </c>
    </row>
    <row r="186" customFormat="false" ht="15" hidden="false" customHeight="false" outlineLevel="0" collapsed="false">
      <c r="A186" s="55" t="n">
        <v>46160</v>
      </c>
      <c r="B186" s="56" t="n">
        <v>0</v>
      </c>
      <c r="C186" s="56" t="n">
        <v>0</v>
      </c>
      <c r="D186" s="56" t="n">
        <v>0</v>
      </c>
      <c r="E186" s="56" t="n">
        <v>0</v>
      </c>
      <c r="F186" s="56" t="n">
        <v>0</v>
      </c>
    </row>
    <row r="187" customFormat="false" ht="15" hidden="false" customHeight="false" outlineLevel="0" collapsed="false">
      <c r="A187" s="55" t="n">
        <v>46167</v>
      </c>
      <c r="B187" s="56" t="n">
        <v>0</v>
      </c>
      <c r="C187" s="56" t="n">
        <v>2</v>
      </c>
      <c r="D187" s="56" t="n">
        <v>0</v>
      </c>
      <c r="E187" s="56" t="n">
        <v>0</v>
      </c>
      <c r="F187" s="56" t="n">
        <v>0</v>
      </c>
    </row>
    <row r="188" customFormat="false" ht="15" hidden="false" customHeight="false" outlineLevel="0" collapsed="false">
      <c r="A188" s="55" t="n">
        <v>46174</v>
      </c>
      <c r="B188" s="56" t="n">
        <v>0</v>
      </c>
      <c r="C188" s="56" t="n">
        <v>0</v>
      </c>
      <c r="D188" s="56" t="n">
        <v>0</v>
      </c>
      <c r="E188" s="56" t="n">
        <v>0</v>
      </c>
      <c r="F188" s="56" t="n">
        <v>0</v>
      </c>
    </row>
    <row r="189" customFormat="false" ht="15" hidden="false" customHeight="false" outlineLevel="0" collapsed="false">
      <c r="A189" s="55" t="n">
        <v>46181</v>
      </c>
      <c r="B189" s="56" t="n">
        <v>0</v>
      </c>
      <c r="C189" s="56" t="n">
        <v>0</v>
      </c>
      <c r="D189" s="56" t="n">
        <v>1</v>
      </c>
      <c r="E189" s="56" t="n">
        <v>0</v>
      </c>
      <c r="F189" s="56" t="n">
        <v>912</v>
      </c>
    </row>
    <row r="190" customFormat="false" ht="15" hidden="false" customHeight="false" outlineLevel="0" collapsed="false">
      <c r="A190" s="55" t="n">
        <v>46188</v>
      </c>
      <c r="B190" s="56" t="n">
        <v>0</v>
      </c>
      <c r="C190" s="56" t="n">
        <v>0</v>
      </c>
      <c r="D190" s="56" t="n">
        <v>0</v>
      </c>
      <c r="E190" s="56" t="n">
        <v>0</v>
      </c>
      <c r="F190" s="56" t="n">
        <v>611</v>
      </c>
    </row>
    <row r="191" customFormat="false" ht="15" hidden="false" customHeight="false" outlineLevel="0" collapsed="false">
      <c r="A191" s="55" t="n">
        <v>46195</v>
      </c>
      <c r="B191" s="56" t="n">
        <v>0</v>
      </c>
      <c r="C191" s="56" t="n">
        <v>0</v>
      </c>
      <c r="D191" s="56" t="n">
        <v>0</v>
      </c>
      <c r="E191" s="56" t="n">
        <v>0</v>
      </c>
      <c r="F191" s="56" t="n">
        <v>0</v>
      </c>
    </row>
    <row r="192" customFormat="false" ht="15" hidden="false" customHeight="false" outlineLevel="0" collapsed="false">
      <c r="A192" s="55" t="n">
        <v>46202</v>
      </c>
      <c r="B192" s="56" t="n">
        <v>0</v>
      </c>
      <c r="C192" s="56" t="n">
        <v>0</v>
      </c>
      <c r="D192" s="56" t="n">
        <v>1</v>
      </c>
      <c r="E192" s="56" t="n">
        <v>0</v>
      </c>
      <c r="F192" s="56" t="n">
        <v>0</v>
      </c>
    </row>
    <row r="193" customFormat="false" ht="15" hidden="false" customHeight="false" outlineLevel="0" collapsed="false">
      <c r="A193" s="55" t="n">
        <v>46209</v>
      </c>
      <c r="B193" s="56" t="n">
        <v>0</v>
      </c>
      <c r="C193" s="56" t="n">
        <v>0</v>
      </c>
      <c r="D193" s="56" t="n">
        <v>0</v>
      </c>
      <c r="E193" s="56" t="n">
        <v>0</v>
      </c>
      <c r="F193" s="56" t="n">
        <v>0</v>
      </c>
    </row>
    <row r="194" customFormat="false" ht="15" hidden="false" customHeight="false" outlineLevel="0" collapsed="false">
      <c r="A194" s="55" t="n">
        <v>46216</v>
      </c>
      <c r="B194" s="56" t="n">
        <v>0</v>
      </c>
      <c r="C194" s="56" t="n">
        <v>0</v>
      </c>
      <c r="D194" s="56" t="n">
        <v>0</v>
      </c>
      <c r="E194" s="56" t="n">
        <v>0</v>
      </c>
      <c r="F194" s="56" t="n">
        <v>0</v>
      </c>
    </row>
    <row r="195" customFormat="false" ht="15" hidden="false" customHeight="false" outlineLevel="0" collapsed="false">
      <c r="A195" s="55" t="n">
        <v>46223</v>
      </c>
      <c r="B195" s="56" t="n">
        <v>0</v>
      </c>
      <c r="C195" s="56" t="n">
        <v>0</v>
      </c>
      <c r="D195" s="56" t="n">
        <v>1</v>
      </c>
      <c r="E195" s="56" t="n">
        <v>0</v>
      </c>
      <c r="F195" s="56" t="n">
        <v>0</v>
      </c>
    </row>
    <row r="196" customFormat="false" ht="15" hidden="false" customHeight="false" outlineLevel="0" collapsed="false">
      <c r="A196" s="55" t="n">
        <v>46230</v>
      </c>
      <c r="B196" s="56" t="n">
        <v>0</v>
      </c>
      <c r="C196" s="56" t="n">
        <v>0</v>
      </c>
      <c r="D196" s="56" t="n">
        <v>1</v>
      </c>
      <c r="E196" s="56" t="n">
        <v>0</v>
      </c>
      <c r="F196" s="56" t="n">
        <v>0</v>
      </c>
    </row>
    <row r="197" customFormat="false" ht="15" hidden="false" customHeight="false" outlineLevel="0" collapsed="false">
      <c r="A197" s="55" t="n">
        <v>46237</v>
      </c>
      <c r="B197" s="56" t="n">
        <v>0</v>
      </c>
      <c r="C197" s="56" t="n">
        <v>0</v>
      </c>
      <c r="D197" s="56" t="n">
        <v>1</v>
      </c>
      <c r="E197" s="56" t="n">
        <v>0</v>
      </c>
      <c r="F197" s="56" t="n">
        <v>0</v>
      </c>
    </row>
    <row r="198" customFormat="false" ht="15" hidden="false" customHeight="false" outlineLevel="0" collapsed="false">
      <c r="A198" s="55" t="n">
        <v>46244</v>
      </c>
      <c r="B198" s="56" t="n">
        <v>0</v>
      </c>
      <c r="C198" s="56" t="n">
        <v>0</v>
      </c>
      <c r="D198" s="56" t="n">
        <v>0</v>
      </c>
      <c r="E198" s="56" t="n">
        <v>0</v>
      </c>
      <c r="F198" s="56" t="n">
        <v>0</v>
      </c>
    </row>
    <row r="199" customFormat="false" ht="15" hidden="false" customHeight="false" outlineLevel="0" collapsed="false">
      <c r="A199" s="55" t="n">
        <v>46251</v>
      </c>
      <c r="B199" s="56" t="n">
        <v>0</v>
      </c>
      <c r="C199" s="56" t="n">
        <v>0</v>
      </c>
      <c r="D199" s="56" t="n">
        <v>0</v>
      </c>
      <c r="E199" s="56" t="n">
        <v>0</v>
      </c>
      <c r="F199" s="56" t="n">
        <v>0</v>
      </c>
    </row>
    <row r="200" customFormat="false" ht="15" hidden="false" customHeight="false" outlineLevel="0" collapsed="false">
      <c r="A200" s="55" t="n">
        <v>46258</v>
      </c>
      <c r="B200" s="56" t="n">
        <v>0</v>
      </c>
      <c r="C200" s="56" t="n">
        <v>0</v>
      </c>
      <c r="D200" s="56" t="n">
        <v>0</v>
      </c>
      <c r="E200" s="56" t="n">
        <v>0</v>
      </c>
      <c r="F200" s="56" t="n">
        <v>0</v>
      </c>
    </row>
    <row r="201" customFormat="false" ht="15" hidden="false" customHeight="false" outlineLevel="0" collapsed="false">
      <c r="A201" s="55" t="n">
        <v>46265</v>
      </c>
      <c r="B201" s="56" t="n">
        <v>0</v>
      </c>
      <c r="C201" s="56" t="n">
        <v>0</v>
      </c>
      <c r="D201" s="56" t="n">
        <v>0</v>
      </c>
      <c r="E201" s="56" t="n">
        <v>0</v>
      </c>
      <c r="F201" s="56" t="n">
        <v>0</v>
      </c>
    </row>
    <row r="202" customFormat="false" ht="15" hidden="false" customHeight="false" outlineLevel="0" collapsed="false">
      <c r="A202" s="55" t="n">
        <v>46272</v>
      </c>
      <c r="B202" s="56" t="n">
        <v>2</v>
      </c>
      <c r="C202" s="56" t="n">
        <v>0</v>
      </c>
      <c r="D202" s="56" t="n">
        <v>0</v>
      </c>
      <c r="E202" s="56" t="n">
        <v>0</v>
      </c>
      <c r="F202" s="56" t="n">
        <v>0</v>
      </c>
    </row>
    <row r="203" customFormat="false" ht="15" hidden="false" customHeight="false" outlineLevel="0" collapsed="false">
      <c r="A203" s="55" t="n">
        <v>46279</v>
      </c>
      <c r="B203" s="56" t="n">
        <v>0</v>
      </c>
      <c r="C203" s="56" t="n">
        <v>0</v>
      </c>
      <c r="D203" s="56" t="n">
        <v>1</v>
      </c>
      <c r="E203" s="56" t="n">
        <v>0</v>
      </c>
      <c r="F203" s="56" t="n">
        <v>0</v>
      </c>
    </row>
    <row r="204" customFormat="false" ht="15" hidden="false" customHeight="false" outlineLevel="0" collapsed="false">
      <c r="A204" s="55" t="n">
        <v>46286</v>
      </c>
      <c r="B204" s="56" t="n">
        <v>0</v>
      </c>
      <c r="C204" s="56" t="n">
        <v>0</v>
      </c>
      <c r="D204" s="56" t="n">
        <v>0</v>
      </c>
      <c r="E204" s="56" t="n">
        <v>0</v>
      </c>
      <c r="F204" s="56" t="n">
        <v>0</v>
      </c>
    </row>
    <row r="205" customFormat="false" ht="15" hidden="false" customHeight="false" outlineLevel="0" collapsed="false">
      <c r="A205" s="55" t="n">
        <v>46293</v>
      </c>
      <c r="B205" s="56" t="n">
        <v>0</v>
      </c>
      <c r="C205" s="56" t="n">
        <v>0</v>
      </c>
      <c r="D205" s="56" t="n">
        <v>1</v>
      </c>
      <c r="E205" s="56" t="n">
        <v>0</v>
      </c>
      <c r="F205" s="56" t="n">
        <v>0</v>
      </c>
    </row>
    <row r="206" customFormat="false" ht="15" hidden="false" customHeight="false" outlineLevel="0" collapsed="false">
      <c r="A206" s="55" t="n">
        <v>46300</v>
      </c>
      <c r="B206" s="56" t="n">
        <v>0</v>
      </c>
      <c r="C206" s="56" t="n">
        <v>0</v>
      </c>
      <c r="D206" s="56" t="n">
        <v>0</v>
      </c>
      <c r="E206" s="56" t="n">
        <v>0</v>
      </c>
      <c r="F206" s="56" t="n">
        <v>0</v>
      </c>
    </row>
    <row r="207" customFormat="false" ht="15" hidden="false" customHeight="false" outlineLevel="0" collapsed="false">
      <c r="A207" s="55" t="n">
        <v>46307</v>
      </c>
      <c r="B207" s="56" t="n">
        <v>1</v>
      </c>
      <c r="C207" s="56" t="n">
        <v>0</v>
      </c>
      <c r="D207" s="56" t="n">
        <v>0</v>
      </c>
      <c r="E207" s="56" t="n">
        <v>0</v>
      </c>
      <c r="F207" s="56" t="n">
        <v>0</v>
      </c>
    </row>
  </sheetData>
  <mergeCells count="3">
    <mergeCell ref="H27:T27"/>
    <mergeCell ref="H28:T28"/>
    <mergeCell ref="H29:T29"/>
  </mergeCells>
  <conditionalFormatting sqref="B5:F207">
    <cfRule type="colorScale" priority="2">
      <colorScale>
        <cfvo type="num" val="0"/>
        <cfvo type="max" val="0"/>
        <color rgb="FFFFFFFF"/>
        <color rgb="FFF4B18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60"/>
  </cols>
  <sheetData>
    <row r="1" customFormat="false" ht="31.5" hidden="false" customHeight="true" outlineLevel="0" collapsed="false">
      <c r="A1" s="1" t="s">
        <v>261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9.5" hidden="false" customHeight="true" outlineLevel="0" collapsed="false">
      <c r="A2" s="3" t="s">
        <v>262</v>
      </c>
      <c r="B2" s="4"/>
      <c r="C2" s="4"/>
      <c r="D2" s="4"/>
      <c r="E2" s="4"/>
      <c r="F2" s="4"/>
      <c r="G2" s="4"/>
      <c r="H2" s="4"/>
      <c r="I2" s="4"/>
      <c r="J2" s="4"/>
    </row>
    <row r="4" customFormat="false" ht="21.75" hidden="false" customHeight="true" outlineLevel="0" collapsed="false">
      <c r="A4" s="5" t="s">
        <v>263</v>
      </c>
      <c r="B4" s="6"/>
      <c r="C4" s="6"/>
      <c r="D4" s="6"/>
      <c r="E4" s="6"/>
      <c r="F4" s="6"/>
      <c r="G4" s="6"/>
      <c r="H4" s="6"/>
      <c r="I4" s="6"/>
      <c r="J4" s="6"/>
    </row>
    <row r="5" customFormat="false" ht="31.5" hidden="false" customHeight="true" outlineLevel="0" collapsed="false">
      <c r="A5" s="30" t="s">
        <v>264</v>
      </c>
      <c r="B5" s="30" t="s">
        <v>265</v>
      </c>
      <c r="C5" s="30" t="s">
        <v>3</v>
      </c>
      <c r="D5" s="30" t="s">
        <v>266</v>
      </c>
      <c r="E5" s="30" t="s">
        <v>267</v>
      </c>
      <c r="F5" s="30" t="s">
        <v>4</v>
      </c>
      <c r="G5" s="30" t="s">
        <v>55</v>
      </c>
      <c r="H5" s="30" t="s">
        <v>58</v>
      </c>
      <c r="I5" s="30" t="s">
        <v>268</v>
      </c>
      <c r="J5" s="30" t="s">
        <v>269</v>
      </c>
    </row>
    <row r="6" customFormat="false" ht="15" hidden="false" customHeight="false" outlineLevel="0" collapsed="false">
      <c r="A6" s="59" t="s">
        <v>65</v>
      </c>
      <c r="B6" s="60" t="n">
        <f aca="false">COUNTIFS('All Videos'!$F$5:$F$76,A6)</f>
        <v>50</v>
      </c>
      <c r="C6" s="61" t="n">
        <f aca="false">SUMIFS('All Videos'!$J$5:$J$76,'All Videos'!$F$5:$F$76,A6)</f>
        <v>21011</v>
      </c>
      <c r="D6" s="62" t="n">
        <f aca="false">IF(SUM('All Videos'!$J$5:$J$76)=0,0,C6/SUM('All Videos'!$J$5:$J$76))</f>
        <v>0.805636503067485</v>
      </c>
      <c r="E6" s="61" t="n">
        <f aca="false">IF(B6=0,0,C6/B6)</f>
        <v>420.22</v>
      </c>
      <c r="F6" s="63" t="n">
        <f aca="false">SUMIFS('All Videos'!$K$5:$K$76,'All Videos'!$F$5:$F$76,A6)</f>
        <v>40.222</v>
      </c>
      <c r="G6" s="64" t="n">
        <f aca="false">SUMIFS('All Videos'!$L$5:$L$76,'All Videos'!$F$5:$F$76,A6)</f>
        <v>14</v>
      </c>
      <c r="H6" s="63" t="n">
        <f aca="false">IF(C6=0,0,G6/C6*1000)</f>
        <v>0.666317643139308</v>
      </c>
      <c r="I6" s="62" t="n">
        <f aca="false">IFERROR(SUMPRODUCT(('All Videos'!$F$5:$F$76=A6)*'All Videos'!$M$5:$M$76*'All Videos'!$N$5:$N$76)/SUMIFS('All Videos'!$M$5:$M$76,'All Videos'!$F$5:$F$76,A6),0)</f>
        <v>0.0638364274352574</v>
      </c>
      <c r="J6" s="54" t="s">
        <v>270</v>
      </c>
    </row>
    <row r="7" customFormat="false" ht="15" hidden="false" customHeight="false" outlineLevel="0" collapsed="false">
      <c r="A7" s="59" t="s">
        <v>72</v>
      </c>
      <c r="B7" s="60" t="n">
        <f aca="false">COUNTIFS('All Videos'!$F$5:$F$76,A7)</f>
        <v>4</v>
      </c>
      <c r="C7" s="61" t="n">
        <f aca="false">SUMIFS('All Videos'!$J$5:$J$76,'All Videos'!$F$5:$F$76,A7)</f>
        <v>2696</v>
      </c>
      <c r="D7" s="62" t="n">
        <f aca="false">IF(SUM('All Videos'!$J$5:$J$76)=0,0,C7/SUM('All Videos'!$J$5:$J$76))</f>
        <v>0.103374233128834</v>
      </c>
      <c r="E7" s="61" t="n">
        <f aca="false">IF(B7=0,0,C7/B7)</f>
        <v>674</v>
      </c>
      <c r="F7" s="63" t="n">
        <f aca="false">SUMIFS('All Videos'!$K$5:$K$76,'All Videos'!$F$5:$F$76,A7)</f>
        <v>11.2559</v>
      </c>
      <c r="G7" s="64" t="n">
        <f aca="false">SUMIFS('All Videos'!$L$5:$L$76,'All Videos'!$F$5:$F$76,A7)</f>
        <v>2</v>
      </c>
      <c r="H7" s="63" t="n">
        <f aca="false">IF(C7=0,0,G7/C7*1000)</f>
        <v>0.741839762611276</v>
      </c>
      <c r="I7" s="62" t="n">
        <f aca="false">IFERROR(SUMPRODUCT(('All Videos'!$F$5:$F$76=A7)*'All Videos'!$M$5:$M$76*'All Videos'!$N$5:$N$76)/SUMIFS('All Videos'!$M$5:$M$76,'All Videos'!$F$5:$F$76,A7),0)</f>
        <v>0.0086900778771272</v>
      </c>
      <c r="J7" s="54" t="s">
        <v>271</v>
      </c>
    </row>
    <row r="8" customFormat="false" ht="15" hidden="false" customHeight="false" outlineLevel="0" collapsed="false">
      <c r="A8" s="59" t="s">
        <v>100</v>
      </c>
      <c r="B8" s="60" t="n">
        <f aca="false">COUNTIFS('All Videos'!$F$5:$F$76,A8)</f>
        <v>14</v>
      </c>
      <c r="C8" s="61" t="n">
        <f aca="false">SUMIFS('All Videos'!$J$5:$J$76,'All Videos'!$F$5:$F$76,A8)</f>
        <v>1963</v>
      </c>
      <c r="D8" s="62" t="n">
        <f aca="false">IF(SUM('All Videos'!$J$5:$J$76)=0,0,C8/SUM('All Videos'!$J$5:$J$76))</f>
        <v>0.0752684049079755</v>
      </c>
      <c r="E8" s="61" t="n">
        <f aca="false">IF(B8=0,0,C8/B8)</f>
        <v>140.214285714286</v>
      </c>
      <c r="F8" s="63" t="n">
        <f aca="false">SUMIFS('All Videos'!$K$5:$K$76,'All Videos'!$F$5:$F$76,A8)</f>
        <v>12.1717</v>
      </c>
      <c r="G8" s="64" t="n">
        <f aca="false">SUMIFS('All Videos'!$L$5:$L$76,'All Videos'!$F$5:$F$76,A8)</f>
        <v>3</v>
      </c>
      <c r="H8" s="63" t="n">
        <f aca="false">IF(C8=0,0,G8/C8*1000)</f>
        <v>1.52827305145186</v>
      </c>
      <c r="I8" s="62" t="n">
        <f aca="false">IFERROR(SUMPRODUCT(('All Videos'!$F$5:$F$76=A8)*'All Videos'!$M$5:$M$76*'All Videos'!$N$5:$N$76)/SUMIFS('All Videos'!$M$5:$M$76,'All Videos'!$F$5:$F$76,A8),0)</f>
        <v>0.0452406809101963</v>
      </c>
      <c r="J8" s="54" t="s">
        <v>272</v>
      </c>
    </row>
    <row r="9" customFormat="false" ht="15" hidden="false" customHeight="false" outlineLevel="0" collapsed="false">
      <c r="A9" s="59" t="s">
        <v>123</v>
      </c>
      <c r="B9" s="60" t="n">
        <f aca="false">COUNTIFS('All Videos'!$F$5:$F$76,A9)</f>
        <v>3</v>
      </c>
      <c r="C9" s="61" t="n">
        <f aca="false">SUMIFS('All Videos'!$J$5:$J$76,'All Videos'!$F$5:$F$76,A9)</f>
        <v>410</v>
      </c>
      <c r="D9" s="62" t="n">
        <f aca="false">IF(SUM('All Videos'!$J$5:$J$76)=0,0,C9/SUM('All Videos'!$J$5:$J$76))</f>
        <v>0.0157208588957055</v>
      </c>
      <c r="E9" s="61" t="n">
        <f aca="false">IF(B9=0,0,C9/B9)</f>
        <v>136.666666666667</v>
      </c>
      <c r="F9" s="63" t="n">
        <f aca="false">SUMIFS('All Videos'!$K$5:$K$76,'All Videos'!$F$5:$F$76,A9)</f>
        <v>0.9662</v>
      </c>
      <c r="G9" s="64" t="n">
        <f aca="false">SUMIFS('All Videos'!$L$5:$L$76,'All Videos'!$F$5:$F$76,A9)</f>
        <v>1</v>
      </c>
      <c r="H9" s="63" t="n">
        <f aca="false">IF(C9=0,0,G9/C9*1000)</f>
        <v>2.4390243902439</v>
      </c>
      <c r="I9" s="62" t="n">
        <f aca="false">IFERROR(SUMPRODUCT(('All Videos'!$F$5:$F$76=A9)*'All Videos'!$M$5:$M$76*'All Videos'!$N$5:$N$76)/SUMIFS('All Videos'!$M$5:$M$76,'All Videos'!$F$5:$F$76,A9),0)</f>
        <v>0.0189610947368421</v>
      </c>
      <c r="J9" s="54" t="s">
        <v>273</v>
      </c>
    </row>
    <row r="10" customFormat="false" ht="15" hidden="false" customHeight="false" outlineLevel="0" collapsed="false">
      <c r="A10" s="59" t="s">
        <v>205</v>
      </c>
      <c r="B10" s="60" t="n">
        <f aca="false">COUNTIFS('All Videos'!$F$5:$F$76,A10)</f>
        <v>1</v>
      </c>
      <c r="C10" s="61" t="n">
        <f aca="false">SUMIFS('All Videos'!$J$5:$J$76,'All Videos'!$F$5:$F$76,A10)</f>
        <v>0</v>
      </c>
      <c r="D10" s="62" t="n">
        <f aca="false">IF(SUM('All Videos'!$J$5:$J$76)=0,0,C10/SUM('All Videos'!$J$5:$J$76))</f>
        <v>0</v>
      </c>
      <c r="E10" s="61" t="n">
        <f aca="false">IF(B10=0,0,C10/B10)</f>
        <v>0</v>
      </c>
      <c r="F10" s="63" t="n">
        <f aca="false">SUMIFS('All Videos'!$K$5:$K$76,'All Videos'!$F$5:$F$76,A10)</f>
        <v>0</v>
      </c>
      <c r="G10" s="64" t="n">
        <f aca="false">SUMIFS('All Videos'!$L$5:$L$76,'All Videos'!$F$5:$F$76,A10)</f>
        <v>0</v>
      </c>
      <c r="H10" s="63" t="n">
        <f aca="false">IF(C10=0,0,G10/C10*1000)</f>
        <v>0</v>
      </c>
      <c r="I10" s="62" t="n">
        <f aca="false">IFERROR(SUMPRODUCT(('All Videos'!$F$5:$F$76=A10)*'All Videos'!$M$5:$M$76*'All Videos'!$N$5:$N$76)/SUMIFS('All Videos'!$M$5:$M$76,'All Videos'!$F$5:$F$76,A10),0)</f>
        <v>0</v>
      </c>
      <c r="J10" s="54" t="s">
        <v>274</v>
      </c>
    </row>
    <row r="12" customFormat="false" ht="21.75" hidden="false" customHeight="true" outlineLevel="0" collapsed="false">
      <c r="A12" s="5" t="s">
        <v>275</v>
      </c>
      <c r="B12" s="6"/>
      <c r="C12" s="6"/>
      <c r="D12" s="6"/>
      <c r="E12" s="6"/>
      <c r="F12" s="6"/>
      <c r="G12" s="6"/>
      <c r="H12" s="6"/>
      <c r="I12" s="6"/>
      <c r="J12" s="6"/>
    </row>
    <row r="13" customFormat="false" ht="31.5" hidden="false" customHeight="true" outlineLevel="0" collapsed="false">
      <c r="A13" s="30" t="s">
        <v>264</v>
      </c>
      <c r="B13" s="30" t="s">
        <v>265</v>
      </c>
      <c r="C13" s="30" t="s">
        <v>3</v>
      </c>
      <c r="D13" s="30" t="s">
        <v>266</v>
      </c>
      <c r="E13" s="30" t="s">
        <v>267</v>
      </c>
      <c r="F13" s="30" t="s">
        <v>4</v>
      </c>
      <c r="G13" s="30" t="s">
        <v>55</v>
      </c>
      <c r="H13" s="30" t="s">
        <v>58</v>
      </c>
      <c r="I13" s="30" t="s">
        <v>268</v>
      </c>
      <c r="J13" s="30" t="s">
        <v>269</v>
      </c>
    </row>
    <row r="14" customFormat="false" ht="23.85" hidden="false" customHeight="false" outlineLevel="0" collapsed="false">
      <c r="A14" s="59" t="s">
        <v>66</v>
      </c>
      <c r="B14" s="60" t="n">
        <f aca="false">COUNTIFS('All Videos'!$G$5:$G$76,A14)</f>
        <v>26</v>
      </c>
      <c r="C14" s="61" t="n">
        <f aca="false">SUMIFS('All Videos'!$J$5:$J$76,'All Videos'!$G$5:$G$76,A14)</f>
        <v>17191</v>
      </c>
      <c r="D14" s="62" t="n">
        <f aca="false">IF(SUM('All Videos'!$J$5:$J$76)=0,0,C14/SUM('All Videos'!$J$5:$J$76))</f>
        <v>0.659164110429448</v>
      </c>
      <c r="E14" s="61" t="n">
        <f aca="false">IF(B14=0,0,C14/B14)</f>
        <v>661.192307692308</v>
      </c>
      <c r="F14" s="63" t="n">
        <f aca="false">SUMIFS('All Videos'!$K$5:$K$76,'All Videos'!$G$5:$G$76,A14)</f>
        <v>13.5495</v>
      </c>
      <c r="G14" s="64" t="n">
        <f aca="false">SUMIFS('All Videos'!$L$5:$L$76,'All Videos'!$G$5:$G$76,A14)</f>
        <v>8</v>
      </c>
      <c r="H14" s="63" t="n">
        <f aca="false">IF(C14=0,0,G14/C14*1000)</f>
        <v>0.465359781280903</v>
      </c>
      <c r="I14" s="62" t="n">
        <f aca="false">IFERROR(SUMPRODUCT(('All Videos'!$G$5:$G$76=A14)*'All Videos'!$M$5:$M$76*'All Videos'!$N$5:$N$76)/SUMIFS('All Videos'!$M$5:$M$76,'All Videos'!$G$5:$G$76,A14),0)</f>
        <v>0.0693760928393822</v>
      </c>
      <c r="J14" s="54" t="s">
        <v>276</v>
      </c>
    </row>
    <row r="15" customFormat="false" ht="15" hidden="false" customHeight="false" outlineLevel="0" collapsed="false">
      <c r="A15" s="59" t="s">
        <v>82</v>
      </c>
      <c r="B15" s="60" t="n">
        <f aca="false">COUNTIFS('All Videos'!$G$5:$G$76,A15)</f>
        <v>24</v>
      </c>
      <c r="C15" s="61" t="n">
        <f aca="false">SUMIFS('All Videos'!$J$5:$J$76,'All Videos'!$G$5:$G$76,A15)</f>
        <v>3820</v>
      </c>
      <c r="D15" s="62" t="n">
        <f aca="false">IF(SUM('All Videos'!$J$5:$J$76)=0,0,C15/SUM('All Videos'!$J$5:$J$76))</f>
        <v>0.146472392638037</v>
      </c>
      <c r="E15" s="61" t="n">
        <f aca="false">IF(B15=0,0,C15/B15)</f>
        <v>159.166666666667</v>
      </c>
      <c r="F15" s="63" t="n">
        <f aca="false">SUMIFS('All Videos'!$K$5:$K$76,'All Videos'!$G$5:$G$76,A15)</f>
        <v>26.6725</v>
      </c>
      <c r="G15" s="64" t="n">
        <f aca="false">SUMIFS('All Videos'!$L$5:$L$76,'All Videos'!$G$5:$G$76,A15)</f>
        <v>6</v>
      </c>
      <c r="H15" s="63" t="n">
        <f aca="false">IF(C15=0,0,G15/C15*1000)</f>
        <v>1.57068062827225</v>
      </c>
      <c r="I15" s="62" t="n">
        <f aca="false">IFERROR(SUMPRODUCT(('All Videos'!$G$5:$G$76=A15)*'All Videos'!$M$5:$M$76*'All Videos'!$N$5:$N$76)/SUMIFS('All Videos'!$M$5:$M$76,'All Videos'!$G$5:$G$76,A15),0)</f>
        <v>0.0463412232461356</v>
      </c>
      <c r="J15" s="54" t="s">
        <v>277</v>
      </c>
    </row>
    <row r="16" customFormat="false" ht="15" hidden="false" customHeight="false" outlineLevel="0" collapsed="false">
      <c r="A16" s="59" t="s">
        <v>73</v>
      </c>
      <c r="B16" s="60" t="n">
        <f aca="false">COUNTIFS('All Videos'!$G$5:$G$76,A16)</f>
        <v>22</v>
      </c>
      <c r="C16" s="61" t="n">
        <f aca="false">SUMIFS('All Videos'!$J$5:$J$76,'All Videos'!$G$5:$G$76,A16)</f>
        <v>5069</v>
      </c>
      <c r="D16" s="62" t="n">
        <f aca="false">IF(SUM('All Videos'!$J$5:$J$76)=0,0,C16/SUM('All Videos'!$J$5:$J$76))</f>
        <v>0.194363496932515</v>
      </c>
      <c r="E16" s="61" t="n">
        <f aca="false">IF(B16=0,0,C16/B16)</f>
        <v>230.409090909091</v>
      </c>
      <c r="F16" s="63" t="n">
        <f aca="false">SUMIFS('All Videos'!$K$5:$K$76,'All Videos'!$G$5:$G$76,A16)</f>
        <v>24.3938</v>
      </c>
      <c r="G16" s="64" t="n">
        <f aca="false">SUMIFS('All Videos'!$L$5:$L$76,'All Videos'!$G$5:$G$76,A16)</f>
        <v>6</v>
      </c>
      <c r="H16" s="63" t="n">
        <f aca="false">IF(C16=0,0,G16/C16*1000)</f>
        <v>1.18366541724206</v>
      </c>
      <c r="I16" s="62" t="n">
        <f aca="false">IFERROR(SUMPRODUCT(('All Videos'!$G$5:$G$76=A16)*'All Videos'!$M$5:$M$76*'All Videos'!$N$5:$N$76)/SUMIFS('All Videos'!$M$5:$M$76,'All Videos'!$G$5:$G$76,A16),0)</f>
        <v>0.0256975210879669</v>
      </c>
      <c r="J16" s="54" t="s">
        <v>278</v>
      </c>
    </row>
    <row r="18" customFormat="false" ht="21.75" hidden="false" customHeight="true" outlineLevel="0" collapsed="false">
      <c r="A18" s="5" t="s">
        <v>279</v>
      </c>
      <c r="B18" s="6"/>
      <c r="C18" s="6"/>
      <c r="D18" s="6"/>
      <c r="E18" s="6"/>
      <c r="F18" s="6"/>
      <c r="G18" s="6"/>
      <c r="H18" s="6"/>
      <c r="I18" s="6"/>
      <c r="J18" s="6"/>
    </row>
    <row r="19" customFormat="false" ht="31.5" hidden="false" customHeight="true" outlineLevel="0" collapsed="false">
      <c r="A19" s="30" t="s">
        <v>264</v>
      </c>
      <c r="B19" s="30" t="s">
        <v>265</v>
      </c>
      <c r="C19" s="30" t="s">
        <v>3</v>
      </c>
      <c r="D19" s="30" t="s">
        <v>266</v>
      </c>
      <c r="E19" s="30" t="s">
        <v>267</v>
      </c>
      <c r="F19" s="30" t="s">
        <v>4</v>
      </c>
      <c r="G19" s="30" t="s">
        <v>55</v>
      </c>
      <c r="H19" s="30" t="s">
        <v>58</v>
      </c>
      <c r="I19" s="30" t="s">
        <v>268</v>
      </c>
      <c r="J19" s="30" t="s">
        <v>269</v>
      </c>
    </row>
    <row r="20" customFormat="false" ht="15" hidden="false" customHeight="false" outlineLevel="0" collapsed="false">
      <c r="A20" s="59" t="s">
        <v>67</v>
      </c>
      <c r="B20" s="60" t="n">
        <f aca="false">COUNTIFS('All Videos'!$H$5:$H$76,A20)</f>
        <v>66</v>
      </c>
      <c r="C20" s="61" t="n">
        <f aca="false">SUMIFS('All Videos'!$J$5:$J$76,'All Videos'!$H$5:$H$76,A20)</f>
        <v>24562</v>
      </c>
      <c r="D20" s="62" t="n">
        <f aca="false">IF(SUM('All Videos'!$J$5:$J$76)=0,0,C20/SUM('All Videos'!$J$5:$J$76))</f>
        <v>0.941794478527607</v>
      </c>
      <c r="E20" s="61" t="n">
        <f aca="false">IF(B20=0,0,C20/B20)</f>
        <v>372.151515151515</v>
      </c>
      <c r="F20" s="63" t="n">
        <f aca="false">SUMIFS('All Videos'!$K$5:$K$76,'All Videos'!$H$5:$H$76,A20)</f>
        <v>45.3527</v>
      </c>
      <c r="G20" s="64" t="n">
        <f aca="false">SUMIFS('All Videos'!$L$5:$L$76,'All Videos'!$H$5:$H$76,A20)</f>
        <v>18</v>
      </c>
      <c r="H20" s="63" t="n">
        <f aca="false">IF(C20=0,0,G20/C20*1000)</f>
        <v>0.732839345330185</v>
      </c>
      <c r="I20" s="62" t="n">
        <f aca="false">IFERROR(SUMPRODUCT(('All Videos'!$H$5:$H$76=A20)*'All Videos'!$M$5:$M$76*'All Videos'!$N$5:$N$76)/SUMIFS('All Videos'!$M$5:$M$76,'All Videos'!$H$5:$H$76,A20),0)</f>
        <v>0.0576570114778249</v>
      </c>
      <c r="J20" s="54" t="s">
        <v>280</v>
      </c>
    </row>
    <row r="21" customFormat="false" ht="23.85" hidden="false" customHeight="false" outlineLevel="0" collapsed="false">
      <c r="A21" s="59" t="s">
        <v>83</v>
      </c>
      <c r="B21" s="60" t="n">
        <f aca="false">COUNTIFS('All Videos'!$H$5:$H$76,A21)</f>
        <v>5</v>
      </c>
      <c r="C21" s="61" t="n">
        <f aca="false">SUMIFS('All Videos'!$J$5:$J$76,'All Videos'!$H$5:$H$76,A21)</f>
        <v>1518</v>
      </c>
      <c r="D21" s="62" t="n">
        <f aca="false">IF(SUM('All Videos'!$J$5:$J$76)=0,0,C21/SUM('All Videos'!$J$5:$J$76))</f>
        <v>0.0582055214723926</v>
      </c>
      <c r="E21" s="61" t="n">
        <f aca="false">IF(B21=0,0,C21/B21)</f>
        <v>303.6</v>
      </c>
      <c r="F21" s="63" t="n">
        <f aca="false">SUMIFS('All Videos'!$K$5:$K$76,'All Videos'!$H$5:$H$76,A21)</f>
        <v>19.2631</v>
      </c>
      <c r="G21" s="64" t="n">
        <f aca="false">SUMIFS('All Videos'!$L$5:$L$76,'All Videos'!$H$5:$H$76,A21)</f>
        <v>2</v>
      </c>
      <c r="H21" s="63" t="n">
        <f aca="false">IF(C21=0,0,G21/C21*1000)</f>
        <v>1.31752305665349</v>
      </c>
      <c r="I21" s="62" t="n">
        <f aca="false">IFERROR(SUMPRODUCT(('All Videos'!$H$5:$H$76=A21)*'All Videos'!$M$5:$M$76*'All Videos'!$N$5:$N$76)/SUMIFS('All Videos'!$M$5:$M$76,'All Videos'!$H$5:$H$76,A21),0)</f>
        <v>0.0649517922702089</v>
      </c>
      <c r="J21" s="54" t="s">
        <v>281</v>
      </c>
    </row>
    <row r="22" customFormat="false" ht="15" hidden="false" customHeight="false" outlineLevel="0" collapsed="false">
      <c r="A22" s="59" t="s">
        <v>206</v>
      </c>
      <c r="B22" s="60" t="n">
        <f aca="false">COUNTIFS('All Videos'!$H$5:$H$76,A22)</f>
        <v>1</v>
      </c>
      <c r="C22" s="61" t="n">
        <f aca="false">SUMIFS('All Videos'!$J$5:$J$76,'All Videos'!$H$5:$H$76,A22)</f>
        <v>0</v>
      </c>
      <c r="D22" s="62" t="n">
        <f aca="false">IF(SUM('All Videos'!$J$5:$J$76)=0,0,C22/SUM('All Videos'!$J$5:$J$76))</f>
        <v>0</v>
      </c>
      <c r="E22" s="61" t="n">
        <f aca="false">IF(B22=0,0,C22/B22)</f>
        <v>0</v>
      </c>
      <c r="F22" s="63" t="n">
        <f aca="false">SUMIFS('All Videos'!$K$5:$K$76,'All Videos'!$H$5:$H$76,A22)</f>
        <v>0</v>
      </c>
      <c r="G22" s="64" t="n">
        <f aca="false">SUMIFS('All Videos'!$L$5:$L$76,'All Videos'!$H$5:$H$76,A22)</f>
        <v>0</v>
      </c>
      <c r="H22" s="63" t="n">
        <f aca="false">IF(C22=0,0,G22/C22*1000)</f>
        <v>0</v>
      </c>
      <c r="I22" s="62" t="n">
        <f aca="false">IFERROR(SUMPRODUCT(('All Videos'!$H$5:$H$76=A22)*'All Videos'!$M$5:$M$76*'All Videos'!$N$5:$N$76)/SUMIFS('All Videos'!$M$5:$M$76,'All Videos'!$H$5:$H$76,A22),0)</f>
        <v>0</v>
      </c>
      <c r="J22" s="54" t="s">
        <v>282</v>
      </c>
    </row>
    <row r="24" customFormat="false" ht="21.75" hidden="false" customHeight="true" outlineLevel="0" collapsed="false">
      <c r="A24" s="5" t="s">
        <v>283</v>
      </c>
      <c r="B24" s="6"/>
      <c r="C24" s="6"/>
      <c r="D24" s="6"/>
      <c r="E24" s="6"/>
      <c r="F24" s="6"/>
      <c r="G24" s="6"/>
      <c r="H24" s="6"/>
      <c r="I24" s="6"/>
      <c r="J24" s="6"/>
    </row>
    <row r="25" customFormat="false" ht="31.5" hidden="false" customHeight="true" outlineLevel="0" collapsed="false">
      <c r="A25" s="30" t="s">
        <v>264</v>
      </c>
      <c r="B25" s="30" t="s">
        <v>265</v>
      </c>
      <c r="C25" s="30" t="s">
        <v>3</v>
      </c>
      <c r="D25" s="30" t="s">
        <v>266</v>
      </c>
      <c r="E25" s="30" t="s">
        <v>267</v>
      </c>
      <c r="F25" s="30" t="s">
        <v>4</v>
      </c>
      <c r="G25" s="30" t="s">
        <v>55</v>
      </c>
      <c r="H25" s="30" t="s">
        <v>58</v>
      </c>
      <c r="I25" s="30" t="s">
        <v>268</v>
      </c>
      <c r="J25" s="30" t="s">
        <v>269</v>
      </c>
    </row>
    <row r="26" customFormat="false" ht="23.85" hidden="false" customHeight="false" outlineLevel="0" collapsed="false">
      <c r="A26" s="59" t="s">
        <v>284</v>
      </c>
      <c r="B26" s="60" t="n">
        <f aca="false">COUNTIFS('All Videos'!$T$5:$T$76,A26)</f>
        <v>41</v>
      </c>
      <c r="C26" s="61" t="n">
        <f aca="false">SUMIFS('All Videos'!$J$5:$J$76,'All Videos'!$T$5:$T$76,A26)</f>
        <v>16037</v>
      </c>
      <c r="D26" s="62" t="n">
        <f aca="false">IF(SUM('All Videos'!$J$5:$J$76)=0,0,C26/SUM('All Videos'!$J$5:$J$76))</f>
        <v>0.614915644171779</v>
      </c>
      <c r="E26" s="61" t="n">
        <f aca="false">IF(B26=0,0,C26/B26)</f>
        <v>391.146341463415</v>
      </c>
      <c r="F26" s="63" t="n">
        <f aca="false">SUMIFS('All Videos'!$K$5:$K$76,'All Videos'!$T$5:$T$76,A26)</f>
        <v>13.6303</v>
      </c>
      <c r="G26" s="64" t="n">
        <f aca="false">SUMIFS('All Videos'!$L$5:$L$76,'All Videos'!$T$5:$T$76,A26)</f>
        <v>8</v>
      </c>
      <c r="H26" s="63" t="n">
        <f aca="false">IF(C26=0,0,G26/C26*1000)</f>
        <v>0.498846417659163</v>
      </c>
      <c r="I26" s="62" t="n">
        <f aca="false">IFERROR(SUMPRODUCT(('All Videos'!$T$5:$T$76=A26)*'All Videos'!$M$5:$M$76*'All Videos'!$N$5:$N$76)/SUMIFS('All Videos'!$M$5:$M$76,'All Videos'!$T$5:$T$76,A26),0)</f>
        <v>0.0670778514766177</v>
      </c>
      <c r="J26" s="54" t="s">
        <v>285</v>
      </c>
    </row>
    <row r="27" customFormat="false" ht="15" hidden="false" customHeight="false" outlineLevel="0" collapsed="false">
      <c r="A27" s="59" t="s">
        <v>286</v>
      </c>
      <c r="B27" s="60" t="n">
        <f aca="false">COUNTIFS('All Videos'!$T$5:$T$76,A27)</f>
        <v>19</v>
      </c>
      <c r="C27" s="61" t="n">
        <f aca="false">SUMIFS('All Videos'!$J$5:$J$76,'All Videos'!$T$5:$T$76,A27)</f>
        <v>6643</v>
      </c>
      <c r="D27" s="62" t="n">
        <f aca="false">IF(SUM('All Videos'!$J$5:$J$76)=0,0,C27/SUM('All Videos'!$J$5:$J$76))</f>
        <v>0.254716257668712</v>
      </c>
      <c r="E27" s="61" t="n">
        <f aca="false">IF(B27=0,0,C27/B27)</f>
        <v>349.631578947368</v>
      </c>
      <c r="F27" s="63" t="n">
        <f aca="false">SUMIFS('All Videos'!$K$5:$K$76,'All Videos'!$T$5:$T$76,A27)</f>
        <v>24.3112</v>
      </c>
      <c r="G27" s="64" t="n">
        <f aca="false">SUMIFS('All Videos'!$L$5:$L$76,'All Videos'!$T$5:$T$76,A27)</f>
        <v>7</v>
      </c>
      <c r="H27" s="63" t="n">
        <f aca="false">IF(C27=0,0,G27/C27*1000)</f>
        <v>1.05374077976818</v>
      </c>
      <c r="I27" s="62" t="n">
        <f aca="false">IFERROR(SUMPRODUCT(('All Videos'!$T$5:$T$76=A27)*'All Videos'!$M$5:$M$76*'All Videos'!$N$5:$N$76)/SUMIFS('All Videos'!$M$5:$M$76,'All Videos'!$T$5:$T$76,A27),0)</f>
        <v>0.0267910160900772</v>
      </c>
      <c r="J27" s="54" t="s">
        <v>287</v>
      </c>
    </row>
    <row r="28" customFormat="false" ht="15" hidden="false" customHeight="false" outlineLevel="0" collapsed="false">
      <c r="A28" s="59" t="s">
        <v>288</v>
      </c>
      <c r="B28" s="60" t="n">
        <f aca="false">COUNTIFS('All Videos'!$T$5:$T$76,A28)</f>
        <v>7</v>
      </c>
      <c r="C28" s="61" t="n">
        <f aca="false">SUMIFS('All Videos'!$J$5:$J$76,'All Videos'!$T$5:$T$76,A28)</f>
        <v>1882</v>
      </c>
      <c r="D28" s="62" t="n">
        <f aca="false">IF(SUM('All Videos'!$J$5:$J$76)=0,0,C28/SUM('All Videos'!$J$5:$J$76))</f>
        <v>0.0721625766871166</v>
      </c>
      <c r="E28" s="61" t="n">
        <f aca="false">IF(B28=0,0,C28/B28)</f>
        <v>268.857142857143</v>
      </c>
      <c r="F28" s="63" t="n">
        <f aca="false">SUMIFS('All Videos'!$K$5:$K$76,'All Videos'!$T$5:$T$76,A28)</f>
        <v>7.4112</v>
      </c>
      <c r="G28" s="64" t="n">
        <f aca="false">SUMIFS('All Videos'!$L$5:$L$76,'All Videos'!$T$5:$T$76,A28)</f>
        <v>3</v>
      </c>
      <c r="H28" s="63" t="n">
        <f aca="false">IF(C28=0,0,G28/C28*1000)</f>
        <v>1.59404888416578</v>
      </c>
      <c r="I28" s="62" t="n">
        <f aca="false">IFERROR(SUMPRODUCT(('All Videos'!$T$5:$T$76=A28)*'All Videos'!$M$5:$M$76*'All Videos'!$N$5:$N$76)/SUMIFS('All Videos'!$M$5:$M$76,'All Videos'!$T$5:$T$76,A28),0)</f>
        <v>0.037465465012296</v>
      </c>
      <c r="J28" s="54" t="s">
        <v>289</v>
      </c>
    </row>
    <row r="29" customFormat="false" ht="15" hidden="false" customHeight="false" outlineLevel="0" collapsed="false">
      <c r="A29" s="59" t="s">
        <v>290</v>
      </c>
      <c r="B29" s="60" t="n">
        <f aca="false">COUNTIFS('All Videos'!$T$5:$T$76,A29)</f>
        <v>5</v>
      </c>
      <c r="C29" s="61" t="n">
        <f aca="false">SUMIFS('All Videos'!$J$5:$J$76,'All Videos'!$T$5:$T$76,A29)</f>
        <v>1518</v>
      </c>
      <c r="D29" s="62" t="n">
        <f aca="false">IF(SUM('All Videos'!$J$5:$J$76)=0,0,C29/SUM('All Videos'!$J$5:$J$76))</f>
        <v>0.0582055214723926</v>
      </c>
      <c r="E29" s="61" t="n">
        <f aca="false">IF(B29=0,0,C29/B29)</f>
        <v>303.6</v>
      </c>
      <c r="F29" s="63" t="n">
        <f aca="false">SUMIFS('All Videos'!$K$5:$K$76,'All Videos'!$T$5:$T$76,A29)</f>
        <v>19.2631</v>
      </c>
      <c r="G29" s="64" t="n">
        <f aca="false">SUMIFS('All Videos'!$L$5:$L$76,'All Videos'!$T$5:$T$76,A29)</f>
        <v>2</v>
      </c>
      <c r="H29" s="63" t="n">
        <f aca="false">IF(C29=0,0,G29/C29*1000)</f>
        <v>1.31752305665349</v>
      </c>
      <c r="I29" s="62" t="n">
        <f aca="false">IFERROR(SUMPRODUCT(('All Videos'!$T$5:$T$76=A29)*'All Videos'!$M$5:$M$76*'All Videos'!$N$5:$N$76)/SUMIFS('All Videos'!$M$5:$M$76,'All Videos'!$T$5:$T$76,A29),0)</f>
        <v>0.0649517922702089</v>
      </c>
      <c r="J29" s="54" t="s">
        <v>291</v>
      </c>
    </row>
    <row r="31" customFormat="false" ht="21.75" hidden="false" customHeight="true" outlineLevel="0" collapsed="false">
      <c r="A31" s="5" t="s">
        <v>292</v>
      </c>
      <c r="B31" s="6"/>
      <c r="C31" s="6"/>
      <c r="D31" s="6"/>
      <c r="E31" s="6"/>
      <c r="F31" s="6"/>
      <c r="G31" s="6"/>
      <c r="H31" s="6"/>
      <c r="I31" s="6"/>
      <c r="J31" s="6"/>
    </row>
    <row r="32" customFormat="false" ht="31.5" hidden="false" customHeight="true" outlineLevel="0" collapsed="false">
      <c r="A32" s="30" t="s">
        <v>264</v>
      </c>
      <c r="B32" s="30" t="s">
        <v>265</v>
      </c>
      <c r="C32" s="30" t="s">
        <v>3</v>
      </c>
      <c r="D32" s="30" t="s">
        <v>266</v>
      </c>
      <c r="E32" s="30" t="s">
        <v>267</v>
      </c>
      <c r="F32" s="30" t="s">
        <v>4</v>
      </c>
      <c r="G32" s="30" t="s">
        <v>55</v>
      </c>
      <c r="H32" s="30" t="s">
        <v>58</v>
      </c>
      <c r="I32" s="30" t="s">
        <v>268</v>
      </c>
      <c r="J32" s="30" t="s">
        <v>269</v>
      </c>
    </row>
    <row r="33" customFormat="false" ht="15" hidden="false" customHeight="false" outlineLevel="0" collapsed="false">
      <c r="A33" s="59" t="s">
        <v>293</v>
      </c>
      <c r="B33" s="60" t="n">
        <f aca="false">COUNTIFS('All Videos'!$S$5:$S$76,A33)</f>
        <v>32</v>
      </c>
      <c r="C33" s="61" t="n">
        <f aca="false">SUMIFS('All Videos'!$J$5:$J$76,'All Videos'!$S$5:$S$76,A33)</f>
        <v>17787</v>
      </c>
      <c r="D33" s="62" t="n">
        <f aca="false">IF(SUM('All Videos'!$J$5:$J$76)=0,0,C33/SUM('All Videos'!$J$5:$J$76))</f>
        <v>0.682016871165644</v>
      </c>
      <c r="E33" s="61" t="n">
        <f aca="false">IF(B33=0,0,C33/B33)</f>
        <v>555.84375</v>
      </c>
      <c r="F33" s="63" t="n">
        <f aca="false">SUMIFS('All Videos'!$K$5:$K$76,'All Videos'!$S$5:$S$76,A33)</f>
        <v>31.4594</v>
      </c>
      <c r="G33" s="64" t="n">
        <f aca="false">SUMIFS('All Videos'!$L$5:$L$76,'All Videos'!$S$5:$S$76,A33)</f>
        <v>11</v>
      </c>
      <c r="H33" s="63" t="n">
        <f aca="false">IF(C33=0,0,G33/C33*1000)</f>
        <v>0.618429189857761</v>
      </c>
      <c r="I33" s="62" t="n">
        <f aca="false">IFERROR(SUMPRODUCT(('All Videos'!$S$5:$S$76=A33)*'All Videos'!$M$5:$M$76*'All Videos'!$N$5:$N$76)/SUMIFS('All Videos'!$M$5:$M$76,'All Videos'!$S$5:$S$76,A33),0)</f>
        <v>0.0727557746033858</v>
      </c>
      <c r="J33" s="54" t="s">
        <v>294</v>
      </c>
    </row>
    <row r="34" customFormat="false" ht="15" hidden="false" customHeight="false" outlineLevel="0" collapsed="false">
      <c r="A34" s="59" t="s">
        <v>295</v>
      </c>
      <c r="B34" s="60" t="n">
        <f aca="false">COUNTIFS('All Videos'!$S$5:$S$76,A34)</f>
        <v>8</v>
      </c>
      <c r="C34" s="61" t="n">
        <f aca="false">SUMIFS('All Videos'!$J$5:$J$76,'All Videos'!$S$5:$S$76,A34)</f>
        <v>4282</v>
      </c>
      <c r="D34" s="62" t="n">
        <f aca="false">IF(SUM('All Videos'!$J$5:$J$76)=0,0,C34/SUM('All Videos'!$J$5:$J$76))</f>
        <v>0.164187116564417</v>
      </c>
      <c r="E34" s="61" t="n">
        <f aca="false">IF(B34=0,0,C34/B34)</f>
        <v>535.25</v>
      </c>
      <c r="F34" s="63" t="n">
        <f aca="false">SUMIFS('All Videos'!$K$5:$K$76,'All Videos'!$S$5:$S$76,A34)</f>
        <v>13.2776</v>
      </c>
      <c r="G34" s="64" t="n">
        <f aca="false">SUMIFS('All Videos'!$L$5:$L$76,'All Videos'!$S$5:$S$76,A34)</f>
        <v>1</v>
      </c>
      <c r="H34" s="63" t="n">
        <f aca="false">IF(C34=0,0,G34/C34*1000)</f>
        <v>0.233535730966838</v>
      </c>
      <c r="I34" s="62" t="n">
        <f aca="false">IFERROR(SUMPRODUCT(('All Videos'!$S$5:$S$76=A34)*'All Videos'!$M$5:$M$76*'All Videos'!$N$5:$N$76)/SUMIFS('All Videos'!$M$5:$M$76,'All Videos'!$S$5:$S$76,A34),0)</f>
        <v>0.0337384940200146</v>
      </c>
      <c r="J34" s="54" t="s">
        <v>296</v>
      </c>
    </row>
    <row r="35" customFormat="false" ht="23.85" hidden="false" customHeight="false" outlineLevel="0" collapsed="false">
      <c r="A35" s="59" t="s">
        <v>297</v>
      </c>
      <c r="B35" s="60" t="n">
        <f aca="false">COUNTIFS('All Videos'!$S$5:$S$76,A35)</f>
        <v>32</v>
      </c>
      <c r="C35" s="61" t="n">
        <f aca="false">SUMIFS('All Videos'!$J$5:$J$76,'All Videos'!$S$5:$S$76,A35)</f>
        <v>4011</v>
      </c>
      <c r="D35" s="62" t="n">
        <f aca="false">IF(SUM('All Videos'!$J$5:$J$76)=0,0,C35/SUM('All Videos'!$J$5:$J$76))</f>
        <v>0.153796012269939</v>
      </c>
      <c r="E35" s="61" t="n">
        <f aca="false">IF(B35=0,0,C35/B35)</f>
        <v>125.34375</v>
      </c>
      <c r="F35" s="63" t="n">
        <f aca="false">SUMIFS('All Videos'!$K$5:$K$76,'All Videos'!$S$5:$S$76,A35)</f>
        <v>19.8788</v>
      </c>
      <c r="G35" s="64" t="n">
        <f aca="false">SUMIFS('All Videos'!$L$5:$L$76,'All Videos'!$S$5:$S$76,A35)</f>
        <v>8</v>
      </c>
      <c r="H35" s="63" t="n">
        <f aca="false">IF(C35=0,0,G35/C35*1000)</f>
        <v>1.99451508352032</v>
      </c>
      <c r="I35" s="62" t="n">
        <f aca="false">IFERROR(SUMPRODUCT(('All Videos'!$S$5:$S$76=A35)*'All Videos'!$M$5:$M$76*'All Videos'!$N$5:$N$76)/SUMIFS('All Videos'!$M$5:$M$76,'All Videos'!$S$5:$S$76,A35),0)</f>
        <v>0.0372733877299237</v>
      </c>
      <c r="J35" s="54" t="s">
        <v>298</v>
      </c>
    </row>
    <row r="37" customFormat="false" ht="21.75" hidden="false" customHeight="true" outlineLevel="0" collapsed="false">
      <c r="A37" s="5" t="s">
        <v>299</v>
      </c>
      <c r="B37" s="6"/>
      <c r="C37" s="6"/>
      <c r="D37" s="6"/>
      <c r="E37" s="6"/>
      <c r="F37" s="6"/>
      <c r="G37" s="6"/>
      <c r="H37" s="6"/>
      <c r="I37" s="6"/>
      <c r="J37" s="6"/>
    </row>
    <row r="38" customFormat="false" ht="31.5" hidden="false" customHeight="true" outlineLevel="0" collapsed="false">
      <c r="A38" s="30" t="s">
        <v>264</v>
      </c>
      <c r="B38" s="30" t="s">
        <v>265</v>
      </c>
      <c r="C38" s="30" t="s">
        <v>3</v>
      </c>
      <c r="D38" s="30" t="s">
        <v>266</v>
      </c>
      <c r="E38" s="30" t="s">
        <v>267</v>
      </c>
      <c r="F38" s="30" t="s">
        <v>4</v>
      </c>
      <c r="G38" s="30" t="s">
        <v>55</v>
      </c>
      <c r="H38" s="30" t="s">
        <v>58</v>
      </c>
      <c r="I38" s="30" t="s">
        <v>268</v>
      </c>
      <c r="J38" s="30" t="s">
        <v>269</v>
      </c>
    </row>
    <row r="39" customFormat="false" ht="15" hidden="false" customHeight="false" outlineLevel="0" collapsed="false">
      <c r="A39" s="59" t="n">
        <v>2022</v>
      </c>
      <c r="B39" s="60" t="n">
        <f aca="false">COUNTIFS('All Videos'!$E$5:$E$76,A39)</f>
        <v>11</v>
      </c>
      <c r="C39" s="61" t="n">
        <f aca="false">SUMIFS('All Videos'!$J$5:$J$76,'All Videos'!$E$5:$E$76,A39)</f>
        <v>4910</v>
      </c>
      <c r="D39" s="62" t="n">
        <f aca="false">IF(SUM('All Videos'!$J$5:$J$76)=0,0,C39/SUM('All Videos'!$J$5:$J$76))</f>
        <v>0.188266871165644</v>
      </c>
      <c r="E39" s="61" t="n">
        <f aca="false">IF(B39=0,0,C39/B39)</f>
        <v>446.363636363636</v>
      </c>
      <c r="F39" s="63" t="n">
        <f aca="false">SUMIFS('All Videos'!$K$5:$K$76,'All Videos'!$E$5:$E$76,A39)</f>
        <v>29.0008</v>
      </c>
      <c r="G39" s="64" t="n">
        <f aca="false">SUMIFS('All Videos'!$L$5:$L$76,'All Videos'!$E$5:$E$76,A39)</f>
        <v>6</v>
      </c>
      <c r="H39" s="63" t="n">
        <f aca="false">IF(C39=0,0,G39/C39*1000)</f>
        <v>1.22199592668024</v>
      </c>
      <c r="I39" s="62" t="n">
        <f aca="false">IFERROR(SUMPRODUCT(('All Videos'!$E$5:$E$76=A39)*'All Videos'!$M$5:$M$76*'All Videos'!$N$5:$N$76)/SUMIFS('All Videos'!$M$5:$M$76,'All Videos'!$E$5:$E$76,A39),0)</f>
        <v>0.0353950534083634</v>
      </c>
      <c r="J39" s="54" t="s">
        <v>300</v>
      </c>
    </row>
    <row r="40" customFormat="false" ht="15" hidden="false" customHeight="false" outlineLevel="0" collapsed="false">
      <c r="A40" s="59" t="n">
        <v>2023</v>
      </c>
      <c r="B40" s="60" t="n">
        <f aca="false">COUNTIFS('All Videos'!$E$5:$E$76,A40)</f>
        <v>20</v>
      </c>
      <c r="C40" s="61" t="n">
        <f aca="false">SUMIFS('All Videos'!$J$5:$J$76,'All Videos'!$E$5:$E$76,A40)</f>
        <v>10940</v>
      </c>
      <c r="D40" s="62" t="n">
        <f aca="false">IF(SUM('All Videos'!$J$5:$J$76)=0,0,C40/SUM('All Videos'!$J$5:$J$76))</f>
        <v>0.419478527607362</v>
      </c>
      <c r="E40" s="61" t="n">
        <f aca="false">IF(B40=0,0,C40/B40)</f>
        <v>547</v>
      </c>
      <c r="F40" s="63" t="n">
        <f aca="false">SUMIFS('All Videos'!$K$5:$K$76,'All Videos'!$E$5:$E$76,A40)</f>
        <v>20.0777</v>
      </c>
      <c r="G40" s="64" t="n">
        <f aca="false">SUMIFS('All Videos'!$L$5:$L$76,'All Videos'!$E$5:$E$76,A40)</f>
        <v>12</v>
      </c>
      <c r="H40" s="63" t="n">
        <f aca="false">IF(C40=0,0,G40/C40*1000)</f>
        <v>1.09689213893967</v>
      </c>
      <c r="I40" s="62" t="n">
        <f aca="false">IFERROR(SUMPRODUCT(('All Videos'!$E$5:$E$76=A40)*'All Videos'!$M$5:$M$76*'All Videos'!$N$5:$N$76)/SUMIFS('All Videos'!$M$5:$M$76,'All Videos'!$E$5:$E$76,A40),0)</f>
        <v>0.0739264538863032</v>
      </c>
      <c r="J40" s="54" t="s">
        <v>301</v>
      </c>
    </row>
    <row r="41" customFormat="false" ht="15" hidden="false" customHeight="false" outlineLevel="0" collapsed="false">
      <c r="A41" s="59" t="n">
        <v>2024</v>
      </c>
      <c r="B41" s="60" t="n">
        <f aca="false">COUNTIFS('All Videos'!$E$5:$E$76,A41)</f>
        <v>7</v>
      </c>
      <c r="C41" s="61" t="n">
        <f aca="false">SUMIFS('All Videos'!$J$5:$J$76,'All Videos'!$E$5:$E$76,A41)</f>
        <v>451</v>
      </c>
      <c r="D41" s="62" t="n">
        <f aca="false">IF(SUM('All Videos'!$J$5:$J$76)=0,0,C41/SUM('All Videos'!$J$5:$J$76))</f>
        <v>0.0172929447852761</v>
      </c>
      <c r="E41" s="61" t="n">
        <f aca="false">IF(B41=0,0,C41/B41)</f>
        <v>64.4285714285714</v>
      </c>
      <c r="F41" s="63" t="n">
        <f aca="false">SUMIFS('All Videos'!$K$5:$K$76,'All Videos'!$E$5:$E$76,A41)</f>
        <v>3.4654</v>
      </c>
      <c r="G41" s="64" t="n">
        <f aca="false">SUMIFS('All Videos'!$L$5:$L$76,'All Videos'!$E$5:$E$76,A41)</f>
        <v>-1</v>
      </c>
      <c r="H41" s="63" t="n">
        <f aca="false">IF(C41=0,0,G41/C41*1000)</f>
        <v>-2.21729490022173</v>
      </c>
      <c r="I41" s="62" t="n">
        <f aca="false">IFERROR(SUMPRODUCT(('All Videos'!$E$5:$E$76=A41)*'All Videos'!$M$5:$M$76*'All Videos'!$N$5:$N$76)/SUMIFS('All Videos'!$M$5:$M$76,'All Videos'!$E$5:$E$76,A41),0)</f>
        <v>0.0536009931719429</v>
      </c>
      <c r="J41" s="54" t="s">
        <v>302</v>
      </c>
    </row>
    <row r="42" customFormat="false" ht="15" hidden="false" customHeight="false" outlineLevel="0" collapsed="false">
      <c r="A42" s="59" t="n">
        <v>2025</v>
      </c>
      <c r="B42" s="60" t="n">
        <f aca="false">COUNTIFS('All Videos'!$E$5:$E$76,A42)</f>
        <v>14</v>
      </c>
      <c r="C42" s="61" t="n">
        <f aca="false">SUMIFS('All Videos'!$J$5:$J$76,'All Videos'!$E$5:$E$76,A42)</f>
        <v>4984</v>
      </c>
      <c r="D42" s="62" t="n">
        <f aca="false">IF(SUM('All Videos'!$J$5:$J$76)=0,0,C42/SUM('All Videos'!$J$5:$J$76))</f>
        <v>0.191104294478528</v>
      </c>
      <c r="E42" s="61" t="n">
        <f aca="false">IF(B42=0,0,C42/B42)</f>
        <v>356</v>
      </c>
      <c r="F42" s="63" t="n">
        <f aca="false">SUMIFS('All Videos'!$K$5:$K$76,'All Videos'!$E$5:$E$76,A42)</f>
        <v>3.2001</v>
      </c>
      <c r="G42" s="64" t="n">
        <f aca="false">SUMIFS('All Videos'!$L$5:$L$76,'All Videos'!$E$5:$E$76,A42)</f>
        <v>1</v>
      </c>
      <c r="H42" s="63" t="n">
        <f aca="false">IF(C42=0,0,G42/C42*1000)</f>
        <v>0.200642054574639</v>
      </c>
      <c r="I42" s="62" t="n">
        <f aca="false">IFERROR(SUMPRODUCT(('All Videos'!$E$5:$E$76=A42)*'All Videos'!$M$5:$M$76*'All Videos'!$N$5:$N$76)/SUMIFS('All Videos'!$M$5:$M$76,'All Videos'!$E$5:$E$76,A42),0)</f>
        <v>0.00452986425339367</v>
      </c>
      <c r="J42" s="54" t="s">
        <v>303</v>
      </c>
    </row>
    <row r="43" customFormat="false" ht="15" hidden="false" customHeight="false" outlineLevel="0" collapsed="false">
      <c r="A43" s="59" t="n">
        <v>2026</v>
      </c>
      <c r="B43" s="60" t="n">
        <f aca="false">COUNTIFS('All Videos'!$E$5:$E$76,A43)</f>
        <v>20</v>
      </c>
      <c r="C43" s="61" t="n">
        <f aca="false">SUMIFS('All Videos'!$J$5:$J$76,'All Videos'!$E$5:$E$76,A43)</f>
        <v>4795</v>
      </c>
      <c r="D43" s="62" t="n">
        <f aca="false">IF(SUM('All Videos'!$J$5:$J$76)=0,0,C43/SUM('All Videos'!$J$5:$J$76))</f>
        <v>0.18385736196319</v>
      </c>
      <c r="E43" s="61" t="n">
        <f aca="false">IF(B43=0,0,C43/B43)</f>
        <v>239.75</v>
      </c>
      <c r="F43" s="63" t="n">
        <f aca="false">SUMIFS('All Videos'!$K$5:$K$76,'All Videos'!$E$5:$E$76,A43)</f>
        <v>8.8718</v>
      </c>
      <c r="G43" s="64" t="n">
        <f aca="false">SUMIFS('All Videos'!$L$5:$L$76,'All Videos'!$E$5:$E$76,A43)</f>
        <v>2</v>
      </c>
      <c r="H43" s="63" t="n">
        <f aca="false">IF(C43=0,0,G43/C43*1000)</f>
        <v>0.417101147028154</v>
      </c>
      <c r="I43" s="62" t="n">
        <f aca="false">IFERROR(SUMPRODUCT(('All Videos'!$E$5:$E$76=A43)*'All Videos'!$M$5:$M$76*'All Videos'!$N$5:$N$76)/SUMIFS('All Videos'!$M$5:$M$76,'All Videos'!$E$5:$E$76,A43),0)</f>
        <v>0.0366723060744773</v>
      </c>
      <c r="J43" s="54" t="s">
        <v>304</v>
      </c>
    </row>
    <row r="44" customFormat="false" ht="15" hidden="false" customHeight="false" outlineLevel="0" collapsed="false">
      <c r="A44" s="65" t="s">
        <v>305</v>
      </c>
      <c r="B44" s="65"/>
      <c r="C44" s="65"/>
      <c r="D44" s="65"/>
      <c r="E44" s="65"/>
      <c r="F44" s="65"/>
      <c r="G44" s="65"/>
      <c r="H44" s="65"/>
      <c r="I44" s="65"/>
      <c r="J44" s="65"/>
    </row>
  </sheetData>
  <mergeCells count="1">
    <mergeCell ref="A44:J44"/>
  </mergeCells>
  <conditionalFormatting sqref="E6:E1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6:H10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6:D10">
    <cfRule type="dataBar" priority="4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{7274D3BC-2785-48EE-8FC0-C645144A9324}</x14:id>
        </ext>
      </extLst>
    </cfRule>
  </conditionalFormatting>
  <conditionalFormatting sqref="E14:E1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14:H16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14:D16">
    <cfRule type="dataBar" priority="7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{8719FEFA-ACD6-4932-99DA-2D8FFE3EC6B4}</x14:id>
        </ext>
      </extLst>
    </cfRule>
  </conditionalFormatting>
  <conditionalFormatting sqref="E20:E2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0:H22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0:D22">
    <cfRule type="dataBar" priority="10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{41F8E77F-689E-4364-81B8-4B9C212E0010}</x14:id>
        </ext>
      </extLst>
    </cfRule>
  </conditionalFormatting>
  <conditionalFormatting sqref="E26:E29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6:H29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6:D29">
    <cfRule type="dataBar" priority="13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{D13EF51F-83E2-4A2F-985F-99E88590F173}</x14:id>
        </ext>
      </extLst>
    </cfRule>
  </conditionalFormatting>
  <conditionalFormatting sqref="E33:E35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33:H35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33:D35">
    <cfRule type="dataBar" priority="16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{A35DFDFB-E4F6-4953-A8A0-F06EABD81BB6}</x14:id>
        </ext>
      </extLst>
    </cfRule>
  </conditionalFormatting>
  <conditionalFormatting sqref="E39:E43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39:H43">
    <cfRule type="colorScale" priority="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39:D43">
    <cfRule type="dataBar" priority="19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{70E9D9BE-7722-41CA-A9F5-81A384A99C94}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74D3BC-2785-48EE-8FC0-C645144A932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D6:D10</xm:sqref>
        </x14:conditionalFormatting>
        <x14:conditionalFormatting xmlns:xm="http://schemas.microsoft.com/office/excel/2006/main">
          <x14:cfRule type="dataBar" id="{8719FEFA-ACD6-4932-99DA-2D8FFE3EC6B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D14:D16</xm:sqref>
        </x14:conditionalFormatting>
        <x14:conditionalFormatting xmlns:xm="http://schemas.microsoft.com/office/excel/2006/main">
          <x14:cfRule type="dataBar" id="{41F8E77F-689E-4364-81B8-4B9C212E001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D20:D22</xm:sqref>
        </x14:conditionalFormatting>
        <x14:conditionalFormatting xmlns:xm="http://schemas.microsoft.com/office/excel/2006/main">
          <x14:cfRule type="dataBar" id="{D13EF51F-83E2-4A2F-985F-99E88590F17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D26:D29</xm:sqref>
        </x14:conditionalFormatting>
        <x14:conditionalFormatting xmlns:xm="http://schemas.microsoft.com/office/excel/2006/main">
          <x14:cfRule type="dataBar" id="{A35DFDFB-E4F6-4953-A8A0-F06EABD81BB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D33:D35</xm:sqref>
        </x14:conditionalFormatting>
        <x14:conditionalFormatting xmlns:xm="http://schemas.microsoft.com/office/excel/2006/main">
          <x14:cfRule type="dataBar" id="{70E9D9BE-7722-41CA-A9F5-81A384A99C9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D39:D43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46"/>
    <col collapsed="false" customWidth="true" hidden="false" outlineLevel="0" max="5" min="5" style="0" width="42"/>
    <col collapsed="false" customWidth="true" hidden="false" outlineLevel="0" max="6" min="6" style="0" width="46"/>
  </cols>
  <sheetData>
    <row r="1" customFormat="false" ht="31.5" hidden="false" customHeight="true" outlineLevel="0" collapsed="false">
      <c r="A1" s="1" t="s">
        <v>306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307</v>
      </c>
      <c r="B2" s="4"/>
      <c r="C2" s="4"/>
      <c r="D2" s="4"/>
      <c r="E2" s="4"/>
      <c r="F2" s="4"/>
    </row>
    <row r="4" customFormat="false" ht="31.5" hidden="false" customHeight="true" outlineLevel="0" collapsed="false">
      <c r="A4" s="30" t="s">
        <v>36</v>
      </c>
      <c r="B4" s="30" t="s">
        <v>308</v>
      </c>
      <c r="C4" s="30" t="s">
        <v>309</v>
      </c>
      <c r="D4" s="30" t="s">
        <v>310</v>
      </c>
      <c r="E4" s="30" t="s">
        <v>311</v>
      </c>
      <c r="F4" s="30" t="s">
        <v>312</v>
      </c>
    </row>
    <row r="5" customFormat="false" ht="78" hidden="false" customHeight="true" outlineLevel="0" collapsed="false">
      <c r="A5" s="66" t="n">
        <v>1</v>
      </c>
      <c r="B5" s="18" t="s">
        <v>26</v>
      </c>
      <c r="C5" s="67" t="s">
        <v>313</v>
      </c>
      <c r="D5" s="67" t="s">
        <v>314</v>
      </c>
      <c r="E5" s="67" t="s">
        <v>315</v>
      </c>
      <c r="F5" s="67" t="s">
        <v>316</v>
      </c>
    </row>
    <row r="6" customFormat="false" ht="78" hidden="false" customHeight="true" outlineLevel="0" collapsed="false">
      <c r="A6" s="66" t="n">
        <v>2</v>
      </c>
      <c r="B6" s="18" t="s">
        <v>26</v>
      </c>
      <c r="C6" s="67" t="s">
        <v>317</v>
      </c>
      <c r="D6" s="67" t="s">
        <v>318</v>
      </c>
      <c r="E6" s="67" t="s">
        <v>319</v>
      </c>
      <c r="F6" s="67" t="s">
        <v>320</v>
      </c>
    </row>
    <row r="7" customFormat="false" ht="78" hidden="false" customHeight="true" outlineLevel="0" collapsed="false">
      <c r="A7" s="66" t="n">
        <v>3</v>
      </c>
      <c r="B7" s="20" t="s">
        <v>29</v>
      </c>
      <c r="C7" s="67" t="s">
        <v>321</v>
      </c>
      <c r="D7" s="67" t="s">
        <v>322</v>
      </c>
      <c r="E7" s="67" t="s">
        <v>323</v>
      </c>
      <c r="F7" s="67" t="s">
        <v>324</v>
      </c>
    </row>
    <row r="8" customFormat="false" ht="78" hidden="false" customHeight="true" outlineLevel="0" collapsed="false">
      <c r="A8" s="66" t="n">
        <v>4</v>
      </c>
      <c r="B8" s="20" t="s">
        <v>29</v>
      </c>
      <c r="C8" s="67" t="s">
        <v>325</v>
      </c>
      <c r="D8" s="67" t="s">
        <v>326</v>
      </c>
      <c r="E8" s="67" t="s">
        <v>327</v>
      </c>
      <c r="F8" s="67" t="s">
        <v>328</v>
      </c>
    </row>
    <row r="9" customFormat="false" ht="78" hidden="false" customHeight="true" outlineLevel="0" collapsed="false">
      <c r="A9" s="66" t="n">
        <v>5</v>
      </c>
      <c r="B9" s="20" t="s">
        <v>29</v>
      </c>
      <c r="C9" s="67" t="s">
        <v>329</v>
      </c>
      <c r="D9" s="67" t="s">
        <v>330</v>
      </c>
      <c r="E9" s="67" t="s">
        <v>331</v>
      </c>
      <c r="F9" s="67" t="s">
        <v>332</v>
      </c>
    </row>
    <row r="10" customFormat="false" ht="78" hidden="false" customHeight="true" outlineLevel="0" collapsed="false">
      <c r="A10" s="66" t="n">
        <v>6</v>
      </c>
      <c r="B10" s="20" t="s">
        <v>29</v>
      </c>
      <c r="C10" s="67" t="s">
        <v>333</v>
      </c>
      <c r="D10" s="67" t="s">
        <v>334</v>
      </c>
      <c r="E10" s="67" t="s">
        <v>335</v>
      </c>
      <c r="F10" s="67" t="s">
        <v>336</v>
      </c>
    </row>
    <row r="11" customFormat="false" ht="78" hidden="false" customHeight="true" outlineLevel="0" collapsed="false">
      <c r="A11" s="66" t="n">
        <v>7</v>
      </c>
      <c r="B11" s="18" t="s">
        <v>26</v>
      </c>
      <c r="C11" s="67" t="s">
        <v>337</v>
      </c>
      <c r="D11" s="67" t="s">
        <v>338</v>
      </c>
      <c r="E11" s="67" t="s">
        <v>339</v>
      </c>
      <c r="F11" s="67" t="s">
        <v>340</v>
      </c>
    </row>
    <row r="12" customFormat="false" ht="78" hidden="false" customHeight="true" outlineLevel="0" collapsed="false">
      <c r="A12" s="66" t="n">
        <v>8</v>
      </c>
      <c r="B12" s="68" t="s">
        <v>341</v>
      </c>
      <c r="C12" s="67" t="s">
        <v>342</v>
      </c>
      <c r="D12" s="67" t="s">
        <v>343</v>
      </c>
      <c r="E12" s="67" t="s">
        <v>344</v>
      </c>
      <c r="F12" s="67" t="s">
        <v>345</v>
      </c>
    </row>
    <row r="13" customFormat="false" ht="78" hidden="false" customHeight="true" outlineLevel="0" collapsed="false">
      <c r="A13" s="66" t="n">
        <v>9</v>
      </c>
      <c r="B13" s="20" t="s">
        <v>29</v>
      </c>
      <c r="C13" s="67" t="s">
        <v>346</v>
      </c>
      <c r="D13" s="67" t="s">
        <v>347</v>
      </c>
      <c r="E13" s="67" t="s">
        <v>348</v>
      </c>
      <c r="F13" s="67" t="s">
        <v>349</v>
      </c>
    </row>
    <row r="14" customFormat="false" ht="78" hidden="false" customHeight="true" outlineLevel="0" collapsed="false">
      <c r="A14" s="66" t="n">
        <v>10</v>
      </c>
      <c r="B14" s="21" t="s">
        <v>33</v>
      </c>
      <c r="C14" s="67" t="s">
        <v>350</v>
      </c>
      <c r="D14" s="67" t="s">
        <v>351</v>
      </c>
      <c r="E14" s="67" t="s">
        <v>352</v>
      </c>
      <c r="F14" s="67" t="s">
        <v>353</v>
      </c>
    </row>
    <row r="15" customFormat="false" ht="78" hidden="false" customHeight="true" outlineLevel="0" collapsed="false">
      <c r="A15" s="66" t="n">
        <v>11</v>
      </c>
      <c r="B15" s="21" t="s">
        <v>33</v>
      </c>
      <c r="C15" s="67" t="s">
        <v>354</v>
      </c>
      <c r="D15" s="67" t="s">
        <v>355</v>
      </c>
      <c r="E15" s="67" t="s">
        <v>356</v>
      </c>
      <c r="F15" s="67" t="s">
        <v>357</v>
      </c>
    </row>
    <row r="16" customFormat="false" ht="78" hidden="false" customHeight="true" outlineLevel="0" collapsed="false">
      <c r="A16" s="66" t="n">
        <v>12</v>
      </c>
      <c r="B16" s="20" t="s">
        <v>29</v>
      </c>
      <c r="C16" s="67" t="s">
        <v>358</v>
      </c>
      <c r="D16" s="67" t="s">
        <v>359</v>
      </c>
      <c r="E16" s="67" t="s">
        <v>360</v>
      </c>
      <c r="F16" s="67" t="s">
        <v>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8"/>
    <col collapsed="false" customWidth="true" hidden="false" outlineLevel="0" max="3" min="3" style="0" width="52"/>
    <col collapsed="false" customWidth="true" hidden="false" outlineLevel="0" max="4" min="4" style="0" width="40"/>
  </cols>
  <sheetData>
    <row r="1" customFormat="false" ht="31.5" hidden="false" customHeight="true" outlineLevel="0" collapsed="false">
      <c r="A1" s="1" t="s">
        <v>362</v>
      </c>
      <c r="B1" s="2"/>
      <c r="C1" s="2"/>
      <c r="D1" s="2"/>
    </row>
    <row r="2" customFormat="false" ht="19.5" hidden="false" customHeight="true" outlineLevel="0" collapsed="false">
      <c r="A2" s="3" t="s">
        <v>363</v>
      </c>
      <c r="B2" s="4"/>
      <c r="C2" s="4"/>
      <c r="D2" s="4"/>
    </row>
    <row r="4" customFormat="false" ht="31.5" hidden="false" customHeight="true" outlineLevel="0" collapsed="false">
      <c r="A4" s="30" t="s">
        <v>364</v>
      </c>
      <c r="B4" s="30" t="s">
        <v>365</v>
      </c>
      <c r="C4" s="30" t="s">
        <v>366</v>
      </c>
      <c r="D4" s="30" t="s">
        <v>367</v>
      </c>
    </row>
    <row r="5" customFormat="false" ht="72" hidden="false" customHeight="true" outlineLevel="0" collapsed="false">
      <c r="A5" s="66" t="s">
        <v>368</v>
      </c>
      <c r="B5" s="67" t="s">
        <v>369</v>
      </c>
      <c r="C5" s="67" t="s">
        <v>370</v>
      </c>
      <c r="D5" s="69" t="s">
        <v>371</v>
      </c>
    </row>
    <row r="6" customFormat="false" ht="72" hidden="false" customHeight="true" outlineLevel="0" collapsed="false">
      <c r="A6" s="66" t="s">
        <v>372</v>
      </c>
      <c r="B6" s="67" t="s">
        <v>373</v>
      </c>
      <c r="C6" s="67" t="s">
        <v>374</v>
      </c>
      <c r="D6" s="69" t="s">
        <v>371</v>
      </c>
    </row>
    <row r="7" customFormat="false" ht="72" hidden="false" customHeight="true" outlineLevel="0" collapsed="false">
      <c r="A7" s="66" t="s">
        <v>375</v>
      </c>
      <c r="B7" s="67" t="s">
        <v>376</v>
      </c>
      <c r="C7" s="67" t="s">
        <v>377</v>
      </c>
      <c r="D7" s="69" t="s">
        <v>378</v>
      </c>
    </row>
    <row r="8" customFormat="false" ht="72" hidden="false" customHeight="true" outlineLevel="0" collapsed="false">
      <c r="A8" s="66" t="s">
        <v>379</v>
      </c>
      <c r="B8" s="67" t="s">
        <v>380</v>
      </c>
      <c r="C8" s="67" t="s">
        <v>381</v>
      </c>
      <c r="D8" s="69" t="s">
        <v>382</v>
      </c>
    </row>
    <row r="9" customFormat="false" ht="72" hidden="false" customHeight="true" outlineLevel="0" collapsed="false">
      <c r="A9" s="66" t="s">
        <v>383</v>
      </c>
      <c r="B9" s="67" t="s">
        <v>384</v>
      </c>
      <c r="C9" s="67" t="s">
        <v>385</v>
      </c>
      <c r="D9" s="69" t="s">
        <v>386</v>
      </c>
    </row>
    <row r="10" customFormat="false" ht="72" hidden="false" customHeight="true" outlineLevel="0" collapsed="false">
      <c r="A10" s="66" t="s">
        <v>387</v>
      </c>
      <c r="B10" s="67" t="s">
        <v>388</v>
      </c>
      <c r="C10" s="67" t="s">
        <v>389</v>
      </c>
      <c r="D10" s="69" t="s">
        <v>390</v>
      </c>
    </row>
    <row r="11" customFormat="false" ht="72" hidden="false" customHeight="true" outlineLevel="0" collapsed="false">
      <c r="A11" s="66" t="s">
        <v>391</v>
      </c>
      <c r="B11" s="67" t="s">
        <v>392</v>
      </c>
      <c r="C11" s="67" t="s">
        <v>393</v>
      </c>
      <c r="D11" s="69" t="s">
        <v>394</v>
      </c>
    </row>
    <row r="12" customFormat="false" ht="72" hidden="false" customHeight="true" outlineLevel="0" collapsed="false">
      <c r="A12" s="66" t="s">
        <v>395</v>
      </c>
      <c r="B12" s="67" t="s">
        <v>396</v>
      </c>
      <c r="C12" s="67" t="s">
        <v>397</v>
      </c>
      <c r="D12" s="69" t="s">
        <v>398</v>
      </c>
    </row>
    <row r="13" customFormat="false" ht="72" hidden="false" customHeight="true" outlineLevel="0" collapsed="false">
      <c r="A13" s="66" t="s">
        <v>399</v>
      </c>
      <c r="B13" s="67" t="s">
        <v>400</v>
      </c>
      <c r="C13" s="67" t="s">
        <v>401</v>
      </c>
      <c r="D13" s="69" t="s">
        <v>402</v>
      </c>
    </row>
    <row r="14" customFormat="false" ht="72" hidden="false" customHeight="true" outlineLevel="0" collapsed="false">
      <c r="A14" s="66" t="s">
        <v>403</v>
      </c>
      <c r="B14" s="67" t="s">
        <v>404</v>
      </c>
      <c r="C14" s="67" t="s">
        <v>405</v>
      </c>
      <c r="D14" s="69" t="s">
        <v>406</v>
      </c>
    </row>
    <row r="15" customFormat="false" ht="72" hidden="false" customHeight="true" outlineLevel="0" collapsed="false">
      <c r="A15" s="66" t="s">
        <v>407</v>
      </c>
      <c r="B15" s="67" t="s">
        <v>408</v>
      </c>
      <c r="C15" s="67" t="s">
        <v>409</v>
      </c>
      <c r="D15" s="69" t="s">
        <v>410</v>
      </c>
    </row>
    <row r="16" customFormat="false" ht="72" hidden="false" customHeight="true" outlineLevel="0" collapsed="false">
      <c r="A16" s="66" t="s">
        <v>411</v>
      </c>
      <c r="B16" s="67" t="s">
        <v>412</v>
      </c>
      <c r="C16" s="67" t="s">
        <v>413</v>
      </c>
      <c r="D16" s="69" t="s">
        <v>414</v>
      </c>
    </row>
    <row r="17" customFormat="false" ht="72" hidden="false" customHeight="true" outlineLevel="0" collapsed="false">
      <c r="A17" s="66" t="s">
        <v>415</v>
      </c>
      <c r="B17" s="67" t="s">
        <v>416</v>
      </c>
      <c r="C17" s="67" t="s">
        <v>417</v>
      </c>
      <c r="D17" s="69" t="s">
        <v>418</v>
      </c>
    </row>
  </sheetData>
  <hyperlinks>
    <hyperlink ref="D5" r:id="rId1" display="https://vidiq.com/blog/post/youtube-shorts-algorithm/"/>
    <hyperlink ref="D6" r:id="rId2" display="https://vidiq.com/blog/post/youtube-shorts-algorithm/"/>
    <hyperlink ref="D7" r:id="rId3" display="https://focus-digital.co/average-youtube-ctr-organic-paid-benchmarks-2026/"/>
    <hyperlink ref="D8" r:id="rId4" display="https://subscribr.ai/youtube-strategy/convert-shorts-viewers-to-subscribers"/>
    <hyperlink ref="D9" r:id="rId5" display="https://blog.eklipse.gg/basic-knowledge/youtube-shorts-vs-long-form-gaming-which-grows-faster.html"/>
    <hyperlink ref="D10" r:id="rId6" display="https://blog.eklipse.gg/beginner-guide-2/youtube-shorts-strategy-gamers.html"/>
    <hyperlink ref="D11" r:id="rId7" display="https://www.opus.pro/blog/maximize-your-views-choosing-the-right-hashtags-for-youtube-shorts"/>
    <hyperlink ref="D12" r:id="rId8" display="https://air.io/en/monetization/youtube-partner-program-requirements-2026-the-complete-guide"/>
    <hyperlink ref="D13" r:id="rId9" display="https://logie.ai/news/youtube-ai-slop-crackdown-2026-monetization/"/>
    <hyperlink ref="D14" r:id="rId10" display="https://www.websitebuilderexpert.com/news/youtube-shorts-ai-tools/"/>
    <hyperlink ref="D15" r:id="rId11" display="https://varietyindia.com/cricket-rules-indias-streaming-viewership-in-new-ormax-streamview-report/"/>
    <hyperlink ref="D16" r:id="rId12" display="https://view.asiae.co.kr/en/article/2026060111040820860"/>
    <hyperlink ref="D17" r:id="rId13" display="https://blog.eklipse.gg/beginner-guide-2/how-to-grow-youtube-gaming-channel-from-zero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58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1" t="s">
        <v>419</v>
      </c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3" t="s">
        <v>420</v>
      </c>
      <c r="B2" s="4"/>
      <c r="C2" s="4"/>
      <c r="D2" s="4"/>
      <c r="E2" s="4"/>
      <c r="F2" s="4"/>
      <c r="G2" s="4"/>
    </row>
    <row r="4" customFormat="false" ht="31.5" hidden="false" customHeight="true" outlineLevel="0" collapsed="false">
      <c r="A4" s="30" t="s">
        <v>421</v>
      </c>
      <c r="B4" s="30" t="s">
        <v>422</v>
      </c>
      <c r="C4" s="30" t="s">
        <v>423</v>
      </c>
      <c r="D4" s="30" t="s">
        <v>424</v>
      </c>
      <c r="E4" s="30" t="s">
        <v>425</v>
      </c>
      <c r="F4" s="30" t="s">
        <v>426</v>
      </c>
      <c r="G4" s="30" t="s">
        <v>427</v>
      </c>
    </row>
    <row r="5" customFormat="false" ht="57.75" hidden="false" customHeight="true" outlineLevel="0" collapsed="false">
      <c r="A5" s="20" t="s">
        <v>428</v>
      </c>
      <c r="B5" s="67" t="s">
        <v>429</v>
      </c>
      <c r="C5" s="67" t="s">
        <v>430</v>
      </c>
      <c r="D5" s="67" t="s">
        <v>431</v>
      </c>
      <c r="E5" s="67" t="s">
        <v>432</v>
      </c>
      <c r="F5" s="67" t="s">
        <v>433</v>
      </c>
      <c r="G5" s="67" t="s">
        <v>434</v>
      </c>
    </row>
    <row r="6" customFormat="false" ht="57.75" hidden="false" customHeight="true" outlineLevel="0" collapsed="false">
      <c r="A6" s="20" t="s">
        <v>428</v>
      </c>
      <c r="B6" s="67" t="s">
        <v>435</v>
      </c>
      <c r="C6" s="67" t="s">
        <v>436</v>
      </c>
      <c r="D6" s="67" t="s">
        <v>437</v>
      </c>
      <c r="E6" s="67" t="s">
        <v>438</v>
      </c>
      <c r="F6" s="67" t="s">
        <v>439</v>
      </c>
      <c r="G6" s="67" t="s">
        <v>434</v>
      </c>
    </row>
    <row r="7" customFormat="false" ht="57.75" hidden="false" customHeight="true" outlineLevel="0" collapsed="false">
      <c r="A7" s="20" t="s">
        <v>428</v>
      </c>
      <c r="B7" s="67" t="s">
        <v>440</v>
      </c>
      <c r="C7" s="67" t="s">
        <v>441</v>
      </c>
      <c r="D7" s="67" t="s">
        <v>442</v>
      </c>
      <c r="E7" s="67" t="s">
        <v>443</v>
      </c>
      <c r="F7" s="67" t="s">
        <v>444</v>
      </c>
      <c r="G7" s="67" t="s">
        <v>434</v>
      </c>
    </row>
    <row r="8" customFormat="false" ht="57.75" hidden="false" customHeight="true" outlineLevel="0" collapsed="false">
      <c r="A8" s="20" t="s">
        <v>428</v>
      </c>
      <c r="B8" s="67" t="s">
        <v>445</v>
      </c>
      <c r="C8" s="67" t="s">
        <v>446</v>
      </c>
      <c r="D8" s="67" t="s">
        <v>447</v>
      </c>
      <c r="E8" s="67" t="s">
        <v>448</v>
      </c>
      <c r="F8" s="67" t="s">
        <v>444</v>
      </c>
      <c r="G8" s="67" t="s">
        <v>434</v>
      </c>
    </row>
    <row r="9" customFormat="false" ht="57.75" hidden="false" customHeight="true" outlineLevel="0" collapsed="false">
      <c r="A9" s="20" t="s">
        <v>428</v>
      </c>
      <c r="B9" s="67" t="s">
        <v>449</v>
      </c>
      <c r="C9" s="67" t="s">
        <v>450</v>
      </c>
      <c r="D9" s="67" t="s">
        <v>58</v>
      </c>
      <c r="E9" s="67" t="s">
        <v>451</v>
      </c>
      <c r="F9" s="67" t="s">
        <v>444</v>
      </c>
      <c r="G9" s="67" t="s">
        <v>434</v>
      </c>
    </row>
    <row r="10" customFormat="false" ht="57.75" hidden="false" customHeight="true" outlineLevel="0" collapsed="false">
      <c r="A10" s="20" t="s">
        <v>428</v>
      </c>
      <c r="B10" s="67" t="s">
        <v>452</v>
      </c>
      <c r="C10" s="67" t="s">
        <v>453</v>
      </c>
      <c r="D10" s="67" t="s">
        <v>454</v>
      </c>
      <c r="E10" s="67" t="s">
        <v>455</v>
      </c>
      <c r="F10" s="67" t="s">
        <v>456</v>
      </c>
      <c r="G10" s="67" t="s">
        <v>434</v>
      </c>
    </row>
    <row r="11" customFormat="false" ht="57.75" hidden="false" customHeight="true" outlineLevel="0" collapsed="false">
      <c r="A11" s="68" t="s">
        <v>457</v>
      </c>
      <c r="B11" s="67" t="s">
        <v>458</v>
      </c>
      <c r="C11" s="67" t="s">
        <v>459</v>
      </c>
      <c r="D11" s="67" t="s">
        <v>460</v>
      </c>
      <c r="E11" s="67" t="s">
        <v>461</v>
      </c>
      <c r="F11" s="67" t="s">
        <v>462</v>
      </c>
      <c r="G11" s="67" t="s">
        <v>434</v>
      </c>
    </row>
    <row r="12" customFormat="false" ht="57.75" hidden="false" customHeight="true" outlineLevel="0" collapsed="false">
      <c r="A12" s="68" t="s">
        <v>457</v>
      </c>
      <c r="B12" s="67" t="s">
        <v>463</v>
      </c>
      <c r="C12" s="67" t="s">
        <v>464</v>
      </c>
      <c r="D12" s="67" t="s">
        <v>465</v>
      </c>
      <c r="E12" s="67" t="s">
        <v>466</v>
      </c>
      <c r="F12" s="67" t="s">
        <v>462</v>
      </c>
      <c r="G12" s="67" t="s">
        <v>434</v>
      </c>
    </row>
    <row r="13" customFormat="false" ht="57.75" hidden="false" customHeight="true" outlineLevel="0" collapsed="false">
      <c r="A13" s="68" t="s">
        <v>457</v>
      </c>
      <c r="B13" s="67" t="s">
        <v>467</v>
      </c>
      <c r="C13" s="67" t="s">
        <v>468</v>
      </c>
      <c r="D13" s="67" t="s">
        <v>469</v>
      </c>
      <c r="E13" s="67" t="s">
        <v>470</v>
      </c>
      <c r="F13" s="67" t="s">
        <v>471</v>
      </c>
      <c r="G13" s="67" t="s">
        <v>434</v>
      </c>
    </row>
    <row r="14" customFormat="false" ht="57.75" hidden="false" customHeight="true" outlineLevel="0" collapsed="false">
      <c r="A14" s="68" t="s">
        <v>457</v>
      </c>
      <c r="B14" s="67" t="s">
        <v>472</v>
      </c>
      <c r="C14" s="67" t="s">
        <v>473</v>
      </c>
      <c r="D14" s="67" t="s">
        <v>474</v>
      </c>
      <c r="E14" s="67" t="s">
        <v>475</v>
      </c>
      <c r="F14" s="67" t="s">
        <v>444</v>
      </c>
      <c r="G14" s="67" t="s">
        <v>434</v>
      </c>
    </row>
    <row r="15" customFormat="false" ht="57.75" hidden="false" customHeight="true" outlineLevel="0" collapsed="false">
      <c r="A15" s="68" t="s">
        <v>457</v>
      </c>
      <c r="B15" s="67" t="s">
        <v>476</v>
      </c>
      <c r="C15" s="67" t="s">
        <v>477</v>
      </c>
      <c r="D15" s="67" t="s">
        <v>478</v>
      </c>
      <c r="E15" s="67" t="s">
        <v>479</v>
      </c>
      <c r="F15" s="67" t="s">
        <v>480</v>
      </c>
      <c r="G15" s="67" t="s">
        <v>434</v>
      </c>
    </row>
    <row r="16" customFormat="false" ht="57.75" hidden="false" customHeight="true" outlineLevel="0" collapsed="false">
      <c r="A16" s="68" t="s">
        <v>457</v>
      </c>
      <c r="B16" s="67" t="s">
        <v>481</v>
      </c>
      <c r="C16" s="67" t="s">
        <v>482</v>
      </c>
      <c r="D16" s="67" t="s">
        <v>483</v>
      </c>
      <c r="E16" s="67" t="s">
        <v>484</v>
      </c>
      <c r="F16" s="67" t="s">
        <v>485</v>
      </c>
      <c r="G16" s="67" t="s">
        <v>434</v>
      </c>
    </row>
    <row r="17" customFormat="false" ht="57.75" hidden="false" customHeight="true" outlineLevel="0" collapsed="false">
      <c r="A17" s="18" t="s">
        <v>486</v>
      </c>
      <c r="B17" s="67" t="s">
        <v>487</v>
      </c>
      <c r="C17" s="67" t="s">
        <v>488</v>
      </c>
      <c r="D17" s="67" t="s">
        <v>489</v>
      </c>
      <c r="E17" s="67" t="s">
        <v>490</v>
      </c>
      <c r="F17" s="67" t="s">
        <v>491</v>
      </c>
      <c r="G17" s="67" t="s">
        <v>434</v>
      </c>
    </row>
    <row r="18" customFormat="false" ht="57.75" hidden="false" customHeight="true" outlineLevel="0" collapsed="false">
      <c r="A18" s="18" t="s">
        <v>486</v>
      </c>
      <c r="B18" s="67" t="s">
        <v>492</v>
      </c>
      <c r="C18" s="67" t="s">
        <v>493</v>
      </c>
      <c r="D18" s="67" t="s">
        <v>494</v>
      </c>
      <c r="E18" s="67" t="s">
        <v>495</v>
      </c>
      <c r="F18" s="67" t="s">
        <v>485</v>
      </c>
      <c r="G18" s="67" t="s">
        <v>434</v>
      </c>
    </row>
    <row r="19" customFormat="false" ht="57.75" hidden="false" customHeight="true" outlineLevel="0" collapsed="false">
      <c r="A19" s="18" t="s">
        <v>486</v>
      </c>
      <c r="B19" s="67" t="s">
        <v>496</v>
      </c>
      <c r="C19" s="67" t="s">
        <v>497</v>
      </c>
      <c r="D19" s="67" t="s">
        <v>498</v>
      </c>
      <c r="E19" s="67" t="s">
        <v>499</v>
      </c>
      <c r="F19" s="67" t="s">
        <v>500</v>
      </c>
      <c r="G19" s="67" t="s">
        <v>434</v>
      </c>
    </row>
    <row r="20" customFormat="false" ht="57.75" hidden="false" customHeight="true" outlineLevel="0" collapsed="false">
      <c r="A20" s="18" t="s">
        <v>486</v>
      </c>
      <c r="B20" s="67" t="s">
        <v>501</v>
      </c>
      <c r="C20" s="67" t="s">
        <v>502</v>
      </c>
      <c r="D20" s="67" t="s">
        <v>503</v>
      </c>
      <c r="E20" s="67" t="s">
        <v>504</v>
      </c>
      <c r="F20" s="67" t="s">
        <v>505</v>
      </c>
      <c r="G20" s="67" t="s">
        <v>434</v>
      </c>
    </row>
    <row r="22" customFormat="false" ht="21.75" hidden="false" customHeight="true" outlineLevel="0" collapsed="false">
      <c r="A22" s="5" t="s">
        <v>506</v>
      </c>
      <c r="B22" s="6"/>
      <c r="C22" s="6"/>
      <c r="D22" s="6"/>
      <c r="E22" s="6"/>
      <c r="F22" s="6"/>
      <c r="G22" s="6"/>
    </row>
    <row r="23" customFormat="false" ht="31.5" hidden="false" customHeight="true" outlineLevel="0" collapsed="false">
      <c r="A23" s="30" t="s">
        <v>507</v>
      </c>
      <c r="B23" s="30" t="s">
        <v>508</v>
      </c>
      <c r="C23" s="30" t="s">
        <v>509</v>
      </c>
      <c r="D23" s="30" t="s">
        <v>510</v>
      </c>
      <c r="E23" s="30" t="s">
        <v>427</v>
      </c>
      <c r="F23" s="30" t="s">
        <v>511</v>
      </c>
      <c r="G23" s="30"/>
    </row>
    <row r="24" customFormat="false" ht="21.75" hidden="false" customHeight="true" outlineLevel="0" collapsed="false">
      <c r="A24" s="70" t="s">
        <v>12</v>
      </c>
      <c r="B24" s="71" t="n">
        <f aca="false">Dashboard!A10</f>
        <v>1.75595647982372</v>
      </c>
      <c r="C24" s="71" t="n">
        <v>5</v>
      </c>
      <c r="D24" s="72"/>
      <c r="E24" s="73" t="str">
        <f aca="false">IF(OR(D24="",NOT(ISNUMBER(C24))),"—",IF(D24&gt;=C24,"ON TRACK","BEHIND"))</f>
        <v>—</v>
      </c>
      <c r="F24" s="73" t="s">
        <v>512</v>
      </c>
    </row>
    <row r="25" customFormat="false" ht="21.75" hidden="false" customHeight="true" outlineLevel="0" collapsed="false">
      <c r="A25" s="70" t="s">
        <v>513</v>
      </c>
      <c r="B25" s="74" t="n">
        <v>0.065</v>
      </c>
      <c r="C25" s="75" t="n">
        <v>0.08</v>
      </c>
      <c r="D25" s="76"/>
      <c r="E25" s="73" t="str">
        <f aca="false">IF(OR(D25="",NOT(ISNUMBER(C25))),"—",IF(D25&gt;=C25,"ON TRACK","BEHIND"))</f>
        <v>—</v>
      </c>
      <c r="F25" s="73" t="s">
        <v>514</v>
      </c>
    </row>
    <row r="26" customFormat="false" ht="21.75" hidden="false" customHeight="true" outlineLevel="0" collapsed="false">
      <c r="A26" s="70" t="s">
        <v>515</v>
      </c>
      <c r="B26" s="77" t="n">
        <v>0.15</v>
      </c>
      <c r="C26" s="78" t="n">
        <v>0.35</v>
      </c>
      <c r="D26" s="79"/>
      <c r="E26" s="73" t="str">
        <f aca="false">IF(OR(D26="",NOT(ISNUMBER(C26))),"—",IF(D26&gt;=C26,"ON TRACK","BEHIND"))</f>
        <v>—</v>
      </c>
      <c r="F26" s="73" t="s">
        <v>516</v>
      </c>
    </row>
    <row r="27" customFormat="false" ht="21.75" hidden="false" customHeight="true" outlineLevel="0" collapsed="false">
      <c r="A27" s="70" t="s">
        <v>517</v>
      </c>
      <c r="B27" s="78" t="s">
        <v>518</v>
      </c>
      <c r="C27" s="78" t="n">
        <v>0.7</v>
      </c>
      <c r="D27" s="79"/>
      <c r="E27" s="73" t="str">
        <f aca="false">IF(OR(D27="",NOT(ISNUMBER(C27))),"—",IF(D27&gt;=C27,"ON TRACK","BEHIND"))</f>
        <v>—</v>
      </c>
      <c r="F27" s="73" t="s">
        <v>519</v>
      </c>
    </row>
    <row r="28" customFormat="false" ht="21.75" hidden="false" customHeight="true" outlineLevel="0" collapsed="false">
      <c r="A28" s="70" t="s">
        <v>13</v>
      </c>
      <c r="B28" s="80" t="n">
        <f aca="false">Dashboard!C10</f>
        <v>129</v>
      </c>
      <c r="C28" s="80" t="n">
        <v>500</v>
      </c>
      <c r="D28" s="81"/>
      <c r="E28" s="73" t="str">
        <f aca="false">IF(OR(D28="",NOT(ISNUMBER(C28))),"—",IF(D28&gt;=C28,"ON TRACK","BEHIND"))</f>
        <v>—</v>
      </c>
      <c r="F28" s="73" t="s">
        <v>520</v>
      </c>
    </row>
    <row r="29" customFormat="false" ht="21.75" hidden="false" customHeight="true" outlineLevel="0" collapsed="false">
      <c r="A29" s="70" t="s">
        <v>521</v>
      </c>
      <c r="B29" s="71" t="n">
        <f aca="false">COUNTA('All Videos'!$B$5:$B$76)/((DATE(2026,10,19)-DATE(2022,7,15))/7)</f>
        <v>0.323699421965318</v>
      </c>
      <c r="C29" s="71" t="n">
        <v>4</v>
      </c>
      <c r="D29" s="72"/>
      <c r="E29" s="73" t="str">
        <f aca="false">IF(OR(D29="",NOT(ISNUMBER(C29))),"—",IF(D29&gt;=C29,"ON TRACK","BEHIND"))</f>
        <v>—</v>
      </c>
      <c r="F29" s="73" t="s">
        <v>520</v>
      </c>
    </row>
    <row r="30" customFormat="false" ht="21.75" hidden="false" customHeight="true" outlineLevel="0" collapsed="false">
      <c r="A30" s="70" t="s">
        <v>522</v>
      </c>
      <c r="B30" s="71" t="s">
        <v>518</v>
      </c>
      <c r="C30" s="71" t="s">
        <v>523</v>
      </c>
      <c r="D30" s="72"/>
      <c r="E30" s="73" t="str">
        <f aca="false">IF(OR(D30="",NOT(ISNUMBER(C30))),"—",IF(D30&gt;=C30,"ON TRACK","BEHIND"))</f>
        <v>—</v>
      </c>
      <c r="F30" s="73" t="s">
        <v>524</v>
      </c>
    </row>
    <row r="32" customFormat="false" ht="15" hidden="false" customHeight="false" outlineLevel="0" collapsed="false">
      <c r="A32" s="82" t="s">
        <v>525</v>
      </c>
    </row>
  </sheetData>
  <conditionalFormatting sqref="G5:G20">
    <cfRule type="cellIs" priority="2" operator="equal" aboveAverage="0" equalAverage="0" bottom="0" percent="0" rank="0" text="" dxfId="103">
      <formula>"☑"</formula>
    </cfRule>
  </conditionalFormatting>
  <conditionalFormatting sqref="E24:E30">
    <cfRule type="cellIs" priority="3" operator="equal" aboveAverage="0" equalAverage="0" bottom="0" percent="0" rank="0" text="" dxfId="99">
      <formula>"ON TRACK"</formula>
    </cfRule>
    <cfRule type="cellIs" priority="4" operator="equal" aboveAverage="0" equalAverage="0" bottom="0" percent="0" rank="0" text="" dxfId="101">
      <formula>"BEHIND"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3" min="3" style="0" width="48"/>
    <col collapsed="false" customWidth="true" hidden="false" outlineLevel="0" max="4" min="4" style="0" width="46"/>
  </cols>
  <sheetData>
    <row r="1" customFormat="false" ht="31.5" hidden="false" customHeight="true" outlineLevel="0" collapsed="false">
      <c r="A1" s="1" t="s">
        <v>526</v>
      </c>
      <c r="B1" s="2"/>
      <c r="C1" s="2"/>
      <c r="D1" s="2"/>
    </row>
    <row r="2" customFormat="false" ht="19.5" hidden="false" customHeight="true" outlineLevel="0" collapsed="false">
      <c r="A2" s="3" t="s">
        <v>527</v>
      </c>
      <c r="B2" s="4"/>
      <c r="C2" s="4"/>
      <c r="D2" s="4"/>
    </row>
    <row r="4" customFormat="false" ht="31.5" hidden="false" customHeight="true" outlineLevel="0" collapsed="false">
      <c r="A4" s="30" t="s">
        <v>528</v>
      </c>
      <c r="B4" s="30" t="s">
        <v>529</v>
      </c>
      <c r="C4" s="30" t="s">
        <v>530</v>
      </c>
      <c r="D4" s="30" t="s">
        <v>531</v>
      </c>
    </row>
    <row r="5" customFormat="false" ht="60" hidden="false" customHeight="true" outlineLevel="0" collapsed="false">
      <c r="A5" s="66" t="s">
        <v>532</v>
      </c>
      <c r="B5" s="67" t="s">
        <v>184</v>
      </c>
      <c r="C5" s="67" t="s">
        <v>533</v>
      </c>
      <c r="D5" s="67" t="s">
        <v>534</v>
      </c>
    </row>
    <row r="6" customFormat="false" ht="60" hidden="false" customHeight="true" outlineLevel="0" collapsed="false">
      <c r="A6" s="66" t="s">
        <v>532</v>
      </c>
      <c r="B6" s="67" t="s">
        <v>108</v>
      </c>
      <c r="C6" s="67" t="s">
        <v>535</v>
      </c>
      <c r="D6" s="67" t="s">
        <v>536</v>
      </c>
    </row>
    <row r="7" customFormat="false" ht="60" hidden="false" customHeight="true" outlineLevel="0" collapsed="false">
      <c r="A7" s="66" t="s">
        <v>532</v>
      </c>
      <c r="B7" s="67" t="s">
        <v>79</v>
      </c>
      <c r="C7" s="67" t="s">
        <v>537</v>
      </c>
      <c r="D7" s="67" t="s">
        <v>538</v>
      </c>
    </row>
    <row r="8" customFormat="false" ht="60" hidden="false" customHeight="true" outlineLevel="0" collapsed="false">
      <c r="A8" s="66" t="s">
        <v>532</v>
      </c>
      <c r="B8" s="67" t="s">
        <v>210</v>
      </c>
      <c r="C8" s="67" t="s">
        <v>539</v>
      </c>
      <c r="D8" s="67" t="s">
        <v>540</v>
      </c>
    </row>
    <row r="9" customFormat="false" ht="60" hidden="false" customHeight="true" outlineLevel="0" collapsed="false">
      <c r="A9" s="66" t="s">
        <v>532</v>
      </c>
      <c r="B9" s="67" t="s">
        <v>155</v>
      </c>
      <c r="C9" s="67" t="s">
        <v>541</v>
      </c>
      <c r="D9" s="67" t="s">
        <v>542</v>
      </c>
    </row>
    <row r="10" customFormat="false" ht="60" hidden="false" customHeight="true" outlineLevel="0" collapsed="false">
      <c r="A10" s="66" t="s">
        <v>543</v>
      </c>
      <c r="B10" s="67" t="s">
        <v>544</v>
      </c>
      <c r="C10" s="67" t="s">
        <v>545</v>
      </c>
      <c r="D10" s="67" t="s">
        <v>546</v>
      </c>
    </row>
    <row r="11" customFormat="false" ht="60" hidden="false" customHeight="true" outlineLevel="0" collapsed="false">
      <c r="A11" s="66" t="s">
        <v>543</v>
      </c>
      <c r="B11" s="67" t="s">
        <v>547</v>
      </c>
      <c r="C11" s="67" t="s">
        <v>548</v>
      </c>
      <c r="D11" s="67" t="s">
        <v>549</v>
      </c>
    </row>
    <row r="12" customFormat="false" ht="60" hidden="false" customHeight="true" outlineLevel="0" collapsed="false">
      <c r="A12" s="66" t="s">
        <v>550</v>
      </c>
      <c r="B12" s="67" t="s">
        <v>504</v>
      </c>
      <c r="C12" s="67" t="s">
        <v>551</v>
      </c>
      <c r="D12" s="67" t="s">
        <v>552</v>
      </c>
    </row>
    <row r="13" customFormat="false" ht="60" hidden="false" customHeight="true" outlineLevel="0" collapsed="false">
      <c r="A13" s="66" t="s">
        <v>550</v>
      </c>
      <c r="B13" s="67" t="s">
        <v>504</v>
      </c>
      <c r="C13" s="67" t="s">
        <v>553</v>
      </c>
      <c r="D13" s="67" t="s">
        <v>554</v>
      </c>
    </row>
    <row r="14" customFormat="false" ht="60" hidden="false" customHeight="true" outlineLevel="0" collapsed="false">
      <c r="A14" s="66" t="s">
        <v>550</v>
      </c>
      <c r="B14" s="67" t="s">
        <v>504</v>
      </c>
      <c r="C14" s="67" t="s">
        <v>555</v>
      </c>
      <c r="D14" s="67" t="s">
        <v>556</v>
      </c>
    </row>
    <row r="15" customFormat="false" ht="60" hidden="false" customHeight="true" outlineLevel="0" collapsed="false">
      <c r="A15" s="66" t="s">
        <v>550</v>
      </c>
      <c r="B15" s="67" t="s">
        <v>504</v>
      </c>
      <c r="C15" s="67" t="s">
        <v>557</v>
      </c>
      <c r="D15" s="67" t="s">
        <v>558</v>
      </c>
    </row>
    <row r="16" customFormat="false" ht="60" hidden="false" customHeight="true" outlineLevel="0" collapsed="false">
      <c r="A16" s="66" t="s">
        <v>550</v>
      </c>
      <c r="B16" s="67" t="s">
        <v>504</v>
      </c>
      <c r="C16" s="67" t="s">
        <v>559</v>
      </c>
      <c r="D16" s="67" t="s">
        <v>560</v>
      </c>
    </row>
    <row r="17" customFormat="false" ht="60" hidden="false" customHeight="true" outlineLevel="0" collapsed="false">
      <c r="A17" s="66" t="s">
        <v>550</v>
      </c>
      <c r="B17" s="67" t="s">
        <v>504</v>
      </c>
      <c r="C17" s="67" t="s">
        <v>561</v>
      </c>
      <c r="D17" s="67" t="s">
        <v>562</v>
      </c>
    </row>
    <row r="18" customFormat="false" ht="60" hidden="false" customHeight="true" outlineLevel="0" collapsed="false">
      <c r="A18" s="66" t="s">
        <v>563</v>
      </c>
      <c r="B18" s="67" t="s">
        <v>504</v>
      </c>
      <c r="C18" s="67" t="s">
        <v>564</v>
      </c>
      <c r="D18" s="67" t="s">
        <v>565</v>
      </c>
    </row>
    <row r="19" customFormat="false" ht="60" hidden="false" customHeight="true" outlineLevel="0" collapsed="false">
      <c r="A19" s="66" t="s">
        <v>566</v>
      </c>
      <c r="B19" s="67" t="s">
        <v>567</v>
      </c>
      <c r="C19" s="67" t="s">
        <v>568</v>
      </c>
      <c r="D19" s="67" t="s">
        <v>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2"/>
    <col collapsed="false" customWidth="true" hidden="false" outlineLevel="0" max="4" min="3" style="0" width="40"/>
  </cols>
  <sheetData>
    <row r="1" customFormat="false" ht="31.5" hidden="false" customHeight="true" outlineLevel="0" collapsed="false">
      <c r="A1" s="1" t="s">
        <v>570</v>
      </c>
      <c r="B1" s="2"/>
      <c r="C1" s="2"/>
      <c r="D1" s="2"/>
    </row>
    <row r="2" customFormat="false" ht="19.5" hidden="false" customHeight="true" outlineLevel="0" collapsed="false">
      <c r="A2" s="3" t="s">
        <v>571</v>
      </c>
      <c r="B2" s="4"/>
      <c r="C2" s="4"/>
      <c r="D2" s="4"/>
    </row>
    <row r="4" customFormat="false" ht="31.5" hidden="false" customHeight="true" outlineLevel="0" collapsed="false">
      <c r="A4" s="30" t="s">
        <v>572</v>
      </c>
      <c r="B4" s="30" t="s">
        <v>573</v>
      </c>
      <c r="C4" s="30" t="s">
        <v>574</v>
      </c>
      <c r="D4" s="30" t="s">
        <v>575</v>
      </c>
    </row>
    <row r="5" customFormat="false" ht="43.5" hidden="false" customHeight="true" outlineLevel="0" collapsed="false">
      <c r="A5" s="66" t="s">
        <v>38</v>
      </c>
      <c r="B5" s="67" t="s">
        <v>576</v>
      </c>
      <c r="C5" s="67" t="s">
        <v>577</v>
      </c>
      <c r="D5" s="67" t="s">
        <v>578</v>
      </c>
    </row>
    <row r="6" customFormat="false" ht="43.5" hidden="false" customHeight="true" outlineLevel="0" collapsed="false">
      <c r="A6" s="66" t="s">
        <v>4</v>
      </c>
      <c r="B6" s="67" t="s">
        <v>579</v>
      </c>
      <c r="C6" s="67" t="s">
        <v>580</v>
      </c>
      <c r="D6" s="67" t="s">
        <v>578</v>
      </c>
    </row>
    <row r="7" customFormat="false" ht="43.5" hidden="false" customHeight="true" outlineLevel="0" collapsed="false">
      <c r="A7" s="66" t="s">
        <v>5</v>
      </c>
      <c r="B7" s="67" t="s">
        <v>581</v>
      </c>
      <c r="C7" s="67" t="s">
        <v>582</v>
      </c>
      <c r="D7" s="67" t="s">
        <v>578</v>
      </c>
    </row>
    <row r="8" customFormat="false" ht="43.5" hidden="false" customHeight="true" outlineLevel="0" collapsed="false">
      <c r="A8" s="66" t="s">
        <v>6</v>
      </c>
      <c r="B8" s="67" t="s">
        <v>583</v>
      </c>
      <c r="C8" s="67" t="s">
        <v>584</v>
      </c>
      <c r="D8" s="67" t="s">
        <v>578</v>
      </c>
    </row>
    <row r="9" customFormat="false" ht="43.5" hidden="false" customHeight="true" outlineLevel="0" collapsed="false">
      <c r="A9" s="66" t="s">
        <v>7</v>
      </c>
      <c r="B9" s="67" t="s">
        <v>585</v>
      </c>
      <c r="C9" s="67" t="s">
        <v>586</v>
      </c>
      <c r="D9" s="67" t="s">
        <v>578</v>
      </c>
    </row>
    <row r="10" customFormat="false" ht="43.5" hidden="false" customHeight="true" outlineLevel="0" collapsed="false">
      <c r="A10" s="66" t="s">
        <v>587</v>
      </c>
      <c r="B10" s="67" t="s">
        <v>588</v>
      </c>
      <c r="C10" s="67" t="s">
        <v>589</v>
      </c>
      <c r="D10" s="67" t="s">
        <v>590</v>
      </c>
    </row>
    <row r="11" customFormat="false" ht="43.5" hidden="false" customHeight="true" outlineLevel="0" collapsed="false">
      <c r="A11" s="66" t="s">
        <v>591</v>
      </c>
      <c r="B11" s="67" t="s">
        <v>592</v>
      </c>
      <c r="C11" s="67" t="s">
        <v>448</v>
      </c>
      <c r="D11" s="67" t="s">
        <v>593</v>
      </c>
    </row>
    <row r="12" customFormat="false" ht="43.5" hidden="false" customHeight="true" outlineLevel="0" collapsed="false">
      <c r="A12" s="66" t="s">
        <v>594</v>
      </c>
      <c r="B12" s="67" t="s">
        <v>595</v>
      </c>
      <c r="C12" s="67" t="s">
        <v>596</v>
      </c>
      <c r="D12" s="67" t="s">
        <v>597</v>
      </c>
    </row>
    <row r="13" customFormat="false" ht="43.5" hidden="false" customHeight="true" outlineLevel="0" collapsed="false">
      <c r="A13" s="66" t="s">
        <v>598</v>
      </c>
      <c r="B13" s="67" t="s">
        <v>599</v>
      </c>
      <c r="C13" s="67" t="s">
        <v>600</v>
      </c>
      <c r="D13" s="67" t="s">
        <v>601</v>
      </c>
    </row>
    <row r="14" customFormat="false" ht="43.5" hidden="false" customHeight="true" outlineLevel="0" collapsed="false">
      <c r="A14" s="66" t="s">
        <v>602</v>
      </c>
      <c r="B14" s="67" t="s">
        <v>603</v>
      </c>
      <c r="C14" s="67" t="s">
        <v>604</v>
      </c>
      <c r="D14" s="67" t="s">
        <v>605</v>
      </c>
    </row>
    <row r="15" customFormat="false" ht="60" hidden="false" customHeight="true" outlineLevel="0" collapsed="false">
      <c r="A15" s="83" t="s">
        <v>606</v>
      </c>
      <c r="B15" s="67" t="s">
        <v>607</v>
      </c>
      <c r="C15" s="67"/>
      <c r="D15" s="67"/>
    </row>
    <row r="16" customFormat="false" ht="60" hidden="false" customHeight="true" outlineLevel="0" collapsed="false">
      <c r="A16" s="83" t="s">
        <v>608</v>
      </c>
      <c r="B16" s="67" t="s">
        <v>609</v>
      </c>
      <c r="C16" s="67"/>
      <c r="D16" s="67"/>
    </row>
  </sheetData>
  <mergeCells count="2">
    <mergeCell ref="B15:D15"/>
    <mergeCell ref="B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C19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4"/>
  </cols>
  <sheetData>
    <row r="1" customFormat="false" ht="31.5" hidden="false" customHeight="true" outlineLevel="0" collapsed="false">
      <c r="A1" s="1" t="s">
        <v>610</v>
      </c>
      <c r="B1" s="2"/>
      <c r="C1" s="2"/>
    </row>
    <row r="2" customFormat="false" ht="19.5" hidden="false" customHeight="true" outlineLevel="0" collapsed="false">
      <c r="A2" s="3" t="s">
        <v>611</v>
      </c>
      <c r="B2" s="4"/>
      <c r="C2" s="4"/>
    </row>
    <row r="4" customFormat="false" ht="31.5" hidden="false" customHeight="true" outlineLevel="0" collapsed="false">
      <c r="A4" s="30" t="s">
        <v>612</v>
      </c>
      <c r="B4" s="30" t="s">
        <v>38</v>
      </c>
    </row>
    <row r="5" customFormat="false" ht="15" hidden="false" customHeight="false" outlineLevel="0" collapsed="false">
      <c r="A5" s="84" t="n">
        <v>44382</v>
      </c>
      <c r="B5" s="85" t="n">
        <v>0</v>
      </c>
    </row>
    <row r="6" customFormat="false" ht="15" hidden="false" customHeight="false" outlineLevel="0" collapsed="false">
      <c r="A6" s="84" t="n">
        <v>44383</v>
      </c>
      <c r="B6" s="85" t="n">
        <v>0</v>
      </c>
    </row>
    <row r="7" customFormat="false" ht="15" hidden="false" customHeight="false" outlineLevel="0" collapsed="false">
      <c r="A7" s="84" t="n">
        <v>44384</v>
      </c>
      <c r="B7" s="85" t="n">
        <v>0</v>
      </c>
    </row>
    <row r="8" customFormat="false" ht="15" hidden="false" customHeight="false" outlineLevel="0" collapsed="false">
      <c r="A8" s="84" t="n">
        <v>44385</v>
      </c>
      <c r="B8" s="85" t="n">
        <v>0</v>
      </c>
    </row>
    <row r="9" customFormat="false" ht="15" hidden="false" customHeight="false" outlineLevel="0" collapsed="false">
      <c r="A9" s="84" t="n">
        <v>44386</v>
      </c>
      <c r="B9" s="85" t="n">
        <v>0</v>
      </c>
    </row>
    <row r="10" customFormat="false" ht="15" hidden="false" customHeight="false" outlineLevel="0" collapsed="false">
      <c r="A10" s="84" t="n">
        <v>44387</v>
      </c>
      <c r="B10" s="85" t="n">
        <v>0</v>
      </c>
    </row>
    <row r="11" customFormat="false" ht="15" hidden="false" customHeight="false" outlineLevel="0" collapsed="false">
      <c r="A11" s="84" t="n">
        <v>44388</v>
      </c>
      <c r="B11" s="85" t="n">
        <v>0</v>
      </c>
    </row>
    <row r="12" customFormat="false" ht="15" hidden="false" customHeight="false" outlineLevel="0" collapsed="false">
      <c r="A12" s="84" t="n">
        <v>44389</v>
      </c>
      <c r="B12" s="85" t="n">
        <v>0</v>
      </c>
    </row>
    <row r="13" customFormat="false" ht="15" hidden="false" customHeight="false" outlineLevel="0" collapsed="false">
      <c r="A13" s="84" t="n">
        <v>44390</v>
      </c>
      <c r="B13" s="85" t="n">
        <v>0</v>
      </c>
    </row>
    <row r="14" customFormat="false" ht="15" hidden="false" customHeight="false" outlineLevel="0" collapsed="false">
      <c r="A14" s="84" t="n">
        <v>44391</v>
      </c>
      <c r="B14" s="85" t="n">
        <v>0</v>
      </c>
    </row>
    <row r="15" customFormat="false" ht="15" hidden="false" customHeight="false" outlineLevel="0" collapsed="false">
      <c r="A15" s="84" t="n">
        <v>44392</v>
      </c>
      <c r="B15" s="85" t="n">
        <v>0</v>
      </c>
    </row>
    <row r="16" customFormat="false" ht="15" hidden="false" customHeight="false" outlineLevel="0" collapsed="false">
      <c r="A16" s="84" t="n">
        <v>44393</v>
      </c>
      <c r="B16" s="85" t="n">
        <v>0</v>
      </c>
    </row>
    <row r="17" customFormat="false" ht="15" hidden="false" customHeight="false" outlineLevel="0" collapsed="false">
      <c r="A17" s="84" t="n">
        <v>44394</v>
      </c>
      <c r="B17" s="85" t="n">
        <v>0</v>
      </c>
    </row>
    <row r="18" customFormat="false" ht="15" hidden="false" customHeight="false" outlineLevel="0" collapsed="false">
      <c r="A18" s="84" t="n">
        <v>44395</v>
      </c>
      <c r="B18" s="85" t="n">
        <v>0</v>
      </c>
    </row>
    <row r="19" customFormat="false" ht="15" hidden="false" customHeight="false" outlineLevel="0" collapsed="false">
      <c r="A19" s="84" t="n">
        <v>44396</v>
      </c>
      <c r="B19" s="85" t="n">
        <v>0</v>
      </c>
    </row>
    <row r="20" customFormat="false" ht="15" hidden="false" customHeight="false" outlineLevel="0" collapsed="false">
      <c r="A20" s="84" t="n">
        <v>44397</v>
      </c>
      <c r="B20" s="85" t="n">
        <v>0</v>
      </c>
    </row>
    <row r="21" customFormat="false" ht="15" hidden="false" customHeight="false" outlineLevel="0" collapsed="false">
      <c r="A21" s="84" t="n">
        <v>44398</v>
      </c>
      <c r="B21" s="85" t="n">
        <v>0</v>
      </c>
    </row>
    <row r="22" customFormat="false" ht="15" hidden="false" customHeight="false" outlineLevel="0" collapsed="false">
      <c r="A22" s="84" t="n">
        <v>44399</v>
      </c>
      <c r="B22" s="85" t="n">
        <v>0</v>
      </c>
    </row>
    <row r="23" customFormat="false" ht="15" hidden="false" customHeight="false" outlineLevel="0" collapsed="false">
      <c r="A23" s="84" t="n">
        <v>44400</v>
      </c>
      <c r="B23" s="85" t="n">
        <v>0</v>
      </c>
    </row>
    <row r="24" customFormat="false" ht="15" hidden="false" customHeight="false" outlineLevel="0" collapsed="false">
      <c r="A24" s="84" t="n">
        <v>44401</v>
      </c>
      <c r="B24" s="85" t="n">
        <v>0</v>
      </c>
    </row>
    <row r="25" customFormat="false" ht="15" hidden="false" customHeight="false" outlineLevel="0" collapsed="false">
      <c r="A25" s="84" t="n">
        <v>44402</v>
      </c>
      <c r="B25" s="85" t="n">
        <v>0</v>
      </c>
    </row>
    <row r="26" customFormat="false" ht="15" hidden="false" customHeight="false" outlineLevel="0" collapsed="false">
      <c r="A26" s="84" t="n">
        <v>44403</v>
      </c>
      <c r="B26" s="85" t="n">
        <v>0</v>
      </c>
    </row>
    <row r="27" customFormat="false" ht="15" hidden="false" customHeight="false" outlineLevel="0" collapsed="false">
      <c r="A27" s="84" t="n">
        <v>44404</v>
      </c>
      <c r="B27" s="85" t="n">
        <v>0</v>
      </c>
    </row>
    <row r="28" customFormat="false" ht="15" hidden="false" customHeight="false" outlineLevel="0" collapsed="false">
      <c r="A28" s="84" t="n">
        <v>44405</v>
      </c>
      <c r="B28" s="85" t="n">
        <v>0</v>
      </c>
    </row>
    <row r="29" customFormat="false" ht="15" hidden="false" customHeight="false" outlineLevel="0" collapsed="false">
      <c r="A29" s="84" t="n">
        <v>44406</v>
      </c>
      <c r="B29" s="85" t="n">
        <v>0</v>
      </c>
    </row>
    <row r="30" customFormat="false" ht="15" hidden="false" customHeight="false" outlineLevel="0" collapsed="false">
      <c r="A30" s="84" t="n">
        <v>44407</v>
      </c>
      <c r="B30" s="85" t="n">
        <v>0</v>
      </c>
    </row>
    <row r="31" customFormat="false" ht="15" hidden="false" customHeight="false" outlineLevel="0" collapsed="false">
      <c r="A31" s="84" t="n">
        <v>44408</v>
      </c>
      <c r="B31" s="85" t="n">
        <v>0</v>
      </c>
    </row>
    <row r="32" customFormat="false" ht="15" hidden="false" customHeight="false" outlineLevel="0" collapsed="false">
      <c r="A32" s="84" t="n">
        <v>44409</v>
      </c>
      <c r="B32" s="85" t="n">
        <v>0</v>
      </c>
    </row>
    <row r="33" customFormat="false" ht="15" hidden="false" customHeight="false" outlineLevel="0" collapsed="false">
      <c r="A33" s="84" t="n">
        <v>44410</v>
      </c>
      <c r="B33" s="85" t="n">
        <v>0</v>
      </c>
    </row>
    <row r="34" customFormat="false" ht="15" hidden="false" customHeight="false" outlineLevel="0" collapsed="false">
      <c r="A34" s="84" t="n">
        <v>44411</v>
      </c>
      <c r="B34" s="85" t="n">
        <v>0</v>
      </c>
    </row>
    <row r="35" customFormat="false" ht="15" hidden="false" customHeight="false" outlineLevel="0" collapsed="false">
      <c r="A35" s="84" t="n">
        <v>44412</v>
      </c>
      <c r="B35" s="85" t="n">
        <v>0</v>
      </c>
    </row>
    <row r="36" customFormat="false" ht="15" hidden="false" customHeight="false" outlineLevel="0" collapsed="false">
      <c r="A36" s="84" t="n">
        <v>44413</v>
      </c>
      <c r="B36" s="85" t="n">
        <v>0</v>
      </c>
    </row>
    <row r="37" customFormat="false" ht="15" hidden="false" customHeight="false" outlineLevel="0" collapsed="false">
      <c r="A37" s="84" t="n">
        <v>44414</v>
      </c>
      <c r="B37" s="85" t="n">
        <v>0</v>
      </c>
    </row>
    <row r="38" customFormat="false" ht="15" hidden="false" customHeight="false" outlineLevel="0" collapsed="false">
      <c r="A38" s="84" t="n">
        <v>44415</v>
      </c>
      <c r="B38" s="85" t="n">
        <v>0</v>
      </c>
    </row>
    <row r="39" customFormat="false" ht="15" hidden="false" customHeight="false" outlineLevel="0" collapsed="false">
      <c r="A39" s="84" t="n">
        <v>44416</v>
      </c>
      <c r="B39" s="85" t="n">
        <v>0</v>
      </c>
    </row>
    <row r="40" customFormat="false" ht="15" hidden="false" customHeight="false" outlineLevel="0" collapsed="false">
      <c r="A40" s="84" t="n">
        <v>44417</v>
      </c>
      <c r="B40" s="85" t="n">
        <v>0</v>
      </c>
    </row>
    <row r="41" customFormat="false" ht="15" hidden="false" customHeight="false" outlineLevel="0" collapsed="false">
      <c r="A41" s="84" t="n">
        <v>44418</v>
      </c>
      <c r="B41" s="85" t="n">
        <v>0</v>
      </c>
    </row>
    <row r="42" customFormat="false" ht="15" hidden="false" customHeight="false" outlineLevel="0" collapsed="false">
      <c r="A42" s="84" t="n">
        <v>44419</v>
      </c>
      <c r="B42" s="85" t="n">
        <v>0</v>
      </c>
    </row>
    <row r="43" customFormat="false" ht="15" hidden="false" customHeight="false" outlineLevel="0" collapsed="false">
      <c r="A43" s="84" t="n">
        <v>44420</v>
      </c>
      <c r="B43" s="85" t="n">
        <v>0</v>
      </c>
    </row>
    <row r="44" customFormat="false" ht="15" hidden="false" customHeight="false" outlineLevel="0" collapsed="false">
      <c r="A44" s="84" t="n">
        <v>44421</v>
      </c>
      <c r="B44" s="85" t="n">
        <v>0</v>
      </c>
    </row>
    <row r="45" customFormat="false" ht="15" hidden="false" customHeight="false" outlineLevel="0" collapsed="false">
      <c r="A45" s="84" t="n">
        <v>44422</v>
      </c>
      <c r="B45" s="85" t="n">
        <v>0</v>
      </c>
    </row>
    <row r="46" customFormat="false" ht="15" hidden="false" customHeight="false" outlineLevel="0" collapsed="false">
      <c r="A46" s="84" t="n">
        <v>44423</v>
      </c>
      <c r="B46" s="85" t="n">
        <v>0</v>
      </c>
    </row>
    <row r="47" customFormat="false" ht="15" hidden="false" customHeight="false" outlineLevel="0" collapsed="false">
      <c r="A47" s="84" t="n">
        <v>44424</v>
      </c>
      <c r="B47" s="85" t="n">
        <v>0</v>
      </c>
    </row>
    <row r="48" customFormat="false" ht="15" hidden="false" customHeight="false" outlineLevel="0" collapsed="false">
      <c r="A48" s="84" t="n">
        <v>44425</v>
      </c>
      <c r="B48" s="85" t="n">
        <v>0</v>
      </c>
    </row>
    <row r="49" customFormat="false" ht="15" hidden="false" customHeight="false" outlineLevel="0" collapsed="false">
      <c r="A49" s="84" t="n">
        <v>44426</v>
      </c>
      <c r="B49" s="85" t="n">
        <v>0</v>
      </c>
    </row>
    <row r="50" customFormat="false" ht="15" hidden="false" customHeight="false" outlineLevel="0" collapsed="false">
      <c r="A50" s="84" t="n">
        <v>44427</v>
      </c>
      <c r="B50" s="85" t="n">
        <v>0</v>
      </c>
    </row>
    <row r="51" customFormat="false" ht="15" hidden="false" customHeight="false" outlineLevel="0" collapsed="false">
      <c r="A51" s="84" t="n">
        <v>44428</v>
      </c>
      <c r="B51" s="85" t="n">
        <v>0</v>
      </c>
    </row>
    <row r="52" customFormat="false" ht="15" hidden="false" customHeight="false" outlineLevel="0" collapsed="false">
      <c r="A52" s="84" t="n">
        <v>44429</v>
      </c>
      <c r="B52" s="85" t="n">
        <v>0</v>
      </c>
    </row>
    <row r="53" customFormat="false" ht="15" hidden="false" customHeight="false" outlineLevel="0" collapsed="false">
      <c r="A53" s="84" t="n">
        <v>44430</v>
      </c>
      <c r="B53" s="85" t="n">
        <v>0</v>
      </c>
    </row>
    <row r="54" customFormat="false" ht="15" hidden="false" customHeight="false" outlineLevel="0" collapsed="false">
      <c r="A54" s="84" t="n">
        <v>44431</v>
      </c>
      <c r="B54" s="85" t="n">
        <v>0</v>
      </c>
    </row>
    <row r="55" customFormat="false" ht="15" hidden="false" customHeight="false" outlineLevel="0" collapsed="false">
      <c r="A55" s="84" t="n">
        <v>44432</v>
      </c>
      <c r="B55" s="85" t="n">
        <v>0</v>
      </c>
    </row>
    <row r="56" customFormat="false" ht="15" hidden="false" customHeight="false" outlineLevel="0" collapsed="false">
      <c r="A56" s="84" t="n">
        <v>44433</v>
      </c>
      <c r="B56" s="85" t="n">
        <v>0</v>
      </c>
    </row>
    <row r="57" customFormat="false" ht="15" hidden="false" customHeight="false" outlineLevel="0" collapsed="false">
      <c r="A57" s="84" t="n">
        <v>44434</v>
      </c>
      <c r="B57" s="85" t="n">
        <v>0</v>
      </c>
    </row>
    <row r="58" customFormat="false" ht="15" hidden="false" customHeight="false" outlineLevel="0" collapsed="false">
      <c r="A58" s="84" t="n">
        <v>44435</v>
      </c>
      <c r="B58" s="85" t="n">
        <v>0</v>
      </c>
    </row>
    <row r="59" customFormat="false" ht="15" hidden="false" customHeight="false" outlineLevel="0" collapsed="false">
      <c r="A59" s="84" t="n">
        <v>44436</v>
      </c>
      <c r="B59" s="85" t="n">
        <v>0</v>
      </c>
    </row>
    <row r="60" customFormat="false" ht="15" hidden="false" customHeight="false" outlineLevel="0" collapsed="false">
      <c r="A60" s="84" t="n">
        <v>44437</v>
      </c>
      <c r="B60" s="85" t="n">
        <v>0</v>
      </c>
    </row>
    <row r="61" customFormat="false" ht="15" hidden="false" customHeight="false" outlineLevel="0" collapsed="false">
      <c r="A61" s="84" t="n">
        <v>44438</v>
      </c>
      <c r="B61" s="85" t="n">
        <v>0</v>
      </c>
    </row>
    <row r="62" customFormat="false" ht="15" hidden="false" customHeight="false" outlineLevel="0" collapsed="false">
      <c r="A62" s="84" t="n">
        <v>44439</v>
      </c>
      <c r="B62" s="85" t="n">
        <v>0</v>
      </c>
    </row>
    <row r="63" customFormat="false" ht="15" hidden="false" customHeight="false" outlineLevel="0" collapsed="false">
      <c r="A63" s="84" t="n">
        <v>44440</v>
      </c>
      <c r="B63" s="85" t="n">
        <v>0</v>
      </c>
    </row>
    <row r="64" customFormat="false" ht="15" hidden="false" customHeight="false" outlineLevel="0" collapsed="false">
      <c r="A64" s="84" t="n">
        <v>44441</v>
      </c>
      <c r="B64" s="85" t="n">
        <v>0</v>
      </c>
    </row>
    <row r="65" customFormat="false" ht="15" hidden="false" customHeight="false" outlineLevel="0" collapsed="false">
      <c r="A65" s="84" t="n">
        <v>44442</v>
      </c>
      <c r="B65" s="85" t="n">
        <v>0</v>
      </c>
    </row>
    <row r="66" customFormat="false" ht="15" hidden="false" customHeight="false" outlineLevel="0" collapsed="false">
      <c r="A66" s="84" t="n">
        <v>44443</v>
      </c>
      <c r="B66" s="85" t="n">
        <v>0</v>
      </c>
    </row>
    <row r="67" customFormat="false" ht="15" hidden="false" customHeight="false" outlineLevel="0" collapsed="false">
      <c r="A67" s="84" t="n">
        <v>44444</v>
      </c>
      <c r="B67" s="85" t="n">
        <v>0</v>
      </c>
    </row>
    <row r="68" customFormat="false" ht="15" hidden="false" customHeight="false" outlineLevel="0" collapsed="false">
      <c r="A68" s="84" t="n">
        <v>44445</v>
      </c>
      <c r="B68" s="85" t="n">
        <v>0</v>
      </c>
    </row>
    <row r="69" customFormat="false" ht="15" hidden="false" customHeight="false" outlineLevel="0" collapsed="false">
      <c r="A69" s="84" t="n">
        <v>44446</v>
      </c>
      <c r="B69" s="85" t="n">
        <v>0</v>
      </c>
    </row>
    <row r="70" customFormat="false" ht="15" hidden="false" customHeight="false" outlineLevel="0" collapsed="false">
      <c r="A70" s="84" t="n">
        <v>44447</v>
      </c>
      <c r="B70" s="85" t="n">
        <v>0</v>
      </c>
    </row>
    <row r="71" customFormat="false" ht="15" hidden="false" customHeight="false" outlineLevel="0" collapsed="false">
      <c r="A71" s="84" t="n">
        <v>44448</v>
      </c>
      <c r="B71" s="85" t="n">
        <v>0</v>
      </c>
    </row>
    <row r="72" customFormat="false" ht="15" hidden="false" customHeight="false" outlineLevel="0" collapsed="false">
      <c r="A72" s="84" t="n">
        <v>44449</v>
      </c>
      <c r="B72" s="85" t="n">
        <v>0</v>
      </c>
    </row>
    <row r="73" customFormat="false" ht="15" hidden="false" customHeight="false" outlineLevel="0" collapsed="false">
      <c r="A73" s="84" t="n">
        <v>44450</v>
      </c>
      <c r="B73" s="85" t="n">
        <v>0</v>
      </c>
    </row>
    <row r="74" customFormat="false" ht="15" hidden="false" customHeight="false" outlineLevel="0" collapsed="false">
      <c r="A74" s="84" t="n">
        <v>44451</v>
      </c>
      <c r="B74" s="85" t="n">
        <v>0</v>
      </c>
    </row>
    <row r="75" customFormat="false" ht="15" hidden="false" customHeight="false" outlineLevel="0" collapsed="false">
      <c r="A75" s="84" t="n">
        <v>44452</v>
      </c>
      <c r="B75" s="85" t="n">
        <v>0</v>
      </c>
    </row>
    <row r="76" customFormat="false" ht="15" hidden="false" customHeight="false" outlineLevel="0" collapsed="false">
      <c r="A76" s="84" t="n">
        <v>44453</v>
      </c>
      <c r="B76" s="85" t="n">
        <v>0</v>
      </c>
    </row>
    <row r="77" customFormat="false" ht="15" hidden="false" customHeight="false" outlineLevel="0" collapsed="false">
      <c r="A77" s="84" t="n">
        <v>44454</v>
      </c>
      <c r="B77" s="85" t="n">
        <v>0</v>
      </c>
    </row>
    <row r="78" customFormat="false" ht="15" hidden="false" customHeight="false" outlineLevel="0" collapsed="false">
      <c r="A78" s="84" t="n">
        <v>44455</v>
      </c>
      <c r="B78" s="85" t="n">
        <v>0</v>
      </c>
    </row>
    <row r="79" customFormat="false" ht="15" hidden="false" customHeight="false" outlineLevel="0" collapsed="false">
      <c r="A79" s="84" t="n">
        <v>44456</v>
      </c>
      <c r="B79" s="85" t="n">
        <v>0</v>
      </c>
    </row>
    <row r="80" customFormat="false" ht="15" hidden="false" customHeight="false" outlineLevel="0" collapsed="false">
      <c r="A80" s="84" t="n">
        <v>44457</v>
      </c>
      <c r="B80" s="85" t="n">
        <v>0</v>
      </c>
    </row>
    <row r="81" customFormat="false" ht="15" hidden="false" customHeight="false" outlineLevel="0" collapsed="false">
      <c r="A81" s="84" t="n">
        <v>44458</v>
      </c>
      <c r="B81" s="85" t="n">
        <v>0</v>
      </c>
    </row>
    <row r="82" customFormat="false" ht="15" hidden="false" customHeight="false" outlineLevel="0" collapsed="false">
      <c r="A82" s="84" t="n">
        <v>44459</v>
      </c>
      <c r="B82" s="85" t="n">
        <v>0</v>
      </c>
    </row>
    <row r="83" customFormat="false" ht="15" hidden="false" customHeight="false" outlineLevel="0" collapsed="false">
      <c r="A83" s="84" t="n">
        <v>44460</v>
      </c>
      <c r="B83" s="85" t="n">
        <v>0</v>
      </c>
    </row>
    <row r="84" customFormat="false" ht="15" hidden="false" customHeight="false" outlineLevel="0" collapsed="false">
      <c r="A84" s="84" t="n">
        <v>44461</v>
      </c>
      <c r="B84" s="85" t="n">
        <v>0</v>
      </c>
    </row>
    <row r="85" customFormat="false" ht="15" hidden="false" customHeight="false" outlineLevel="0" collapsed="false">
      <c r="A85" s="84" t="n">
        <v>44462</v>
      </c>
      <c r="B85" s="85" t="n">
        <v>0</v>
      </c>
    </row>
    <row r="86" customFormat="false" ht="15" hidden="false" customHeight="false" outlineLevel="0" collapsed="false">
      <c r="A86" s="84" t="n">
        <v>44463</v>
      </c>
      <c r="B86" s="85" t="n">
        <v>0</v>
      </c>
    </row>
    <row r="87" customFormat="false" ht="15" hidden="false" customHeight="false" outlineLevel="0" collapsed="false">
      <c r="A87" s="84" t="n">
        <v>44464</v>
      </c>
      <c r="B87" s="85" t="n">
        <v>0</v>
      </c>
    </row>
    <row r="88" customFormat="false" ht="15" hidden="false" customHeight="false" outlineLevel="0" collapsed="false">
      <c r="A88" s="84" t="n">
        <v>44465</v>
      </c>
      <c r="B88" s="85" t="n">
        <v>0</v>
      </c>
    </row>
    <row r="89" customFormat="false" ht="15" hidden="false" customHeight="false" outlineLevel="0" collapsed="false">
      <c r="A89" s="84" t="n">
        <v>44466</v>
      </c>
      <c r="B89" s="85" t="n">
        <v>0</v>
      </c>
    </row>
    <row r="90" customFormat="false" ht="15" hidden="false" customHeight="false" outlineLevel="0" collapsed="false">
      <c r="A90" s="84" t="n">
        <v>44467</v>
      </c>
      <c r="B90" s="85" t="n">
        <v>0</v>
      </c>
    </row>
    <row r="91" customFormat="false" ht="15" hidden="false" customHeight="false" outlineLevel="0" collapsed="false">
      <c r="A91" s="84" t="n">
        <v>44468</v>
      </c>
      <c r="B91" s="85" t="n">
        <v>0</v>
      </c>
    </row>
    <row r="92" customFormat="false" ht="15" hidden="false" customHeight="false" outlineLevel="0" collapsed="false">
      <c r="A92" s="84" t="n">
        <v>44469</v>
      </c>
      <c r="B92" s="85" t="n">
        <v>0</v>
      </c>
    </row>
    <row r="93" customFormat="false" ht="15" hidden="false" customHeight="false" outlineLevel="0" collapsed="false">
      <c r="A93" s="84" t="n">
        <v>44470</v>
      </c>
      <c r="B93" s="85" t="n">
        <v>0</v>
      </c>
    </row>
    <row r="94" customFormat="false" ht="15" hidden="false" customHeight="false" outlineLevel="0" collapsed="false">
      <c r="A94" s="84" t="n">
        <v>44471</v>
      </c>
      <c r="B94" s="85" t="n">
        <v>0</v>
      </c>
    </row>
    <row r="95" customFormat="false" ht="15" hidden="false" customHeight="false" outlineLevel="0" collapsed="false">
      <c r="A95" s="84" t="n">
        <v>44472</v>
      </c>
      <c r="B95" s="85" t="n">
        <v>0</v>
      </c>
    </row>
    <row r="96" customFormat="false" ht="15" hidden="false" customHeight="false" outlineLevel="0" collapsed="false">
      <c r="A96" s="84" t="n">
        <v>44473</v>
      </c>
      <c r="B96" s="85" t="n">
        <v>0</v>
      </c>
    </row>
    <row r="97" customFormat="false" ht="15" hidden="false" customHeight="false" outlineLevel="0" collapsed="false">
      <c r="A97" s="84" t="n">
        <v>44474</v>
      </c>
      <c r="B97" s="85" t="n">
        <v>0</v>
      </c>
    </row>
    <row r="98" customFormat="false" ht="15" hidden="false" customHeight="false" outlineLevel="0" collapsed="false">
      <c r="A98" s="84" t="n">
        <v>44475</v>
      </c>
      <c r="B98" s="85" t="n">
        <v>0</v>
      </c>
    </row>
    <row r="99" customFormat="false" ht="15" hidden="false" customHeight="false" outlineLevel="0" collapsed="false">
      <c r="A99" s="84" t="n">
        <v>44476</v>
      </c>
      <c r="B99" s="85" t="n">
        <v>0</v>
      </c>
    </row>
    <row r="100" customFormat="false" ht="15" hidden="false" customHeight="false" outlineLevel="0" collapsed="false">
      <c r="A100" s="84" t="n">
        <v>44477</v>
      </c>
      <c r="B100" s="85" t="n">
        <v>0</v>
      </c>
    </row>
    <row r="101" customFormat="false" ht="15" hidden="false" customHeight="false" outlineLevel="0" collapsed="false">
      <c r="A101" s="84" t="n">
        <v>44478</v>
      </c>
      <c r="B101" s="85" t="n">
        <v>0</v>
      </c>
    </row>
    <row r="102" customFormat="false" ht="15" hidden="false" customHeight="false" outlineLevel="0" collapsed="false">
      <c r="A102" s="84" t="n">
        <v>44479</v>
      </c>
      <c r="B102" s="85" t="n">
        <v>0</v>
      </c>
    </row>
    <row r="103" customFormat="false" ht="15" hidden="false" customHeight="false" outlineLevel="0" collapsed="false">
      <c r="A103" s="84" t="n">
        <v>44480</v>
      </c>
      <c r="B103" s="85" t="n">
        <v>0</v>
      </c>
    </row>
    <row r="104" customFormat="false" ht="15" hidden="false" customHeight="false" outlineLevel="0" collapsed="false">
      <c r="A104" s="84" t="n">
        <v>44481</v>
      </c>
      <c r="B104" s="85" t="n">
        <v>0</v>
      </c>
    </row>
    <row r="105" customFormat="false" ht="15" hidden="false" customHeight="false" outlineLevel="0" collapsed="false">
      <c r="A105" s="84" t="n">
        <v>44482</v>
      </c>
      <c r="B105" s="85" t="n">
        <v>0</v>
      </c>
    </row>
    <row r="106" customFormat="false" ht="15" hidden="false" customHeight="false" outlineLevel="0" collapsed="false">
      <c r="A106" s="84" t="n">
        <v>44483</v>
      </c>
      <c r="B106" s="85" t="n">
        <v>0</v>
      </c>
    </row>
    <row r="107" customFormat="false" ht="15" hidden="false" customHeight="false" outlineLevel="0" collapsed="false">
      <c r="A107" s="84" t="n">
        <v>44484</v>
      </c>
      <c r="B107" s="85" t="n">
        <v>0</v>
      </c>
    </row>
    <row r="108" customFormat="false" ht="15" hidden="false" customHeight="false" outlineLevel="0" collapsed="false">
      <c r="A108" s="84" t="n">
        <v>44485</v>
      </c>
      <c r="B108" s="85" t="n">
        <v>0</v>
      </c>
    </row>
    <row r="109" customFormat="false" ht="15" hidden="false" customHeight="false" outlineLevel="0" collapsed="false">
      <c r="A109" s="84" t="n">
        <v>44486</v>
      </c>
      <c r="B109" s="85" t="n">
        <v>0</v>
      </c>
    </row>
    <row r="110" customFormat="false" ht="15" hidden="false" customHeight="false" outlineLevel="0" collapsed="false">
      <c r="A110" s="84" t="n">
        <v>44487</v>
      </c>
      <c r="B110" s="85" t="n">
        <v>0</v>
      </c>
    </row>
    <row r="111" customFormat="false" ht="15" hidden="false" customHeight="false" outlineLevel="0" collapsed="false">
      <c r="A111" s="84" t="n">
        <v>44488</v>
      </c>
      <c r="B111" s="85" t="n">
        <v>0</v>
      </c>
    </row>
    <row r="112" customFormat="false" ht="15" hidden="false" customHeight="false" outlineLevel="0" collapsed="false">
      <c r="A112" s="84" t="n">
        <v>44489</v>
      </c>
      <c r="B112" s="85" t="n">
        <v>0</v>
      </c>
    </row>
    <row r="113" customFormat="false" ht="15" hidden="false" customHeight="false" outlineLevel="0" collapsed="false">
      <c r="A113" s="84" t="n">
        <v>44490</v>
      </c>
      <c r="B113" s="85" t="n">
        <v>0</v>
      </c>
    </row>
    <row r="114" customFormat="false" ht="15" hidden="false" customHeight="false" outlineLevel="0" collapsed="false">
      <c r="A114" s="84" t="n">
        <v>44491</v>
      </c>
      <c r="B114" s="85" t="n">
        <v>0</v>
      </c>
    </row>
    <row r="115" customFormat="false" ht="15" hidden="false" customHeight="false" outlineLevel="0" collapsed="false">
      <c r="A115" s="84" t="n">
        <v>44492</v>
      </c>
      <c r="B115" s="85" t="n">
        <v>0</v>
      </c>
    </row>
    <row r="116" customFormat="false" ht="15" hidden="false" customHeight="false" outlineLevel="0" collapsed="false">
      <c r="A116" s="84" t="n">
        <v>44493</v>
      </c>
      <c r="B116" s="85" t="n">
        <v>0</v>
      </c>
    </row>
    <row r="117" customFormat="false" ht="15" hidden="false" customHeight="false" outlineLevel="0" collapsed="false">
      <c r="A117" s="84" t="n">
        <v>44494</v>
      </c>
      <c r="B117" s="85" t="n">
        <v>0</v>
      </c>
    </row>
    <row r="118" customFormat="false" ht="15" hidden="false" customHeight="false" outlineLevel="0" collapsed="false">
      <c r="A118" s="84" t="n">
        <v>44495</v>
      </c>
      <c r="B118" s="85" t="n">
        <v>0</v>
      </c>
    </row>
    <row r="119" customFormat="false" ht="15" hidden="false" customHeight="false" outlineLevel="0" collapsed="false">
      <c r="A119" s="84" t="n">
        <v>44496</v>
      </c>
      <c r="B119" s="85" t="n">
        <v>0</v>
      </c>
    </row>
    <row r="120" customFormat="false" ht="15" hidden="false" customHeight="false" outlineLevel="0" collapsed="false">
      <c r="A120" s="84" t="n">
        <v>44497</v>
      </c>
      <c r="B120" s="85" t="n">
        <v>0</v>
      </c>
    </row>
    <row r="121" customFormat="false" ht="15" hidden="false" customHeight="false" outlineLevel="0" collapsed="false">
      <c r="A121" s="84" t="n">
        <v>44498</v>
      </c>
      <c r="B121" s="85" t="n">
        <v>0</v>
      </c>
    </row>
    <row r="122" customFormat="false" ht="15" hidden="false" customHeight="false" outlineLevel="0" collapsed="false">
      <c r="A122" s="84" t="n">
        <v>44499</v>
      </c>
      <c r="B122" s="85" t="n">
        <v>0</v>
      </c>
    </row>
    <row r="123" customFormat="false" ht="15" hidden="false" customHeight="false" outlineLevel="0" collapsed="false">
      <c r="A123" s="84" t="n">
        <v>44500</v>
      </c>
      <c r="B123" s="85" t="n">
        <v>0</v>
      </c>
    </row>
    <row r="124" customFormat="false" ht="15" hidden="false" customHeight="false" outlineLevel="0" collapsed="false">
      <c r="A124" s="84" t="n">
        <v>44501</v>
      </c>
      <c r="B124" s="85" t="n">
        <v>0</v>
      </c>
    </row>
    <row r="125" customFormat="false" ht="15" hidden="false" customHeight="false" outlineLevel="0" collapsed="false">
      <c r="A125" s="84" t="n">
        <v>44502</v>
      </c>
      <c r="B125" s="85" t="n">
        <v>0</v>
      </c>
    </row>
    <row r="126" customFormat="false" ht="15" hidden="false" customHeight="false" outlineLevel="0" collapsed="false">
      <c r="A126" s="84" t="n">
        <v>44503</v>
      </c>
      <c r="B126" s="85" t="n">
        <v>0</v>
      </c>
    </row>
    <row r="127" customFormat="false" ht="15" hidden="false" customHeight="false" outlineLevel="0" collapsed="false">
      <c r="A127" s="84" t="n">
        <v>44504</v>
      </c>
      <c r="B127" s="85" t="n">
        <v>0</v>
      </c>
    </row>
    <row r="128" customFormat="false" ht="15" hidden="false" customHeight="false" outlineLevel="0" collapsed="false">
      <c r="A128" s="84" t="n">
        <v>44505</v>
      </c>
      <c r="B128" s="85" t="n">
        <v>0</v>
      </c>
    </row>
    <row r="129" customFormat="false" ht="15" hidden="false" customHeight="false" outlineLevel="0" collapsed="false">
      <c r="A129" s="84" t="n">
        <v>44506</v>
      </c>
      <c r="B129" s="85" t="n">
        <v>0</v>
      </c>
    </row>
    <row r="130" customFormat="false" ht="15" hidden="false" customHeight="false" outlineLevel="0" collapsed="false">
      <c r="A130" s="84" t="n">
        <v>44507</v>
      </c>
      <c r="B130" s="85" t="n">
        <v>0</v>
      </c>
    </row>
    <row r="131" customFormat="false" ht="15" hidden="false" customHeight="false" outlineLevel="0" collapsed="false">
      <c r="A131" s="84" t="n">
        <v>44508</v>
      </c>
      <c r="B131" s="85" t="n">
        <v>0</v>
      </c>
    </row>
    <row r="132" customFormat="false" ht="15" hidden="false" customHeight="false" outlineLevel="0" collapsed="false">
      <c r="A132" s="84" t="n">
        <v>44509</v>
      </c>
      <c r="B132" s="85" t="n">
        <v>0</v>
      </c>
    </row>
    <row r="133" customFormat="false" ht="15" hidden="false" customHeight="false" outlineLevel="0" collapsed="false">
      <c r="A133" s="84" t="n">
        <v>44510</v>
      </c>
      <c r="B133" s="85" t="n">
        <v>0</v>
      </c>
    </row>
    <row r="134" customFormat="false" ht="15" hidden="false" customHeight="false" outlineLevel="0" collapsed="false">
      <c r="A134" s="84" t="n">
        <v>44511</v>
      </c>
      <c r="B134" s="85" t="n">
        <v>0</v>
      </c>
    </row>
    <row r="135" customFormat="false" ht="15" hidden="false" customHeight="false" outlineLevel="0" collapsed="false">
      <c r="A135" s="84" t="n">
        <v>44512</v>
      </c>
      <c r="B135" s="85" t="n">
        <v>0</v>
      </c>
    </row>
    <row r="136" customFormat="false" ht="15" hidden="false" customHeight="false" outlineLevel="0" collapsed="false">
      <c r="A136" s="84" t="n">
        <v>44513</v>
      </c>
      <c r="B136" s="85" t="n">
        <v>0</v>
      </c>
    </row>
    <row r="137" customFormat="false" ht="15" hidden="false" customHeight="false" outlineLevel="0" collapsed="false">
      <c r="A137" s="84" t="n">
        <v>44514</v>
      </c>
      <c r="B137" s="85" t="n">
        <v>0</v>
      </c>
    </row>
    <row r="138" customFormat="false" ht="15" hidden="false" customHeight="false" outlineLevel="0" collapsed="false">
      <c r="A138" s="84" t="n">
        <v>44515</v>
      </c>
      <c r="B138" s="85" t="n">
        <v>0</v>
      </c>
    </row>
    <row r="139" customFormat="false" ht="15" hidden="false" customHeight="false" outlineLevel="0" collapsed="false">
      <c r="A139" s="84" t="n">
        <v>44516</v>
      </c>
      <c r="B139" s="85" t="n">
        <v>0</v>
      </c>
    </row>
    <row r="140" customFormat="false" ht="15" hidden="false" customHeight="false" outlineLevel="0" collapsed="false">
      <c r="A140" s="84" t="n">
        <v>44517</v>
      </c>
      <c r="B140" s="85" t="n">
        <v>0</v>
      </c>
    </row>
    <row r="141" customFormat="false" ht="15" hidden="false" customHeight="false" outlineLevel="0" collapsed="false">
      <c r="A141" s="84" t="n">
        <v>44518</v>
      </c>
      <c r="B141" s="85" t="n">
        <v>0</v>
      </c>
    </row>
    <row r="142" customFormat="false" ht="15" hidden="false" customHeight="false" outlineLevel="0" collapsed="false">
      <c r="A142" s="84" t="n">
        <v>44519</v>
      </c>
      <c r="B142" s="85" t="n">
        <v>0</v>
      </c>
    </row>
    <row r="143" customFormat="false" ht="15" hidden="false" customHeight="false" outlineLevel="0" collapsed="false">
      <c r="A143" s="84" t="n">
        <v>44520</v>
      </c>
      <c r="B143" s="85" t="n">
        <v>0</v>
      </c>
    </row>
    <row r="144" customFormat="false" ht="15" hidden="false" customHeight="false" outlineLevel="0" collapsed="false">
      <c r="A144" s="84" t="n">
        <v>44521</v>
      </c>
      <c r="B144" s="85" t="n">
        <v>0</v>
      </c>
    </row>
    <row r="145" customFormat="false" ht="15" hidden="false" customHeight="false" outlineLevel="0" collapsed="false">
      <c r="A145" s="84" t="n">
        <v>44522</v>
      </c>
      <c r="B145" s="85" t="n">
        <v>0</v>
      </c>
    </row>
    <row r="146" customFormat="false" ht="15" hidden="false" customHeight="false" outlineLevel="0" collapsed="false">
      <c r="A146" s="84" t="n">
        <v>44523</v>
      </c>
      <c r="B146" s="85" t="n">
        <v>0</v>
      </c>
    </row>
    <row r="147" customFormat="false" ht="15" hidden="false" customHeight="false" outlineLevel="0" collapsed="false">
      <c r="A147" s="84" t="n">
        <v>44524</v>
      </c>
      <c r="B147" s="85" t="n">
        <v>0</v>
      </c>
    </row>
    <row r="148" customFormat="false" ht="15" hidden="false" customHeight="false" outlineLevel="0" collapsed="false">
      <c r="A148" s="84" t="n">
        <v>44525</v>
      </c>
      <c r="B148" s="85" t="n">
        <v>0</v>
      </c>
    </row>
    <row r="149" customFormat="false" ht="15" hidden="false" customHeight="false" outlineLevel="0" collapsed="false">
      <c r="A149" s="84" t="n">
        <v>44526</v>
      </c>
      <c r="B149" s="85" t="n">
        <v>0</v>
      </c>
    </row>
    <row r="150" customFormat="false" ht="15" hidden="false" customHeight="false" outlineLevel="0" collapsed="false">
      <c r="A150" s="84" t="n">
        <v>44527</v>
      </c>
      <c r="B150" s="85" t="n">
        <v>0</v>
      </c>
    </row>
    <row r="151" customFormat="false" ht="15" hidden="false" customHeight="false" outlineLevel="0" collapsed="false">
      <c r="A151" s="84" t="n">
        <v>44528</v>
      </c>
      <c r="B151" s="85" t="n">
        <v>0</v>
      </c>
    </row>
    <row r="152" customFormat="false" ht="15" hidden="false" customHeight="false" outlineLevel="0" collapsed="false">
      <c r="A152" s="84" t="n">
        <v>44529</v>
      </c>
      <c r="B152" s="85" t="n">
        <v>0</v>
      </c>
    </row>
    <row r="153" customFormat="false" ht="15" hidden="false" customHeight="false" outlineLevel="0" collapsed="false">
      <c r="A153" s="84" t="n">
        <v>44530</v>
      </c>
      <c r="B153" s="85" t="n">
        <v>0</v>
      </c>
    </row>
    <row r="154" customFormat="false" ht="15" hidden="false" customHeight="false" outlineLevel="0" collapsed="false">
      <c r="A154" s="84" t="n">
        <v>44531</v>
      </c>
      <c r="B154" s="85" t="n">
        <v>0</v>
      </c>
    </row>
    <row r="155" customFormat="false" ht="15" hidden="false" customHeight="false" outlineLevel="0" collapsed="false">
      <c r="A155" s="84" t="n">
        <v>44532</v>
      </c>
      <c r="B155" s="85" t="n">
        <v>0</v>
      </c>
    </row>
    <row r="156" customFormat="false" ht="15" hidden="false" customHeight="false" outlineLevel="0" collapsed="false">
      <c r="A156" s="84" t="n">
        <v>44533</v>
      </c>
      <c r="B156" s="85" t="n">
        <v>0</v>
      </c>
    </row>
    <row r="157" customFormat="false" ht="15" hidden="false" customHeight="false" outlineLevel="0" collapsed="false">
      <c r="A157" s="84" t="n">
        <v>44534</v>
      </c>
      <c r="B157" s="85" t="n">
        <v>0</v>
      </c>
    </row>
    <row r="158" customFormat="false" ht="15" hidden="false" customHeight="false" outlineLevel="0" collapsed="false">
      <c r="A158" s="84" t="n">
        <v>44535</v>
      </c>
      <c r="B158" s="85" t="n">
        <v>0</v>
      </c>
    </row>
    <row r="159" customFormat="false" ht="15" hidden="false" customHeight="false" outlineLevel="0" collapsed="false">
      <c r="A159" s="84" t="n">
        <v>44536</v>
      </c>
      <c r="B159" s="85" t="n">
        <v>0</v>
      </c>
    </row>
    <row r="160" customFormat="false" ht="15" hidden="false" customHeight="false" outlineLevel="0" collapsed="false">
      <c r="A160" s="84" t="n">
        <v>44537</v>
      </c>
      <c r="B160" s="85" t="n">
        <v>0</v>
      </c>
    </row>
    <row r="161" customFormat="false" ht="15" hidden="false" customHeight="false" outlineLevel="0" collapsed="false">
      <c r="A161" s="84" t="n">
        <v>44538</v>
      </c>
      <c r="B161" s="85" t="n">
        <v>0</v>
      </c>
    </row>
    <row r="162" customFormat="false" ht="15" hidden="false" customHeight="false" outlineLevel="0" collapsed="false">
      <c r="A162" s="84" t="n">
        <v>44539</v>
      </c>
      <c r="B162" s="85" t="n">
        <v>0</v>
      </c>
    </row>
    <row r="163" customFormat="false" ht="15" hidden="false" customHeight="false" outlineLevel="0" collapsed="false">
      <c r="A163" s="84" t="n">
        <v>44540</v>
      </c>
      <c r="B163" s="85" t="n">
        <v>0</v>
      </c>
    </row>
    <row r="164" customFormat="false" ht="15" hidden="false" customHeight="false" outlineLevel="0" collapsed="false">
      <c r="A164" s="84" t="n">
        <v>44541</v>
      </c>
      <c r="B164" s="85" t="n">
        <v>0</v>
      </c>
    </row>
    <row r="165" customFormat="false" ht="15" hidden="false" customHeight="false" outlineLevel="0" collapsed="false">
      <c r="A165" s="84" t="n">
        <v>44542</v>
      </c>
      <c r="B165" s="85" t="n">
        <v>0</v>
      </c>
    </row>
    <row r="166" customFormat="false" ht="15" hidden="false" customHeight="false" outlineLevel="0" collapsed="false">
      <c r="A166" s="84" t="n">
        <v>44543</v>
      </c>
      <c r="B166" s="85" t="n">
        <v>0</v>
      </c>
    </row>
    <row r="167" customFormat="false" ht="15" hidden="false" customHeight="false" outlineLevel="0" collapsed="false">
      <c r="A167" s="84" t="n">
        <v>44544</v>
      </c>
      <c r="B167" s="85" t="n">
        <v>0</v>
      </c>
    </row>
    <row r="168" customFormat="false" ht="15" hidden="false" customHeight="false" outlineLevel="0" collapsed="false">
      <c r="A168" s="84" t="n">
        <v>44545</v>
      </c>
      <c r="B168" s="85" t="n">
        <v>0</v>
      </c>
    </row>
    <row r="169" customFormat="false" ht="15" hidden="false" customHeight="false" outlineLevel="0" collapsed="false">
      <c r="A169" s="84" t="n">
        <v>44546</v>
      </c>
      <c r="B169" s="85" t="n">
        <v>0</v>
      </c>
    </row>
    <row r="170" customFormat="false" ht="15" hidden="false" customHeight="false" outlineLevel="0" collapsed="false">
      <c r="A170" s="84" t="n">
        <v>44547</v>
      </c>
      <c r="B170" s="85" t="n">
        <v>0</v>
      </c>
    </row>
    <row r="171" customFormat="false" ht="15" hidden="false" customHeight="false" outlineLevel="0" collapsed="false">
      <c r="A171" s="84" t="n">
        <v>44548</v>
      </c>
      <c r="B171" s="85" t="n">
        <v>0</v>
      </c>
    </row>
    <row r="172" customFormat="false" ht="15" hidden="false" customHeight="false" outlineLevel="0" collapsed="false">
      <c r="A172" s="84" t="n">
        <v>44549</v>
      </c>
      <c r="B172" s="85" t="n">
        <v>0</v>
      </c>
    </row>
    <row r="173" customFormat="false" ht="15" hidden="false" customHeight="false" outlineLevel="0" collapsed="false">
      <c r="A173" s="84" t="n">
        <v>44550</v>
      </c>
      <c r="B173" s="85" t="n">
        <v>0</v>
      </c>
    </row>
    <row r="174" customFormat="false" ht="15" hidden="false" customHeight="false" outlineLevel="0" collapsed="false">
      <c r="A174" s="84" t="n">
        <v>44551</v>
      </c>
      <c r="B174" s="85" t="n">
        <v>0</v>
      </c>
    </row>
    <row r="175" customFormat="false" ht="15" hidden="false" customHeight="false" outlineLevel="0" collapsed="false">
      <c r="A175" s="84" t="n">
        <v>44552</v>
      </c>
      <c r="B175" s="85" t="n">
        <v>0</v>
      </c>
    </row>
    <row r="176" customFormat="false" ht="15" hidden="false" customHeight="false" outlineLevel="0" collapsed="false">
      <c r="A176" s="84" t="n">
        <v>44553</v>
      </c>
      <c r="B176" s="85" t="n">
        <v>0</v>
      </c>
    </row>
    <row r="177" customFormat="false" ht="15" hidden="false" customHeight="false" outlineLevel="0" collapsed="false">
      <c r="A177" s="84" t="n">
        <v>44554</v>
      </c>
      <c r="B177" s="85" t="n">
        <v>0</v>
      </c>
    </row>
    <row r="178" customFormat="false" ht="15" hidden="false" customHeight="false" outlineLevel="0" collapsed="false">
      <c r="A178" s="84" t="n">
        <v>44555</v>
      </c>
      <c r="B178" s="85" t="n">
        <v>0</v>
      </c>
    </row>
    <row r="179" customFormat="false" ht="15" hidden="false" customHeight="false" outlineLevel="0" collapsed="false">
      <c r="A179" s="84" t="n">
        <v>44556</v>
      </c>
      <c r="B179" s="85" t="n">
        <v>0</v>
      </c>
    </row>
    <row r="180" customFormat="false" ht="15" hidden="false" customHeight="false" outlineLevel="0" collapsed="false">
      <c r="A180" s="84" t="n">
        <v>44557</v>
      </c>
      <c r="B180" s="85" t="n">
        <v>0</v>
      </c>
    </row>
    <row r="181" customFormat="false" ht="15" hidden="false" customHeight="false" outlineLevel="0" collapsed="false">
      <c r="A181" s="84" t="n">
        <v>44558</v>
      </c>
      <c r="B181" s="85" t="n">
        <v>0</v>
      </c>
    </row>
    <row r="182" customFormat="false" ht="15" hidden="false" customHeight="false" outlineLevel="0" collapsed="false">
      <c r="A182" s="84" t="n">
        <v>44559</v>
      </c>
      <c r="B182" s="85" t="n">
        <v>0</v>
      </c>
    </row>
    <row r="183" customFormat="false" ht="15" hidden="false" customHeight="false" outlineLevel="0" collapsed="false">
      <c r="A183" s="84" t="n">
        <v>44560</v>
      </c>
      <c r="B183" s="85" t="n">
        <v>0</v>
      </c>
    </row>
    <row r="184" customFormat="false" ht="15" hidden="false" customHeight="false" outlineLevel="0" collapsed="false">
      <c r="A184" s="84" t="n">
        <v>44561</v>
      </c>
      <c r="B184" s="85" t="n">
        <v>0</v>
      </c>
    </row>
    <row r="185" customFormat="false" ht="15" hidden="false" customHeight="false" outlineLevel="0" collapsed="false">
      <c r="A185" s="84" t="n">
        <v>44562</v>
      </c>
      <c r="B185" s="85" t="n">
        <v>0</v>
      </c>
    </row>
    <row r="186" customFormat="false" ht="15" hidden="false" customHeight="false" outlineLevel="0" collapsed="false">
      <c r="A186" s="84" t="n">
        <v>44563</v>
      </c>
      <c r="B186" s="85" t="n">
        <v>0</v>
      </c>
    </row>
    <row r="187" customFormat="false" ht="15" hidden="false" customHeight="false" outlineLevel="0" collapsed="false">
      <c r="A187" s="84" t="n">
        <v>44564</v>
      </c>
      <c r="B187" s="85" t="n">
        <v>0</v>
      </c>
    </row>
    <row r="188" customFormat="false" ht="15" hidden="false" customHeight="false" outlineLevel="0" collapsed="false">
      <c r="A188" s="84" t="n">
        <v>44565</v>
      </c>
      <c r="B188" s="85" t="n">
        <v>0</v>
      </c>
    </row>
    <row r="189" customFormat="false" ht="15" hidden="false" customHeight="false" outlineLevel="0" collapsed="false">
      <c r="A189" s="84" t="n">
        <v>44566</v>
      </c>
      <c r="B189" s="85" t="n">
        <v>0</v>
      </c>
    </row>
    <row r="190" customFormat="false" ht="15" hidden="false" customHeight="false" outlineLevel="0" collapsed="false">
      <c r="A190" s="84" t="n">
        <v>44567</v>
      </c>
      <c r="B190" s="85" t="n">
        <v>0</v>
      </c>
    </row>
    <row r="191" customFormat="false" ht="15" hidden="false" customHeight="false" outlineLevel="0" collapsed="false">
      <c r="A191" s="84" t="n">
        <v>44568</v>
      </c>
      <c r="B191" s="85" t="n">
        <v>0</v>
      </c>
    </row>
    <row r="192" customFormat="false" ht="15" hidden="false" customHeight="false" outlineLevel="0" collapsed="false">
      <c r="A192" s="84" t="n">
        <v>44569</v>
      </c>
      <c r="B192" s="85" t="n">
        <v>0</v>
      </c>
    </row>
    <row r="193" customFormat="false" ht="15" hidden="false" customHeight="false" outlineLevel="0" collapsed="false">
      <c r="A193" s="84" t="n">
        <v>44570</v>
      </c>
      <c r="B193" s="85" t="n">
        <v>0</v>
      </c>
    </row>
    <row r="194" customFormat="false" ht="15" hidden="false" customHeight="false" outlineLevel="0" collapsed="false">
      <c r="A194" s="84" t="n">
        <v>44571</v>
      </c>
      <c r="B194" s="85" t="n">
        <v>0</v>
      </c>
    </row>
    <row r="195" customFormat="false" ht="15" hidden="false" customHeight="false" outlineLevel="0" collapsed="false">
      <c r="A195" s="84" t="n">
        <v>44572</v>
      </c>
      <c r="B195" s="85" t="n">
        <v>0</v>
      </c>
    </row>
    <row r="196" customFormat="false" ht="15" hidden="false" customHeight="false" outlineLevel="0" collapsed="false">
      <c r="A196" s="84" t="n">
        <v>44573</v>
      </c>
      <c r="B196" s="85" t="n">
        <v>0</v>
      </c>
    </row>
    <row r="197" customFormat="false" ht="15" hidden="false" customHeight="false" outlineLevel="0" collapsed="false">
      <c r="A197" s="84" t="n">
        <v>44574</v>
      </c>
      <c r="B197" s="85" t="n">
        <v>0</v>
      </c>
    </row>
    <row r="198" customFormat="false" ht="15" hidden="false" customHeight="false" outlineLevel="0" collapsed="false">
      <c r="A198" s="84" t="n">
        <v>44575</v>
      </c>
      <c r="B198" s="85" t="n">
        <v>0</v>
      </c>
    </row>
    <row r="199" customFormat="false" ht="15" hidden="false" customHeight="false" outlineLevel="0" collapsed="false">
      <c r="A199" s="84" t="n">
        <v>44576</v>
      </c>
      <c r="B199" s="85" t="n">
        <v>0</v>
      </c>
    </row>
    <row r="200" customFormat="false" ht="15" hidden="false" customHeight="false" outlineLevel="0" collapsed="false">
      <c r="A200" s="84" t="n">
        <v>44577</v>
      </c>
      <c r="B200" s="85" t="n">
        <v>0</v>
      </c>
    </row>
    <row r="201" customFormat="false" ht="15" hidden="false" customHeight="false" outlineLevel="0" collapsed="false">
      <c r="A201" s="84" t="n">
        <v>44578</v>
      </c>
      <c r="B201" s="85" t="n">
        <v>0</v>
      </c>
    </row>
    <row r="202" customFormat="false" ht="15" hidden="false" customHeight="false" outlineLevel="0" collapsed="false">
      <c r="A202" s="84" t="n">
        <v>44579</v>
      </c>
      <c r="B202" s="85" t="n">
        <v>0</v>
      </c>
    </row>
    <row r="203" customFormat="false" ht="15" hidden="false" customHeight="false" outlineLevel="0" collapsed="false">
      <c r="A203" s="84" t="n">
        <v>44580</v>
      </c>
      <c r="B203" s="85" t="n">
        <v>0</v>
      </c>
    </row>
    <row r="204" customFormat="false" ht="15" hidden="false" customHeight="false" outlineLevel="0" collapsed="false">
      <c r="A204" s="84" t="n">
        <v>44581</v>
      </c>
      <c r="B204" s="85" t="n">
        <v>0</v>
      </c>
    </row>
    <row r="205" customFormat="false" ht="15" hidden="false" customHeight="false" outlineLevel="0" collapsed="false">
      <c r="A205" s="84" t="n">
        <v>44582</v>
      </c>
      <c r="B205" s="85" t="n">
        <v>0</v>
      </c>
    </row>
    <row r="206" customFormat="false" ht="15" hidden="false" customHeight="false" outlineLevel="0" collapsed="false">
      <c r="A206" s="84" t="n">
        <v>44583</v>
      </c>
      <c r="B206" s="85" t="n">
        <v>0</v>
      </c>
    </row>
    <row r="207" customFormat="false" ht="15" hidden="false" customHeight="false" outlineLevel="0" collapsed="false">
      <c r="A207" s="84" t="n">
        <v>44584</v>
      </c>
      <c r="B207" s="85" t="n">
        <v>0</v>
      </c>
    </row>
    <row r="208" customFormat="false" ht="15" hidden="false" customHeight="false" outlineLevel="0" collapsed="false">
      <c r="A208" s="84" t="n">
        <v>44585</v>
      </c>
      <c r="B208" s="85" t="n">
        <v>0</v>
      </c>
    </row>
    <row r="209" customFormat="false" ht="15" hidden="false" customHeight="false" outlineLevel="0" collapsed="false">
      <c r="A209" s="84" t="n">
        <v>44586</v>
      </c>
      <c r="B209" s="85" t="n">
        <v>0</v>
      </c>
    </row>
    <row r="210" customFormat="false" ht="15" hidden="false" customHeight="false" outlineLevel="0" collapsed="false">
      <c r="A210" s="84" t="n">
        <v>44587</v>
      </c>
      <c r="B210" s="85" t="n">
        <v>0</v>
      </c>
    </row>
    <row r="211" customFormat="false" ht="15" hidden="false" customHeight="false" outlineLevel="0" collapsed="false">
      <c r="A211" s="84" t="n">
        <v>44588</v>
      </c>
      <c r="B211" s="85" t="n">
        <v>0</v>
      </c>
    </row>
    <row r="212" customFormat="false" ht="15" hidden="false" customHeight="false" outlineLevel="0" collapsed="false">
      <c r="A212" s="84" t="n">
        <v>44589</v>
      </c>
      <c r="B212" s="85" t="n">
        <v>0</v>
      </c>
    </row>
    <row r="213" customFormat="false" ht="15" hidden="false" customHeight="false" outlineLevel="0" collapsed="false">
      <c r="A213" s="84" t="n">
        <v>44590</v>
      </c>
      <c r="B213" s="85" t="n">
        <v>0</v>
      </c>
    </row>
    <row r="214" customFormat="false" ht="15" hidden="false" customHeight="false" outlineLevel="0" collapsed="false">
      <c r="A214" s="84" t="n">
        <v>44591</v>
      </c>
      <c r="B214" s="85" t="n">
        <v>0</v>
      </c>
    </row>
    <row r="215" customFormat="false" ht="15" hidden="false" customHeight="false" outlineLevel="0" collapsed="false">
      <c r="A215" s="84" t="n">
        <v>44592</v>
      </c>
      <c r="B215" s="85" t="n">
        <v>0</v>
      </c>
    </row>
    <row r="216" customFormat="false" ht="15" hidden="false" customHeight="false" outlineLevel="0" collapsed="false">
      <c r="A216" s="84" t="n">
        <v>44593</v>
      </c>
      <c r="B216" s="85" t="n">
        <v>0</v>
      </c>
    </row>
    <row r="217" customFormat="false" ht="15" hidden="false" customHeight="false" outlineLevel="0" collapsed="false">
      <c r="A217" s="84" t="n">
        <v>44594</v>
      </c>
      <c r="B217" s="85" t="n">
        <v>0</v>
      </c>
    </row>
    <row r="218" customFormat="false" ht="15" hidden="false" customHeight="false" outlineLevel="0" collapsed="false">
      <c r="A218" s="84" t="n">
        <v>44595</v>
      </c>
      <c r="B218" s="85" t="n">
        <v>0</v>
      </c>
    </row>
    <row r="219" customFormat="false" ht="15" hidden="false" customHeight="false" outlineLevel="0" collapsed="false">
      <c r="A219" s="84" t="n">
        <v>44596</v>
      </c>
      <c r="B219" s="85" t="n">
        <v>0</v>
      </c>
    </row>
    <row r="220" customFormat="false" ht="15" hidden="false" customHeight="false" outlineLevel="0" collapsed="false">
      <c r="A220" s="84" t="n">
        <v>44597</v>
      </c>
      <c r="B220" s="85" t="n">
        <v>0</v>
      </c>
    </row>
    <row r="221" customFormat="false" ht="15" hidden="false" customHeight="false" outlineLevel="0" collapsed="false">
      <c r="A221" s="84" t="n">
        <v>44598</v>
      </c>
      <c r="B221" s="85" t="n">
        <v>0</v>
      </c>
    </row>
    <row r="222" customFormat="false" ht="15" hidden="false" customHeight="false" outlineLevel="0" collapsed="false">
      <c r="A222" s="84" t="n">
        <v>44599</v>
      </c>
      <c r="B222" s="85" t="n">
        <v>0</v>
      </c>
    </row>
    <row r="223" customFormat="false" ht="15" hidden="false" customHeight="false" outlineLevel="0" collapsed="false">
      <c r="A223" s="84" t="n">
        <v>44600</v>
      </c>
      <c r="B223" s="85" t="n">
        <v>0</v>
      </c>
    </row>
    <row r="224" customFormat="false" ht="15" hidden="false" customHeight="false" outlineLevel="0" collapsed="false">
      <c r="A224" s="84" t="n">
        <v>44601</v>
      </c>
      <c r="B224" s="85" t="n">
        <v>0</v>
      </c>
    </row>
    <row r="225" customFormat="false" ht="15" hidden="false" customHeight="false" outlineLevel="0" collapsed="false">
      <c r="A225" s="84" t="n">
        <v>44602</v>
      </c>
      <c r="B225" s="85" t="n">
        <v>0</v>
      </c>
    </row>
    <row r="226" customFormat="false" ht="15" hidden="false" customHeight="false" outlineLevel="0" collapsed="false">
      <c r="A226" s="84" t="n">
        <v>44603</v>
      </c>
      <c r="B226" s="85" t="n">
        <v>0</v>
      </c>
    </row>
    <row r="227" customFormat="false" ht="15" hidden="false" customHeight="false" outlineLevel="0" collapsed="false">
      <c r="A227" s="84" t="n">
        <v>44604</v>
      </c>
      <c r="B227" s="85" t="n">
        <v>0</v>
      </c>
    </row>
    <row r="228" customFormat="false" ht="15" hidden="false" customHeight="false" outlineLevel="0" collapsed="false">
      <c r="A228" s="84" t="n">
        <v>44605</v>
      </c>
      <c r="B228" s="85" t="n">
        <v>0</v>
      </c>
    </row>
    <row r="229" customFormat="false" ht="15" hidden="false" customHeight="false" outlineLevel="0" collapsed="false">
      <c r="A229" s="84" t="n">
        <v>44606</v>
      </c>
      <c r="B229" s="85" t="n">
        <v>0</v>
      </c>
    </row>
    <row r="230" customFormat="false" ht="15" hidden="false" customHeight="false" outlineLevel="0" collapsed="false">
      <c r="A230" s="84" t="n">
        <v>44607</v>
      </c>
      <c r="B230" s="85" t="n">
        <v>0</v>
      </c>
    </row>
    <row r="231" customFormat="false" ht="15" hidden="false" customHeight="false" outlineLevel="0" collapsed="false">
      <c r="A231" s="84" t="n">
        <v>44608</v>
      </c>
      <c r="B231" s="85" t="n">
        <v>0</v>
      </c>
    </row>
    <row r="232" customFormat="false" ht="15" hidden="false" customHeight="false" outlineLevel="0" collapsed="false">
      <c r="A232" s="84" t="n">
        <v>44609</v>
      </c>
      <c r="B232" s="85" t="n">
        <v>0</v>
      </c>
    </row>
    <row r="233" customFormat="false" ht="15" hidden="false" customHeight="false" outlineLevel="0" collapsed="false">
      <c r="A233" s="84" t="n">
        <v>44610</v>
      </c>
      <c r="B233" s="85" t="n">
        <v>0</v>
      </c>
    </row>
    <row r="234" customFormat="false" ht="15" hidden="false" customHeight="false" outlineLevel="0" collapsed="false">
      <c r="A234" s="84" t="n">
        <v>44611</v>
      </c>
      <c r="B234" s="85" t="n">
        <v>0</v>
      </c>
    </row>
    <row r="235" customFormat="false" ht="15" hidden="false" customHeight="false" outlineLevel="0" collapsed="false">
      <c r="A235" s="84" t="n">
        <v>44612</v>
      </c>
      <c r="B235" s="85" t="n">
        <v>0</v>
      </c>
    </row>
    <row r="236" customFormat="false" ht="15" hidden="false" customHeight="false" outlineLevel="0" collapsed="false">
      <c r="A236" s="84" t="n">
        <v>44613</v>
      </c>
      <c r="B236" s="85" t="n">
        <v>0</v>
      </c>
    </row>
    <row r="237" customFormat="false" ht="15" hidden="false" customHeight="false" outlineLevel="0" collapsed="false">
      <c r="A237" s="84" t="n">
        <v>44614</v>
      </c>
      <c r="B237" s="85" t="n">
        <v>0</v>
      </c>
    </row>
    <row r="238" customFormat="false" ht="15" hidden="false" customHeight="false" outlineLevel="0" collapsed="false">
      <c r="A238" s="84" t="n">
        <v>44615</v>
      </c>
      <c r="B238" s="85" t="n">
        <v>0</v>
      </c>
    </row>
    <row r="239" customFormat="false" ht="15" hidden="false" customHeight="false" outlineLevel="0" collapsed="false">
      <c r="A239" s="84" t="n">
        <v>44616</v>
      </c>
      <c r="B239" s="85" t="n">
        <v>0</v>
      </c>
    </row>
    <row r="240" customFormat="false" ht="15" hidden="false" customHeight="false" outlineLevel="0" collapsed="false">
      <c r="A240" s="84" t="n">
        <v>44617</v>
      </c>
      <c r="B240" s="85" t="n">
        <v>0</v>
      </c>
    </row>
    <row r="241" customFormat="false" ht="15" hidden="false" customHeight="false" outlineLevel="0" collapsed="false">
      <c r="A241" s="84" t="n">
        <v>44618</v>
      </c>
      <c r="B241" s="85" t="n">
        <v>0</v>
      </c>
    </row>
    <row r="242" customFormat="false" ht="15" hidden="false" customHeight="false" outlineLevel="0" collapsed="false">
      <c r="A242" s="84" t="n">
        <v>44619</v>
      </c>
      <c r="B242" s="85" t="n">
        <v>0</v>
      </c>
    </row>
    <row r="243" customFormat="false" ht="15" hidden="false" customHeight="false" outlineLevel="0" collapsed="false">
      <c r="A243" s="84" t="n">
        <v>44620</v>
      </c>
      <c r="B243" s="85" t="n">
        <v>0</v>
      </c>
    </row>
    <row r="244" customFormat="false" ht="15" hidden="false" customHeight="false" outlineLevel="0" collapsed="false">
      <c r="A244" s="84" t="n">
        <v>44621</v>
      </c>
      <c r="B244" s="85" t="n">
        <v>0</v>
      </c>
    </row>
    <row r="245" customFormat="false" ht="15" hidden="false" customHeight="false" outlineLevel="0" collapsed="false">
      <c r="A245" s="84" t="n">
        <v>44622</v>
      </c>
      <c r="B245" s="85" t="n">
        <v>0</v>
      </c>
    </row>
    <row r="246" customFormat="false" ht="15" hidden="false" customHeight="false" outlineLevel="0" collapsed="false">
      <c r="A246" s="84" t="n">
        <v>44623</v>
      </c>
      <c r="B246" s="85" t="n">
        <v>0</v>
      </c>
    </row>
    <row r="247" customFormat="false" ht="15" hidden="false" customHeight="false" outlineLevel="0" collapsed="false">
      <c r="A247" s="84" t="n">
        <v>44624</v>
      </c>
      <c r="B247" s="85" t="n">
        <v>0</v>
      </c>
    </row>
    <row r="248" customFormat="false" ht="15" hidden="false" customHeight="false" outlineLevel="0" collapsed="false">
      <c r="A248" s="84" t="n">
        <v>44625</v>
      </c>
      <c r="B248" s="85" t="n">
        <v>0</v>
      </c>
    </row>
    <row r="249" customFormat="false" ht="15" hidden="false" customHeight="false" outlineLevel="0" collapsed="false">
      <c r="A249" s="84" t="n">
        <v>44626</v>
      </c>
      <c r="B249" s="85" t="n">
        <v>0</v>
      </c>
    </row>
    <row r="250" customFormat="false" ht="15" hidden="false" customHeight="false" outlineLevel="0" collapsed="false">
      <c r="A250" s="84" t="n">
        <v>44627</v>
      </c>
      <c r="B250" s="85" t="n">
        <v>0</v>
      </c>
    </row>
    <row r="251" customFormat="false" ht="15" hidden="false" customHeight="false" outlineLevel="0" collapsed="false">
      <c r="A251" s="84" t="n">
        <v>44628</v>
      </c>
      <c r="B251" s="85" t="n">
        <v>0</v>
      </c>
    </row>
    <row r="252" customFormat="false" ht="15" hidden="false" customHeight="false" outlineLevel="0" collapsed="false">
      <c r="A252" s="84" t="n">
        <v>44629</v>
      </c>
      <c r="B252" s="85" t="n">
        <v>0</v>
      </c>
    </row>
    <row r="253" customFormat="false" ht="15" hidden="false" customHeight="false" outlineLevel="0" collapsed="false">
      <c r="A253" s="84" t="n">
        <v>44630</v>
      </c>
      <c r="B253" s="85" t="n">
        <v>0</v>
      </c>
    </row>
    <row r="254" customFormat="false" ht="15" hidden="false" customHeight="false" outlineLevel="0" collapsed="false">
      <c r="A254" s="84" t="n">
        <v>44631</v>
      </c>
      <c r="B254" s="85" t="n">
        <v>0</v>
      </c>
    </row>
    <row r="255" customFormat="false" ht="15" hidden="false" customHeight="false" outlineLevel="0" collapsed="false">
      <c r="A255" s="84" t="n">
        <v>44632</v>
      </c>
      <c r="B255" s="85" t="n">
        <v>0</v>
      </c>
    </row>
    <row r="256" customFormat="false" ht="15" hidden="false" customHeight="false" outlineLevel="0" collapsed="false">
      <c r="A256" s="84" t="n">
        <v>44633</v>
      </c>
      <c r="B256" s="85" t="n">
        <v>0</v>
      </c>
    </row>
    <row r="257" customFormat="false" ht="15" hidden="false" customHeight="false" outlineLevel="0" collapsed="false">
      <c r="A257" s="84" t="n">
        <v>44634</v>
      </c>
      <c r="B257" s="85" t="n">
        <v>0</v>
      </c>
    </row>
    <row r="258" customFormat="false" ht="15" hidden="false" customHeight="false" outlineLevel="0" collapsed="false">
      <c r="A258" s="84" t="n">
        <v>44635</v>
      </c>
      <c r="B258" s="85" t="n">
        <v>0</v>
      </c>
    </row>
    <row r="259" customFormat="false" ht="15" hidden="false" customHeight="false" outlineLevel="0" collapsed="false">
      <c r="A259" s="84" t="n">
        <v>44636</v>
      </c>
      <c r="B259" s="85" t="n">
        <v>0</v>
      </c>
    </row>
    <row r="260" customFormat="false" ht="15" hidden="false" customHeight="false" outlineLevel="0" collapsed="false">
      <c r="A260" s="84" t="n">
        <v>44637</v>
      </c>
      <c r="B260" s="85" t="n">
        <v>0</v>
      </c>
    </row>
    <row r="261" customFormat="false" ht="15" hidden="false" customHeight="false" outlineLevel="0" collapsed="false">
      <c r="A261" s="84" t="n">
        <v>44638</v>
      </c>
      <c r="B261" s="85" t="n">
        <v>0</v>
      </c>
    </row>
    <row r="262" customFormat="false" ht="15" hidden="false" customHeight="false" outlineLevel="0" collapsed="false">
      <c r="A262" s="84" t="n">
        <v>44639</v>
      </c>
      <c r="B262" s="85" t="n">
        <v>0</v>
      </c>
    </row>
    <row r="263" customFormat="false" ht="15" hidden="false" customHeight="false" outlineLevel="0" collapsed="false">
      <c r="A263" s="84" t="n">
        <v>44640</v>
      </c>
      <c r="B263" s="85" t="n">
        <v>0</v>
      </c>
    </row>
    <row r="264" customFormat="false" ht="15" hidden="false" customHeight="false" outlineLevel="0" collapsed="false">
      <c r="A264" s="84" t="n">
        <v>44641</v>
      </c>
      <c r="B264" s="85" t="n">
        <v>0</v>
      </c>
    </row>
    <row r="265" customFormat="false" ht="15" hidden="false" customHeight="false" outlineLevel="0" collapsed="false">
      <c r="A265" s="84" t="n">
        <v>44642</v>
      </c>
      <c r="B265" s="85" t="n">
        <v>0</v>
      </c>
    </row>
    <row r="266" customFormat="false" ht="15" hidden="false" customHeight="false" outlineLevel="0" collapsed="false">
      <c r="A266" s="84" t="n">
        <v>44643</v>
      </c>
      <c r="B266" s="85" t="n">
        <v>0</v>
      </c>
    </row>
    <row r="267" customFormat="false" ht="15" hidden="false" customHeight="false" outlineLevel="0" collapsed="false">
      <c r="A267" s="84" t="n">
        <v>44644</v>
      </c>
      <c r="B267" s="85" t="n">
        <v>0</v>
      </c>
    </row>
    <row r="268" customFormat="false" ht="15" hidden="false" customHeight="false" outlineLevel="0" collapsed="false">
      <c r="A268" s="84" t="n">
        <v>44645</v>
      </c>
      <c r="B268" s="85" t="n">
        <v>0</v>
      </c>
    </row>
    <row r="269" customFormat="false" ht="15" hidden="false" customHeight="false" outlineLevel="0" collapsed="false">
      <c r="A269" s="84" t="n">
        <v>44646</v>
      </c>
      <c r="B269" s="85" t="n">
        <v>0</v>
      </c>
    </row>
    <row r="270" customFormat="false" ht="15" hidden="false" customHeight="false" outlineLevel="0" collapsed="false">
      <c r="A270" s="84" t="n">
        <v>44647</v>
      </c>
      <c r="B270" s="85" t="n">
        <v>0</v>
      </c>
    </row>
    <row r="271" customFormat="false" ht="15" hidden="false" customHeight="false" outlineLevel="0" collapsed="false">
      <c r="A271" s="84" t="n">
        <v>44648</v>
      </c>
      <c r="B271" s="85" t="n">
        <v>0</v>
      </c>
    </row>
    <row r="272" customFormat="false" ht="15" hidden="false" customHeight="false" outlineLevel="0" collapsed="false">
      <c r="A272" s="84" t="n">
        <v>44649</v>
      </c>
      <c r="B272" s="85" t="n">
        <v>0</v>
      </c>
    </row>
    <row r="273" customFormat="false" ht="15" hidden="false" customHeight="false" outlineLevel="0" collapsed="false">
      <c r="A273" s="84" t="n">
        <v>44650</v>
      </c>
      <c r="B273" s="85" t="n">
        <v>0</v>
      </c>
    </row>
    <row r="274" customFormat="false" ht="15" hidden="false" customHeight="false" outlineLevel="0" collapsed="false">
      <c r="A274" s="84" t="n">
        <v>44651</v>
      </c>
      <c r="B274" s="85" t="n">
        <v>0</v>
      </c>
    </row>
    <row r="275" customFormat="false" ht="15" hidden="false" customHeight="false" outlineLevel="0" collapsed="false">
      <c r="A275" s="84" t="n">
        <v>44652</v>
      </c>
      <c r="B275" s="85" t="n">
        <v>0</v>
      </c>
    </row>
    <row r="276" customFormat="false" ht="15" hidden="false" customHeight="false" outlineLevel="0" collapsed="false">
      <c r="A276" s="84" t="n">
        <v>44653</v>
      </c>
      <c r="B276" s="85" t="n">
        <v>0</v>
      </c>
    </row>
    <row r="277" customFormat="false" ht="15" hidden="false" customHeight="false" outlineLevel="0" collapsed="false">
      <c r="A277" s="84" t="n">
        <v>44654</v>
      </c>
      <c r="B277" s="85" t="n">
        <v>0</v>
      </c>
    </row>
    <row r="278" customFormat="false" ht="15" hidden="false" customHeight="false" outlineLevel="0" collapsed="false">
      <c r="A278" s="84" t="n">
        <v>44655</v>
      </c>
      <c r="B278" s="85" t="n">
        <v>0</v>
      </c>
    </row>
    <row r="279" customFormat="false" ht="15" hidden="false" customHeight="false" outlineLevel="0" collapsed="false">
      <c r="A279" s="84" t="n">
        <v>44656</v>
      </c>
      <c r="B279" s="85" t="n">
        <v>0</v>
      </c>
    </row>
    <row r="280" customFormat="false" ht="15" hidden="false" customHeight="false" outlineLevel="0" collapsed="false">
      <c r="A280" s="84" t="n">
        <v>44657</v>
      </c>
      <c r="B280" s="85" t="n">
        <v>0</v>
      </c>
    </row>
    <row r="281" customFormat="false" ht="15" hidden="false" customHeight="false" outlineLevel="0" collapsed="false">
      <c r="A281" s="84" t="n">
        <v>44658</v>
      </c>
      <c r="B281" s="85" t="n">
        <v>0</v>
      </c>
    </row>
    <row r="282" customFormat="false" ht="15" hidden="false" customHeight="false" outlineLevel="0" collapsed="false">
      <c r="A282" s="84" t="n">
        <v>44659</v>
      </c>
      <c r="B282" s="85" t="n">
        <v>0</v>
      </c>
    </row>
    <row r="283" customFormat="false" ht="15" hidden="false" customHeight="false" outlineLevel="0" collapsed="false">
      <c r="A283" s="84" t="n">
        <v>44660</v>
      </c>
      <c r="B283" s="85" t="n">
        <v>0</v>
      </c>
    </row>
    <row r="284" customFormat="false" ht="15" hidden="false" customHeight="false" outlineLevel="0" collapsed="false">
      <c r="A284" s="84" t="n">
        <v>44661</v>
      </c>
      <c r="B284" s="85" t="n">
        <v>0</v>
      </c>
    </row>
    <row r="285" customFormat="false" ht="15" hidden="false" customHeight="false" outlineLevel="0" collapsed="false">
      <c r="A285" s="84" t="n">
        <v>44662</v>
      </c>
      <c r="B285" s="85" t="n">
        <v>0</v>
      </c>
    </row>
    <row r="286" customFormat="false" ht="15" hidden="false" customHeight="false" outlineLevel="0" collapsed="false">
      <c r="A286" s="84" t="n">
        <v>44663</v>
      </c>
      <c r="B286" s="85" t="n">
        <v>0</v>
      </c>
    </row>
    <row r="287" customFormat="false" ht="15" hidden="false" customHeight="false" outlineLevel="0" collapsed="false">
      <c r="A287" s="84" t="n">
        <v>44664</v>
      </c>
      <c r="B287" s="85" t="n">
        <v>0</v>
      </c>
    </row>
    <row r="288" customFormat="false" ht="15" hidden="false" customHeight="false" outlineLevel="0" collapsed="false">
      <c r="A288" s="84" t="n">
        <v>44665</v>
      </c>
      <c r="B288" s="85" t="n">
        <v>0</v>
      </c>
    </row>
    <row r="289" customFormat="false" ht="15" hidden="false" customHeight="false" outlineLevel="0" collapsed="false">
      <c r="A289" s="84" t="n">
        <v>44666</v>
      </c>
      <c r="B289" s="85" t="n">
        <v>0</v>
      </c>
    </row>
    <row r="290" customFormat="false" ht="15" hidden="false" customHeight="false" outlineLevel="0" collapsed="false">
      <c r="A290" s="84" t="n">
        <v>44667</v>
      </c>
      <c r="B290" s="85" t="n">
        <v>0</v>
      </c>
    </row>
    <row r="291" customFormat="false" ht="15" hidden="false" customHeight="false" outlineLevel="0" collapsed="false">
      <c r="A291" s="84" t="n">
        <v>44668</v>
      </c>
      <c r="B291" s="85" t="n">
        <v>0</v>
      </c>
    </row>
    <row r="292" customFormat="false" ht="15" hidden="false" customHeight="false" outlineLevel="0" collapsed="false">
      <c r="A292" s="84" t="n">
        <v>44669</v>
      </c>
      <c r="B292" s="85" t="n">
        <v>0</v>
      </c>
    </row>
    <row r="293" customFormat="false" ht="15" hidden="false" customHeight="false" outlineLevel="0" collapsed="false">
      <c r="A293" s="84" t="n">
        <v>44670</v>
      </c>
      <c r="B293" s="85" t="n">
        <v>0</v>
      </c>
    </row>
    <row r="294" customFormat="false" ht="15" hidden="false" customHeight="false" outlineLevel="0" collapsed="false">
      <c r="A294" s="84" t="n">
        <v>44671</v>
      </c>
      <c r="B294" s="85" t="n">
        <v>0</v>
      </c>
    </row>
    <row r="295" customFormat="false" ht="15" hidden="false" customHeight="false" outlineLevel="0" collapsed="false">
      <c r="A295" s="84" t="n">
        <v>44672</v>
      </c>
      <c r="B295" s="85" t="n">
        <v>0</v>
      </c>
    </row>
    <row r="296" customFormat="false" ht="15" hidden="false" customHeight="false" outlineLevel="0" collapsed="false">
      <c r="A296" s="84" t="n">
        <v>44673</v>
      </c>
      <c r="B296" s="85" t="n">
        <v>0</v>
      </c>
    </row>
    <row r="297" customFormat="false" ht="15" hidden="false" customHeight="false" outlineLevel="0" collapsed="false">
      <c r="A297" s="84" t="n">
        <v>44674</v>
      </c>
      <c r="B297" s="85" t="n">
        <v>0</v>
      </c>
    </row>
    <row r="298" customFormat="false" ht="15" hidden="false" customHeight="false" outlineLevel="0" collapsed="false">
      <c r="A298" s="84" t="n">
        <v>44675</v>
      </c>
      <c r="B298" s="85" t="n">
        <v>0</v>
      </c>
    </row>
    <row r="299" customFormat="false" ht="15" hidden="false" customHeight="false" outlineLevel="0" collapsed="false">
      <c r="A299" s="84" t="n">
        <v>44676</v>
      </c>
      <c r="B299" s="85" t="n">
        <v>0</v>
      </c>
    </row>
    <row r="300" customFormat="false" ht="15" hidden="false" customHeight="false" outlineLevel="0" collapsed="false">
      <c r="A300" s="84" t="n">
        <v>44677</v>
      </c>
      <c r="B300" s="85" t="n">
        <v>0</v>
      </c>
    </row>
    <row r="301" customFormat="false" ht="15" hidden="false" customHeight="false" outlineLevel="0" collapsed="false">
      <c r="A301" s="84" t="n">
        <v>44678</v>
      </c>
      <c r="B301" s="85" t="n">
        <v>0</v>
      </c>
    </row>
    <row r="302" customFormat="false" ht="15" hidden="false" customHeight="false" outlineLevel="0" collapsed="false">
      <c r="A302" s="84" t="n">
        <v>44679</v>
      </c>
      <c r="B302" s="85" t="n">
        <v>0</v>
      </c>
    </row>
    <row r="303" customFormat="false" ht="15" hidden="false" customHeight="false" outlineLevel="0" collapsed="false">
      <c r="A303" s="84" t="n">
        <v>44680</v>
      </c>
      <c r="B303" s="85" t="n">
        <v>0</v>
      </c>
    </row>
    <row r="304" customFormat="false" ht="15" hidden="false" customHeight="false" outlineLevel="0" collapsed="false">
      <c r="A304" s="84" t="n">
        <v>44681</v>
      </c>
      <c r="B304" s="85" t="n">
        <v>0</v>
      </c>
    </row>
    <row r="305" customFormat="false" ht="15" hidden="false" customHeight="false" outlineLevel="0" collapsed="false">
      <c r="A305" s="84" t="n">
        <v>44682</v>
      </c>
      <c r="B305" s="85" t="n">
        <v>0</v>
      </c>
    </row>
    <row r="306" customFormat="false" ht="15" hidden="false" customHeight="false" outlineLevel="0" collapsed="false">
      <c r="A306" s="84" t="n">
        <v>44683</v>
      </c>
      <c r="B306" s="85" t="n">
        <v>0</v>
      </c>
    </row>
    <row r="307" customFormat="false" ht="15" hidden="false" customHeight="false" outlineLevel="0" collapsed="false">
      <c r="A307" s="84" t="n">
        <v>44684</v>
      </c>
      <c r="B307" s="85" t="n">
        <v>0</v>
      </c>
    </row>
    <row r="308" customFormat="false" ht="15" hidden="false" customHeight="false" outlineLevel="0" collapsed="false">
      <c r="A308" s="84" t="n">
        <v>44685</v>
      </c>
      <c r="B308" s="85" t="n">
        <v>0</v>
      </c>
    </row>
    <row r="309" customFormat="false" ht="15" hidden="false" customHeight="false" outlineLevel="0" collapsed="false">
      <c r="A309" s="84" t="n">
        <v>44686</v>
      </c>
      <c r="B309" s="85" t="n">
        <v>0</v>
      </c>
    </row>
    <row r="310" customFormat="false" ht="15" hidden="false" customHeight="false" outlineLevel="0" collapsed="false">
      <c r="A310" s="84" t="n">
        <v>44687</v>
      </c>
      <c r="B310" s="85" t="n">
        <v>0</v>
      </c>
    </row>
    <row r="311" customFormat="false" ht="15" hidden="false" customHeight="false" outlineLevel="0" collapsed="false">
      <c r="A311" s="84" t="n">
        <v>44688</v>
      </c>
      <c r="B311" s="85" t="n">
        <v>0</v>
      </c>
    </row>
    <row r="312" customFormat="false" ht="15" hidden="false" customHeight="false" outlineLevel="0" collapsed="false">
      <c r="A312" s="84" t="n">
        <v>44689</v>
      </c>
      <c r="B312" s="85" t="n">
        <v>0</v>
      </c>
    </row>
    <row r="313" customFormat="false" ht="15" hidden="false" customHeight="false" outlineLevel="0" collapsed="false">
      <c r="A313" s="84" t="n">
        <v>44690</v>
      </c>
      <c r="B313" s="85" t="n">
        <v>0</v>
      </c>
    </row>
    <row r="314" customFormat="false" ht="15" hidden="false" customHeight="false" outlineLevel="0" collapsed="false">
      <c r="A314" s="84" t="n">
        <v>44691</v>
      </c>
      <c r="B314" s="85" t="n">
        <v>0</v>
      </c>
    </row>
    <row r="315" customFormat="false" ht="15" hidden="false" customHeight="false" outlineLevel="0" collapsed="false">
      <c r="A315" s="84" t="n">
        <v>44692</v>
      </c>
      <c r="B315" s="85" t="n">
        <v>0</v>
      </c>
    </row>
    <row r="316" customFormat="false" ht="15" hidden="false" customHeight="false" outlineLevel="0" collapsed="false">
      <c r="A316" s="84" t="n">
        <v>44693</v>
      </c>
      <c r="B316" s="85" t="n">
        <v>0</v>
      </c>
    </row>
    <row r="317" customFormat="false" ht="15" hidden="false" customHeight="false" outlineLevel="0" collapsed="false">
      <c r="A317" s="84" t="n">
        <v>44694</v>
      </c>
      <c r="B317" s="85" t="n">
        <v>0</v>
      </c>
    </row>
    <row r="318" customFormat="false" ht="15" hidden="false" customHeight="false" outlineLevel="0" collapsed="false">
      <c r="A318" s="84" t="n">
        <v>44695</v>
      </c>
      <c r="B318" s="85" t="n">
        <v>0</v>
      </c>
    </row>
    <row r="319" customFormat="false" ht="15" hidden="false" customHeight="false" outlineLevel="0" collapsed="false">
      <c r="A319" s="84" t="n">
        <v>44696</v>
      </c>
      <c r="B319" s="85" t="n">
        <v>0</v>
      </c>
    </row>
    <row r="320" customFormat="false" ht="15" hidden="false" customHeight="false" outlineLevel="0" collapsed="false">
      <c r="A320" s="84" t="n">
        <v>44697</v>
      </c>
      <c r="B320" s="85" t="n">
        <v>0</v>
      </c>
    </row>
    <row r="321" customFormat="false" ht="15" hidden="false" customHeight="false" outlineLevel="0" collapsed="false">
      <c r="A321" s="84" t="n">
        <v>44698</v>
      </c>
      <c r="B321" s="85" t="n">
        <v>0</v>
      </c>
    </row>
    <row r="322" customFormat="false" ht="15" hidden="false" customHeight="false" outlineLevel="0" collapsed="false">
      <c r="A322" s="84" t="n">
        <v>44699</v>
      </c>
      <c r="B322" s="85" t="n">
        <v>0</v>
      </c>
    </row>
    <row r="323" customFormat="false" ht="15" hidden="false" customHeight="false" outlineLevel="0" collapsed="false">
      <c r="A323" s="84" t="n">
        <v>44700</v>
      </c>
      <c r="B323" s="85" t="n">
        <v>0</v>
      </c>
    </row>
    <row r="324" customFormat="false" ht="15" hidden="false" customHeight="false" outlineLevel="0" collapsed="false">
      <c r="A324" s="84" t="n">
        <v>44701</v>
      </c>
      <c r="B324" s="85" t="n">
        <v>0</v>
      </c>
    </row>
    <row r="325" customFormat="false" ht="15" hidden="false" customHeight="false" outlineLevel="0" collapsed="false">
      <c r="A325" s="84" t="n">
        <v>44702</v>
      </c>
      <c r="B325" s="85" t="n">
        <v>0</v>
      </c>
    </row>
    <row r="326" customFormat="false" ht="15" hidden="false" customHeight="false" outlineLevel="0" collapsed="false">
      <c r="A326" s="84" t="n">
        <v>44703</v>
      </c>
      <c r="B326" s="85" t="n">
        <v>0</v>
      </c>
    </row>
    <row r="327" customFormat="false" ht="15" hidden="false" customHeight="false" outlineLevel="0" collapsed="false">
      <c r="A327" s="84" t="n">
        <v>44704</v>
      </c>
      <c r="B327" s="85" t="n">
        <v>0</v>
      </c>
    </row>
    <row r="328" customFormat="false" ht="15" hidden="false" customHeight="false" outlineLevel="0" collapsed="false">
      <c r="A328" s="84" t="n">
        <v>44705</v>
      </c>
      <c r="B328" s="85" t="n">
        <v>0</v>
      </c>
    </row>
    <row r="329" customFormat="false" ht="15" hidden="false" customHeight="false" outlineLevel="0" collapsed="false">
      <c r="A329" s="84" t="n">
        <v>44706</v>
      </c>
      <c r="B329" s="85" t="n">
        <v>0</v>
      </c>
    </row>
    <row r="330" customFormat="false" ht="15" hidden="false" customHeight="false" outlineLevel="0" collapsed="false">
      <c r="A330" s="84" t="n">
        <v>44707</v>
      </c>
      <c r="B330" s="85" t="n">
        <v>0</v>
      </c>
    </row>
    <row r="331" customFormat="false" ht="15" hidden="false" customHeight="false" outlineLevel="0" collapsed="false">
      <c r="A331" s="84" t="n">
        <v>44708</v>
      </c>
      <c r="B331" s="85" t="n">
        <v>0</v>
      </c>
    </row>
    <row r="332" customFormat="false" ht="15" hidden="false" customHeight="false" outlineLevel="0" collapsed="false">
      <c r="A332" s="84" t="n">
        <v>44709</v>
      </c>
      <c r="B332" s="85" t="n">
        <v>0</v>
      </c>
    </row>
    <row r="333" customFormat="false" ht="15" hidden="false" customHeight="false" outlineLevel="0" collapsed="false">
      <c r="A333" s="84" t="n">
        <v>44710</v>
      </c>
      <c r="B333" s="85" t="n">
        <v>0</v>
      </c>
    </row>
    <row r="334" customFormat="false" ht="15" hidden="false" customHeight="false" outlineLevel="0" collapsed="false">
      <c r="A334" s="84" t="n">
        <v>44711</v>
      </c>
      <c r="B334" s="85" t="n">
        <v>0</v>
      </c>
    </row>
    <row r="335" customFormat="false" ht="15" hidden="false" customHeight="false" outlineLevel="0" collapsed="false">
      <c r="A335" s="84" t="n">
        <v>44712</v>
      </c>
      <c r="B335" s="85" t="n">
        <v>0</v>
      </c>
    </row>
    <row r="336" customFormat="false" ht="15" hidden="false" customHeight="false" outlineLevel="0" collapsed="false">
      <c r="A336" s="84" t="n">
        <v>44713</v>
      </c>
      <c r="B336" s="85" t="n">
        <v>0</v>
      </c>
    </row>
    <row r="337" customFormat="false" ht="15" hidden="false" customHeight="false" outlineLevel="0" collapsed="false">
      <c r="A337" s="84" t="n">
        <v>44714</v>
      </c>
      <c r="B337" s="85" t="n">
        <v>0</v>
      </c>
    </row>
    <row r="338" customFormat="false" ht="15" hidden="false" customHeight="false" outlineLevel="0" collapsed="false">
      <c r="A338" s="84" t="n">
        <v>44715</v>
      </c>
      <c r="B338" s="85" t="n">
        <v>0</v>
      </c>
    </row>
    <row r="339" customFormat="false" ht="15" hidden="false" customHeight="false" outlineLevel="0" collapsed="false">
      <c r="A339" s="84" t="n">
        <v>44716</v>
      </c>
      <c r="B339" s="85" t="n">
        <v>0</v>
      </c>
    </row>
    <row r="340" customFormat="false" ht="15" hidden="false" customHeight="false" outlineLevel="0" collapsed="false">
      <c r="A340" s="84" t="n">
        <v>44717</v>
      </c>
      <c r="B340" s="85" t="n">
        <v>0</v>
      </c>
    </row>
    <row r="341" customFormat="false" ht="15" hidden="false" customHeight="false" outlineLevel="0" collapsed="false">
      <c r="A341" s="84" t="n">
        <v>44718</v>
      </c>
      <c r="B341" s="85" t="n">
        <v>0</v>
      </c>
    </row>
    <row r="342" customFormat="false" ht="15" hidden="false" customHeight="false" outlineLevel="0" collapsed="false">
      <c r="A342" s="84" t="n">
        <v>44719</v>
      </c>
      <c r="B342" s="85" t="n">
        <v>0</v>
      </c>
    </row>
    <row r="343" customFormat="false" ht="15" hidden="false" customHeight="false" outlineLevel="0" collapsed="false">
      <c r="A343" s="84" t="n">
        <v>44720</v>
      </c>
      <c r="B343" s="85" t="n">
        <v>0</v>
      </c>
    </row>
    <row r="344" customFormat="false" ht="15" hidden="false" customHeight="false" outlineLevel="0" collapsed="false">
      <c r="A344" s="84" t="n">
        <v>44721</v>
      </c>
      <c r="B344" s="85" t="n">
        <v>0</v>
      </c>
    </row>
    <row r="345" customFormat="false" ht="15" hidden="false" customHeight="false" outlineLevel="0" collapsed="false">
      <c r="A345" s="84" t="n">
        <v>44722</v>
      </c>
      <c r="B345" s="85" t="n">
        <v>0</v>
      </c>
    </row>
    <row r="346" customFormat="false" ht="15" hidden="false" customHeight="false" outlineLevel="0" collapsed="false">
      <c r="A346" s="84" t="n">
        <v>44723</v>
      </c>
      <c r="B346" s="85" t="n">
        <v>0</v>
      </c>
    </row>
    <row r="347" customFormat="false" ht="15" hidden="false" customHeight="false" outlineLevel="0" collapsed="false">
      <c r="A347" s="84" t="n">
        <v>44724</v>
      </c>
      <c r="B347" s="85" t="n">
        <v>0</v>
      </c>
    </row>
    <row r="348" customFormat="false" ht="15" hidden="false" customHeight="false" outlineLevel="0" collapsed="false">
      <c r="A348" s="84" t="n">
        <v>44725</v>
      </c>
      <c r="B348" s="85" t="n">
        <v>0</v>
      </c>
    </row>
    <row r="349" customFormat="false" ht="15" hidden="false" customHeight="false" outlineLevel="0" collapsed="false">
      <c r="A349" s="84" t="n">
        <v>44726</v>
      </c>
      <c r="B349" s="85" t="n">
        <v>0</v>
      </c>
    </row>
    <row r="350" customFormat="false" ht="15" hidden="false" customHeight="false" outlineLevel="0" collapsed="false">
      <c r="A350" s="84" t="n">
        <v>44727</v>
      </c>
      <c r="B350" s="85" t="n">
        <v>0</v>
      </c>
    </row>
    <row r="351" customFormat="false" ht="15" hidden="false" customHeight="false" outlineLevel="0" collapsed="false">
      <c r="A351" s="84" t="n">
        <v>44728</v>
      </c>
      <c r="B351" s="85" t="n">
        <v>0</v>
      </c>
    </row>
    <row r="352" customFormat="false" ht="15" hidden="false" customHeight="false" outlineLevel="0" collapsed="false">
      <c r="A352" s="84" t="n">
        <v>44729</v>
      </c>
      <c r="B352" s="85" t="n">
        <v>0</v>
      </c>
    </row>
    <row r="353" customFormat="false" ht="15" hidden="false" customHeight="false" outlineLevel="0" collapsed="false">
      <c r="A353" s="84" t="n">
        <v>44730</v>
      </c>
      <c r="B353" s="85" t="n">
        <v>0</v>
      </c>
    </row>
    <row r="354" customFormat="false" ht="15" hidden="false" customHeight="false" outlineLevel="0" collapsed="false">
      <c r="A354" s="84" t="n">
        <v>44731</v>
      </c>
      <c r="B354" s="85" t="n">
        <v>0</v>
      </c>
    </row>
    <row r="355" customFormat="false" ht="15" hidden="false" customHeight="false" outlineLevel="0" collapsed="false">
      <c r="A355" s="84" t="n">
        <v>44732</v>
      </c>
      <c r="B355" s="85" t="n">
        <v>0</v>
      </c>
    </row>
    <row r="356" customFormat="false" ht="15" hidden="false" customHeight="false" outlineLevel="0" collapsed="false">
      <c r="A356" s="84" t="n">
        <v>44733</v>
      </c>
      <c r="B356" s="85" t="n">
        <v>0</v>
      </c>
    </row>
    <row r="357" customFormat="false" ht="15" hidden="false" customHeight="false" outlineLevel="0" collapsed="false">
      <c r="A357" s="84" t="n">
        <v>44734</v>
      </c>
      <c r="B357" s="85" t="n">
        <v>0</v>
      </c>
    </row>
    <row r="358" customFormat="false" ht="15" hidden="false" customHeight="false" outlineLevel="0" collapsed="false">
      <c r="A358" s="84" t="n">
        <v>44735</v>
      </c>
      <c r="B358" s="85" t="n">
        <v>0</v>
      </c>
    </row>
    <row r="359" customFormat="false" ht="15" hidden="false" customHeight="false" outlineLevel="0" collapsed="false">
      <c r="A359" s="84" t="n">
        <v>44736</v>
      </c>
      <c r="B359" s="85" t="n">
        <v>0</v>
      </c>
    </row>
    <row r="360" customFormat="false" ht="15" hidden="false" customHeight="false" outlineLevel="0" collapsed="false">
      <c r="A360" s="84" t="n">
        <v>44737</v>
      </c>
      <c r="B360" s="85" t="n">
        <v>0</v>
      </c>
    </row>
    <row r="361" customFormat="false" ht="15" hidden="false" customHeight="false" outlineLevel="0" collapsed="false">
      <c r="A361" s="84" t="n">
        <v>44738</v>
      </c>
      <c r="B361" s="85" t="n">
        <v>0</v>
      </c>
    </row>
    <row r="362" customFormat="false" ht="15" hidden="false" customHeight="false" outlineLevel="0" collapsed="false">
      <c r="A362" s="84" t="n">
        <v>44739</v>
      </c>
      <c r="B362" s="85" t="n">
        <v>0</v>
      </c>
    </row>
    <row r="363" customFormat="false" ht="15" hidden="false" customHeight="false" outlineLevel="0" collapsed="false">
      <c r="A363" s="84" t="n">
        <v>44740</v>
      </c>
      <c r="B363" s="85" t="n">
        <v>0</v>
      </c>
    </row>
    <row r="364" customFormat="false" ht="15" hidden="false" customHeight="false" outlineLevel="0" collapsed="false">
      <c r="A364" s="84" t="n">
        <v>44741</v>
      </c>
      <c r="B364" s="85" t="n">
        <v>0</v>
      </c>
    </row>
    <row r="365" customFormat="false" ht="15" hidden="false" customHeight="false" outlineLevel="0" collapsed="false">
      <c r="A365" s="84" t="n">
        <v>44742</v>
      </c>
      <c r="B365" s="85" t="n">
        <v>0</v>
      </c>
    </row>
    <row r="366" customFormat="false" ht="15" hidden="false" customHeight="false" outlineLevel="0" collapsed="false">
      <c r="A366" s="84" t="n">
        <v>44743</v>
      </c>
      <c r="B366" s="85" t="n">
        <v>0</v>
      </c>
    </row>
    <row r="367" customFormat="false" ht="15" hidden="false" customHeight="false" outlineLevel="0" collapsed="false">
      <c r="A367" s="84" t="n">
        <v>44744</v>
      </c>
      <c r="B367" s="85" t="n">
        <v>0</v>
      </c>
    </row>
    <row r="368" customFormat="false" ht="15" hidden="false" customHeight="false" outlineLevel="0" collapsed="false">
      <c r="A368" s="84" t="n">
        <v>44745</v>
      </c>
      <c r="B368" s="85" t="n">
        <v>0</v>
      </c>
    </row>
    <row r="369" customFormat="false" ht="15" hidden="false" customHeight="false" outlineLevel="0" collapsed="false">
      <c r="A369" s="84" t="n">
        <v>44746</v>
      </c>
      <c r="B369" s="85" t="n">
        <v>0</v>
      </c>
    </row>
    <row r="370" customFormat="false" ht="15" hidden="false" customHeight="false" outlineLevel="0" collapsed="false">
      <c r="A370" s="84" t="n">
        <v>44747</v>
      </c>
      <c r="B370" s="85" t="n">
        <v>0</v>
      </c>
    </row>
    <row r="371" customFormat="false" ht="15" hidden="false" customHeight="false" outlineLevel="0" collapsed="false">
      <c r="A371" s="84" t="n">
        <v>44748</v>
      </c>
      <c r="B371" s="85" t="n">
        <v>0</v>
      </c>
    </row>
    <row r="372" customFormat="false" ht="15" hidden="false" customHeight="false" outlineLevel="0" collapsed="false">
      <c r="A372" s="84" t="n">
        <v>44749</v>
      </c>
      <c r="B372" s="85" t="n">
        <v>0</v>
      </c>
    </row>
    <row r="373" customFormat="false" ht="15" hidden="false" customHeight="false" outlineLevel="0" collapsed="false">
      <c r="A373" s="84" t="n">
        <v>44750</v>
      </c>
      <c r="B373" s="85" t="n">
        <v>0</v>
      </c>
    </row>
    <row r="374" customFormat="false" ht="15" hidden="false" customHeight="false" outlineLevel="0" collapsed="false">
      <c r="A374" s="84" t="n">
        <v>44751</v>
      </c>
      <c r="B374" s="85" t="n">
        <v>0</v>
      </c>
    </row>
    <row r="375" customFormat="false" ht="15" hidden="false" customHeight="false" outlineLevel="0" collapsed="false">
      <c r="A375" s="84" t="n">
        <v>44752</v>
      </c>
      <c r="B375" s="85" t="n">
        <v>0</v>
      </c>
    </row>
    <row r="376" customFormat="false" ht="15" hidden="false" customHeight="false" outlineLevel="0" collapsed="false">
      <c r="A376" s="84" t="n">
        <v>44753</v>
      </c>
      <c r="B376" s="85" t="n">
        <v>0</v>
      </c>
    </row>
    <row r="377" customFormat="false" ht="15" hidden="false" customHeight="false" outlineLevel="0" collapsed="false">
      <c r="A377" s="84" t="n">
        <v>44754</v>
      </c>
      <c r="B377" s="85" t="n">
        <v>42</v>
      </c>
    </row>
    <row r="378" customFormat="false" ht="15" hidden="false" customHeight="false" outlineLevel="0" collapsed="false">
      <c r="A378" s="84" t="n">
        <v>44755</v>
      </c>
      <c r="B378" s="85" t="n">
        <v>14</v>
      </c>
    </row>
    <row r="379" customFormat="false" ht="15" hidden="false" customHeight="false" outlineLevel="0" collapsed="false">
      <c r="A379" s="84" t="n">
        <v>44756</v>
      </c>
      <c r="B379" s="85" t="n">
        <v>18</v>
      </c>
    </row>
    <row r="380" customFormat="false" ht="15" hidden="false" customHeight="false" outlineLevel="0" collapsed="false">
      <c r="A380" s="84" t="n">
        <v>44757</v>
      </c>
      <c r="B380" s="85" t="n">
        <v>14</v>
      </c>
    </row>
    <row r="381" customFormat="false" ht="15" hidden="false" customHeight="false" outlineLevel="0" collapsed="false">
      <c r="A381" s="84" t="n">
        <v>44758</v>
      </c>
      <c r="B381" s="85" t="n">
        <v>7</v>
      </c>
    </row>
    <row r="382" customFormat="false" ht="15" hidden="false" customHeight="false" outlineLevel="0" collapsed="false">
      <c r="A382" s="84" t="n">
        <v>44759</v>
      </c>
      <c r="B382" s="85" t="n">
        <v>2</v>
      </c>
    </row>
    <row r="383" customFormat="false" ht="15" hidden="false" customHeight="false" outlineLevel="0" collapsed="false">
      <c r="A383" s="84" t="n">
        <v>44760</v>
      </c>
      <c r="B383" s="85" t="n">
        <v>4</v>
      </c>
    </row>
    <row r="384" customFormat="false" ht="15" hidden="false" customHeight="false" outlineLevel="0" collapsed="false">
      <c r="A384" s="84" t="n">
        <v>44761</v>
      </c>
      <c r="B384" s="85" t="n">
        <v>3</v>
      </c>
    </row>
    <row r="385" customFormat="false" ht="15" hidden="false" customHeight="false" outlineLevel="0" collapsed="false">
      <c r="A385" s="84" t="n">
        <v>44762</v>
      </c>
      <c r="B385" s="85" t="n">
        <v>0</v>
      </c>
    </row>
    <row r="386" customFormat="false" ht="15" hidden="false" customHeight="false" outlineLevel="0" collapsed="false">
      <c r="A386" s="84" t="n">
        <v>44763</v>
      </c>
      <c r="B386" s="85" t="n">
        <v>0</v>
      </c>
    </row>
    <row r="387" customFormat="false" ht="15" hidden="false" customHeight="false" outlineLevel="0" collapsed="false">
      <c r="A387" s="84" t="n">
        <v>44764</v>
      </c>
      <c r="B387" s="85" t="n">
        <v>0</v>
      </c>
    </row>
    <row r="388" customFormat="false" ht="15" hidden="false" customHeight="false" outlineLevel="0" collapsed="false">
      <c r="A388" s="84" t="n">
        <v>44765</v>
      </c>
      <c r="B388" s="85" t="n">
        <v>8</v>
      </c>
    </row>
    <row r="389" customFormat="false" ht="15" hidden="false" customHeight="false" outlineLevel="0" collapsed="false">
      <c r="A389" s="84" t="n">
        <v>44766</v>
      </c>
      <c r="B389" s="85" t="n">
        <v>3</v>
      </c>
    </row>
    <row r="390" customFormat="false" ht="15" hidden="false" customHeight="false" outlineLevel="0" collapsed="false">
      <c r="A390" s="84" t="n">
        <v>44767</v>
      </c>
      <c r="B390" s="85" t="n">
        <v>3</v>
      </c>
    </row>
    <row r="391" customFormat="false" ht="15" hidden="false" customHeight="false" outlineLevel="0" collapsed="false">
      <c r="A391" s="84" t="n">
        <v>44768</v>
      </c>
      <c r="B391" s="85" t="n">
        <v>0</v>
      </c>
    </row>
    <row r="392" customFormat="false" ht="15" hidden="false" customHeight="false" outlineLevel="0" collapsed="false">
      <c r="A392" s="84" t="n">
        <v>44769</v>
      </c>
      <c r="B392" s="85" t="n">
        <v>1</v>
      </c>
    </row>
    <row r="393" customFormat="false" ht="15" hidden="false" customHeight="false" outlineLevel="0" collapsed="false">
      <c r="A393" s="84" t="n">
        <v>44770</v>
      </c>
      <c r="B393" s="85" t="n">
        <v>1</v>
      </c>
    </row>
    <row r="394" customFormat="false" ht="15" hidden="false" customHeight="false" outlineLevel="0" collapsed="false">
      <c r="A394" s="84" t="n">
        <v>44771</v>
      </c>
      <c r="B394" s="85" t="n">
        <v>0</v>
      </c>
    </row>
    <row r="395" customFormat="false" ht="15" hidden="false" customHeight="false" outlineLevel="0" collapsed="false">
      <c r="A395" s="84" t="n">
        <v>44772</v>
      </c>
      <c r="B395" s="85" t="n">
        <v>3</v>
      </c>
    </row>
    <row r="396" customFormat="false" ht="15" hidden="false" customHeight="false" outlineLevel="0" collapsed="false">
      <c r="A396" s="84" t="n">
        <v>44773</v>
      </c>
      <c r="B396" s="85" t="n">
        <v>0</v>
      </c>
    </row>
    <row r="397" customFormat="false" ht="15" hidden="false" customHeight="false" outlineLevel="0" collapsed="false">
      <c r="A397" s="84" t="n">
        <v>44774</v>
      </c>
      <c r="B397" s="85" t="n">
        <v>0</v>
      </c>
    </row>
    <row r="398" customFormat="false" ht="15" hidden="false" customHeight="false" outlineLevel="0" collapsed="false">
      <c r="A398" s="84" t="n">
        <v>44775</v>
      </c>
      <c r="B398" s="85" t="n">
        <v>1</v>
      </c>
    </row>
    <row r="399" customFormat="false" ht="15" hidden="false" customHeight="false" outlineLevel="0" collapsed="false">
      <c r="A399" s="84" t="n">
        <v>44776</v>
      </c>
      <c r="B399" s="85" t="n">
        <v>0</v>
      </c>
    </row>
    <row r="400" customFormat="false" ht="15" hidden="false" customHeight="false" outlineLevel="0" collapsed="false">
      <c r="A400" s="84" t="n">
        <v>44777</v>
      </c>
      <c r="B400" s="85" t="n">
        <v>0</v>
      </c>
    </row>
    <row r="401" customFormat="false" ht="15" hidden="false" customHeight="false" outlineLevel="0" collapsed="false">
      <c r="A401" s="84" t="n">
        <v>44778</v>
      </c>
      <c r="B401" s="85" t="n">
        <v>0</v>
      </c>
    </row>
    <row r="402" customFormat="false" ht="15" hidden="false" customHeight="false" outlineLevel="0" collapsed="false">
      <c r="A402" s="84" t="n">
        <v>44779</v>
      </c>
      <c r="B402" s="85" t="n">
        <v>1</v>
      </c>
    </row>
    <row r="403" customFormat="false" ht="15" hidden="false" customHeight="false" outlineLevel="0" collapsed="false">
      <c r="A403" s="84" t="n">
        <v>44780</v>
      </c>
      <c r="B403" s="85" t="n">
        <v>0</v>
      </c>
    </row>
    <row r="404" customFormat="false" ht="15" hidden="false" customHeight="false" outlineLevel="0" collapsed="false">
      <c r="A404" s="84" t="n">
        <v>44781</v>
      </c>
      <c r="B404" s="85" t="n">
        <v>0</v>
      </c>
    </row>
    <row r="405" customFormat="false" ht="15" hidden="false" customHeight="false" outlineLevel="0" collapsed="false">
      <c r="A405" s="84" t="n">
        <v>44782</v>
      </c>
      <c r="B405" s="85" t="n">
        <v>3</v>
      </c>
    </row>
    <row r="406" customFormat="false" ht="15" hidden="false" customHeight="false" outlineLevel="0" collapsed="false">
      <c r="A406" s="84" t="n">
        <v>44783</v>
      </c>
      <c r="B406" s="85" t="n">
        <v>0</v>
      </c>
    </row>
    <row r="407" customFormat="false" ht="15" hidden="false" customHeight="false" outlineLevel="0" collapsed="false">
      <c r="A407" s="84" t="n">
        <v>44784</v>
      </c>
      <c r="B407" s="85" t="n">
        <v>0</v>
      </c>
    </row>
    <row r="408" customFormat="false" ht="15" hidden="false" customHeight="false" outlineLevel="0" collapsed="false">
      <c r="A408" s="84" t="n">
        <v>44785</v>
      </c>
      <c r="B408" s="85" t="n">
        <v>6</v>
      </c>
    </row>
    <row r="409" customFormat="false" ht="15" hidden="false" customHeight="false" outlineLevel="0" collapsed="false">
      <c r="A409" s="84" t="n">
        <v>44786</v>
      </c>
      <c r="B409" s="85" t="n">
        <v>0</v>
      </c>
    </row>
    <row r="410" customFormat="false" ht="15" hidden="false" customHeight="false" outlineLevel="0" collapsed="false">
      <c r="A410" s="84" t="n">
        <v>44787</v>
      </c>
      <c r="B410" s="85" t="n">
        <v>13</v>
      </c>
    </row>
    <row r="411" customFormat="false" ht="15" hidden="false" customHeight="false" outlineLevel="0" collapsed="false">
      <c r="A411" s="84" t="n">
        <v>44788</v>
      </c>
      <c r="B411" s="85" t="n">
        <v>0</v>
      </c>
    </row>
    <row r="412" customFormat="false" ht="15" hidden="false" customHeight="false" outlineLevel="0" collapsed="false">
      <c r="A412" s="84" t="n">
        <v>44789</v>
      </c>
      <c r="B412" s="85" t="n">
        <v>1</v>
      </c>
    </row>
    <row r="413" customFormat="false" ht="15" hidden="false" customHeight="false" outlineLevel="0" collapsed="false">
      <c r="A413" s="84" t="n">
        <v>44790</v>
      </c>
      <c r="B413" s="85" t="n">
        <v>3</v>
      </c>
    </row>
    <row r="414" customFormat="false" ht="15" hidden="false" customHeight="false" outlineLevel="0" collapsed="false">
      <c r="A414" s="84" t="n">
        <v>44791</v>
      </c>
      <c r="B414" s="85" t="n">
        <v>0</v>
      </c>
    </row>
    <row r="415" customFormat="false" ht="15" hidden="false" customHeight="false" outlineLevel="0" collapsed="false">
      <c r="A415" s="84" t="n">
        <v>44792</v>
      </c>
      <c r="B415" s="85" t="n">
        <v>0</v>
      </c>
    </row>
    <row r="416" customFormat="false" ht="15" hidden="false" customHeight="false" outlineLevel="0" collapsed="false">
      <c r="A416" s="84" t="n">
        <v>44793</v>
      </c>
      <c r="B416" s="85" t="n">
        <v>0</v>
      </c>
    </row>
    <row r="417" customFormat="false" ht="15" hidden="false" customHeight="false" outlineLevel="0" collapsed="false">
      <c r="A417" s="84" t="n">
        <v>44794</v>
      </c>
      <c r="B417" s="85" t="n">
        <v>1</v>
      </c>
    </row>
    <row r="418" customFormat="false" ht="15" hidden="false" customHeight="false" outlineLevel="0" collapsed="false">
      <c r="A418" s="84" t="n">
        <v>44795</v>
      </c>
      <c r="B418" s="85" t="n">
        <v>0</v>
      </c>
    </row>
    <row r="419" customFormat="false" ht="15" hidden="false" customHeight="false" outlineLevel="0" collapsed="false">
      <c r="A419" s="84" t="n">
        <v>44796</v>
      </c>
      <c r="B419" s="85" t="n">
        <v>0</v>
      </c>
    </row>
    <row r="420" customFormat="false" ht="15" hidden="false" customHeight="false" outlineLevel="0" collapsed="false">
      <c r="A420" s="84" t="n">
        <v>44797</v>
      </c>
      <c r="B420" s="85" t="n">
        <v>4</v>
      </c>
    </row>
    <row r="421" customFormat="false" ht="15" hidden="false" customHeight="false" outlineLevel="0" collapsed="false">
      <c r="A421" s="84" t="n">
        <v>44798</v>
      </c>
      <c r="B421" s="85" t="n">
        <v>0</v>
      </c>
    </row>
    <row r="422" customFormat="false" ht="15" hidden="false" customHeight="false" outlineLevel="0" collapsed="false">
      <c r="A422" s="84" t="n">
        <v>44799</v>
      </c>
      <c r="B422" s="85" t="n">
        <v>0</v>
      </c>
    </row>
    <row r="423" customFormat="false" ht="15" hidden="false" customHeight="false" outlineLevel="0" collapsed="false">
      <c r="A423" s="84" t="n">
        <v>44800</v>
      </c>
      <c r="B423" s="85" t="n">
        <v>0</v>
      </c>
    </row>
    <row r="424" customFormat="false" ht="15" hidden="false" customHeight="false" outlineLevel="0" collapsed="false">
      <c r="A424" s="84" t="n">
        <v>44801</v>
      </c>
      <c r="B424" s="85" t="n">
        <v>1</v>
      </c>
    </row>
    <row r="425" customFormat="false" ht="15" hidden="false" customHeight="false" outlineLevel="0" collapsed="false">
      <c r="A425" s="84" t="n">
        <v>44802</v>
      </c>
      <c r="B425" s="85" t="n">
        <v>0</v>
      </c>
    </row>
    <row r="426" customFormat="false" ht="15" hidden="false" customHeight="false" outlineLevel="0" collapsed="false">
      <c r="A426" s="84" t="n">
        <v>44803</v>
      </c>
      <c r="B426" s="85" t="n">
        <v>2</v>
      </c>
    </row>
    <row r="427" customFormat="false" ht="15" hidden="false" customHeight="false" outlineLevel="0" collapsed="false">
      <c r="A427" s="84" t="n">
        <v>44804</v>
      </c>
      <c r="B427" s="85" t="n">
        <v>0</v>
      </c>
    </row>
    <row r="428" customFormat="false" ht="15" hidden="false" customHeight="false" outlineLevel="0" collapsed="false">
      <c r="A428" s="84" t="n">
        <v>44805</v>
      </c>
      <c r="B428" s="85" t="n">
        <v>0</v>
      </c>
    </row>
    <row r="429" customFormat="false" ht="15" hidden="false" customHeight="false" outlineLevel="0" collapsed="false">
      <c r="A429" s="84" t="n">
        <v>44806</v>
      </c>
      <c r="B429" s="85" t="n">
        <v>0</v>
      </c>
    </row>
    <row r="430" customFormat="false" ht="15" hidden="false" customHeight="false" outlineLevel="0" collapsed="false">
      <c r="A430" s="84" t="n">
        <v>44807</v>
      </c>
      <c r="B430" s="85" t="n">
        <v>1</v>
      </c>
    </row>
    <row r="431" customFormat="false" ht="15" hidden="false" customHeight="false" outlineLevel="0" collapsed="false">
      <c r="A431" s="84" t="n">
        <v>44808</v>
      </c>
      <c r="B431" s="85" t="n">
        <v>0</v>
      </c>
    </row>
    <row r="432" customFormat="false" ht="15" hidden="false" customHeight="false" outlineLevel="0" collapsed="false">
      <c r="A432" s="84" t="n">
        <v>44809</v>
      </c>
      <c r="B432" s="85" t="n">
        <v>0</v>
      </c>
    </row>
    <row r="433" customFormat="false" ht="15" hidden="false" customHeight="false" outlineLevel="0" collapsed="false">
      <c r="A433" s="84" t="n">
        <v>44810</v>
      </c>
      <c r="B433" s="85" t="n">
        <v>0</v>
      </c>
    </row>
    <row r="434" customFormat="false" ht="15" hidden="false" customHeight="false" outlineLevel="0" collapsed="false">
      <c r="A434" s="84" t="n">
        <v>44811</v>
      </c>
      <c r="B434" s="85" t="n">
        <v>0</v>
      </c>
    </row>
    <row r="435" customFormat="false" ht="15" hidden="false" customHeight="false" outlineLevel="0" collapsed="false">
      <c r="A435" s="84" t="n">
        <v>44812</v>
      </c>
      <c r="B435" s="85" t="n">
        <v>15</v>
      </c>
    </row>
    <row r="436" customFormat="false" ht="15" hidden="false" customHeight="false" outlineLevel="0" collapsed="false">
      <c r="A436" s="84" t="n">
        <v>44813</v>
      </c>
      <c r="B436" s="85" t="n">
        <v>0</v>
      </c>
    </row>
    <row r="437" customFormat="false" ht="15" hidden="false" customHeight="false" outlineLevel="0" collapsed="false">
      <c r="A437" s="84" t="n">
        <v>44814</v>
      </c>
      <c r="B437" s="85" t="n">
        <v>0</v>
      </c>
    </row>
    <row r="438" customFormat="false" ht="15" hidden="false" customHeight="false" outlineLevel="0" collapsed="false">
      <c r="A438" s="84" t="n">
        <v>44815</v>
      </c>
      <c r="B438" s="85" t="n">
        <v>0</v>
      </c>
    </row>
    <row r="439" customFormat="false" ht="15" hidden="false" customHeight="false" outlineLevel="0" collapsed="false">
      <c r="A439" s="84" t="n">
        <v>44816</v>
      </c>
      <c r="B439" s="85" t="n">
        <v>1</v>
      </c>
    </row>
    <row r="440" customFormat="false" ht="15" hidden="false" customHeight="false" outlineLevel="0" collapsed="false">
      <c r="A440" s="84" t="n">
        <v>44817</v>
      </c>
      <c r="B440" s="85" t="n">
        <v>2</v>
      </c>
    </row>
    <row r="441" customFormat="false" ht="15" hidden="false" customHeight="false" outlineLevel="0" collapsed="false">
      <c r="A441" s="84" t="n">
        <v>44818</v>
      </c>
      <c r="B441" s="85" t="n">
        <v>1</v>
      </c>
    </row>
    <row r="442" customFormat="false" ht="15" hidden="false" customHeight="false" outlineLevel="0" collapsed="false">
      <c r="A442" s="84" t="n">
        <v>44819</v>
      </c>
      <c r="B442" s="85" t="n">
        <v>4</v>
      </c>
    </row>
    <row r="443" customFormat="false" ht="15" hidden="false" customHeight="false" outlineLevel="0" collapsed="false">
      <c r="A443" s="84" t="n">
        <v>44820</v>
      </c>
      <c r="B443" s="85" t="n">
        <v>5</v>
      </c>
    </row>
    <row r="444" customFormat="false" ht="15" hidden="false" customHeight="false" outlineLevel="0" collapsed="false">
      <c r="A444" s="84" t="n">
        <v>44821</v>
      </c>
      <c r="B444" s="85" t="n">
        <v>8</v>
      </c>
    </row>
    <row r="445" customFormat="false" ht="15" hidden="false" customHeight="false" outlineLevel="0" collapsed="false">
      <c r="A445" s="84" t="n">
        <v>44822</v>
      </c>
      <c r="B445" s="85" t="n">
        <v>1</v>
      </c>
    </row>
    <row r="446" customFormat="false" ht="15" hidden="false" customHeight="false" outlineLevel="0" collapsed="false">
      <c r="A446" s="84" t="n">
        <v>44823</v>
      </c>
      <c r="B446" s="85" t="n">
        <v>9</v>
      </c>
    </row>
    <row r="447" customFormat="false" ht="15" hidden="false" customHeight="false" outlineLevel="0" collapsed="false">
      <c r="A447" s="84" t="n">
        <v>44824</v>
      </c>
      <c r="B447" s="85" t="n">
        <v>0</v>
      </c>
    </row>
    <row r="448" customFormat="false" ht="15" hidden="false" customHeight="false" outlineLevel="0" collapsed="false">
      <c r="A448" s="84" t="n">
        <v>44825</v>
      </c>
      <c r="B448" s="85" t="n">
        <v>9</v>
      </c>
    </row>
    <row r="449" customFormat="false" ht="15" hidden="false" customHeight="false" outlineLevel="0" collapsed="false">
      <c r="A449" s="84" t="n">
        <v>44826</v>
      </c>
      <c r="B449" s="85" t="n">
        <v>3</v>
      </c>
    </row>
    <row r="450" customFormat="false" ht="15" hidden="false" customHeight="false" outlineLevel="0" collapsed="false">
      <c r="A450" s="84" t="n">
        <v>44827</v>
      </c>
      <c r="B450" s="85" t="n">
        <v>2</v>
      </c>
    </row>
    <row r="451" customFormat="false" ht="15" hidden="false" customHeight="false" outlineLevel="0" collapsed="false">
      <c r="A451" s="84" t="n">
        <v>44828</v>
      </c>
      <c r="B451" s="85" t="n">
        <v>1</v>
      </c>
    </row>
    <row r="452" customFormat="false" ht="15" hidden="false" customHeight="false" outlineLevel="0" collapsed="false">
      <c r="A452" s="84" t="n">
        <v>44829</v>
      </c>
      <c r="B452" s="85" t="n">
        <v>1</v>
      </c>
    </row>
    <row r="453" customFormat="false" ht="15" hidden="false" customHeight="false" outlineLevel="0" collapsed="false">
      <c r="A453" s="84" t="n">
        <v>44830</v>
      </c>
      <c r="B453" s="85" t="n">
        <v>0</v>
      </c>
    </row>
    <row r="454" customFormat="false" ht="15" hidden="false" customHeight="false" outlineLevel="0" collapsed="false">
      <c r="A454" s="84" t="n">
        <v>44831</v>
      </c>
      <c r="B454" s="85" t="n">
        <v>4</v>
      </c>
    </row>
    <row r="455" customFormat="false" ht="15" hidden="false" customHeight="false" outlineLevel="0" collapsed="false">
      <c r="A455" s="84" t="n">
        <v>44832</v>
      </c>
      <c r="B455" s="85" t="n">
        <v>1</v>
      </c>
    </row>
    <row r="456" customFormat="false" ht="15" hidden="false" customHeight="false" outlineLevel="0" collapsed="false">
      <c r="A456" s="84" t="n">
        <v>44833</v>
      </c>
      <c r="B456" s="85" t="n">
        <v>1</v>
      </c>
    </row>
    <row r="457" customFormat="false" ht="15" hidden="false" customHeight="false" outlineLevel="0" collapsed="false">
      <c r="A457" s="84" t="n">
        <v>44834</v>
      </c>
      <c r="B457" s="85" t="n">
        <v>15</v>
      </c>
    </row>
    <row r="458" customFormat="false" ht="15" hidden="false" customHeight="false" outlineLevel="0" collapsed="false">
      <c r="A458" s="84" t="n">
        <v>44835</v>
      </c>
      <c r="B458" s="85" t="n">
        <v>1</v>
      </c>
    </row>
    <row r="459" customFormat="false" ht="15" hidden="false" customHeight="false" outlineLevel="0" collapsed="false">
      <c r="A459" s="84" t="n">
        <v>44836</v>
      </c>
      <c r="B459" s="85" t="n">
        <v>3</v>
      </c>
    </row>
    <row r="460" customFormat="false" ht="15" hidden="false" customHeight="false" outlineLevel="0" collapsed="false">
      <c r="A460" s="84" t="n">
        <v>44837</v>
      </c>
      <c r="B460" s="85" t="n">
        <v>0</v>
      </c>
    </row>
    <row r="461" customFormat="false" ht="15" hidden="false" customHeight="false" outlineLevel="0" collapsed="false">
      <c r="A461" s="84" t="n">
        <v>44838</v>
      </c>
      <c r="B461" s="85" t="n">
        <v>0</v>
      </c>
    </row>
    <row r="462" customFormat="false" ht="15" hidden="false" customHeight="false" outlineLevel="0" collapsed="false">
      <c r="A462" s="84" t="n">
        <v>44839</v>
      </c>
      <c r="B462" s="85" t="n">
        <v>1</v>
      </c>
    </row>
    <row r="463" customFormat="false" ht="15" hidden="false" customHeight="false" outlineLevel="0" collapsed="false">
      <c r="A463" s="84" t="n">
        <v>44840</v>
      </c>
      <c r="B463" s="85" t="n">
        <v>2</v>
      </c>
    </row>
    <row r="464" customFormat="false" ht="15" hidden="false" customHeight="false" outlineLevel="0" collapsed="false">
      <c r="A464" s="84" t="n">
        <v>44841</v>
      </c>
      <c r="B464" s="85" t="n">
        <v>5</v>
      </c>
    </row>
    <row r="465" customFormat="false" ht="15" hidden="false" customHeight="false" outlineLevel="0" collapsed="false">
      <c r="A465" s="84" t="n">
        <v>44842</v>
      </c>
      <c r="B465" s="85" t="n">
        <v>4</v>
      </c>
    </row>
    <row r="466" customFormat="false" ht="15" hidden="false" customHeight="false" outlineLevel="0" collapsed="false">
      <c r="A466" s="84" t="n">
        <v>44843</v>
      </c>
      <c r="B466" s="85" t="n">
        <v>1</v>
      </c>
    </row>
    <row r="467" customFormat="false" ht="15" hidden="false" customHeight="false" outlineLevel="0" collapsed="false">
      <c r="A467" s="84" t="n">
        <v>44844</v>
      </c>
      <c r="B467" s="85" t="n">
        <v>3</v>
      </c>
    </row>
    <row r="468" customFormat="false" ht="15" hidden="false" customHeight="false" outlineLevel="0" collapsed="false">
      <c r="A468" s="84" t="n">
        <v>44845</v>
      </c>
      <c r="B468" s="85" t="n">
        <v>2</v>
      </c>
    </row>
    <row r="469" customFormat="false" ht="15" hidden="false" customHeight="false" outlineLevel="0" collapsed="false">
      <c r="A469" s="84" t="n">
        <v>44846</v>
      </c>
      <c r="B469" s="85" t="n">
        <v>3</v>
      </c>
    </row>
    <row r="470" customFormat="false" ht="15" hidden="false" customHeight="false" outlineLevel="0" collapsed="false">
      <c r="A470" s="84" t="n">
        <v>44847</v>
      </c>
      <c r="B470" s="85" t="n">
        <v>2</v>
      </c>
    </row>
    <row r="471" customFormat="false" ht="15" hidden="false" customHeight="false" outlineLevel="0" collapsed="false">
      <c r="A471" s="84" t="n">
        <v>44848</v>
      </c>
      <c r="B471" s="85" t="n">
        <v>5</v>
      </c>
    </row>
    <row r="472" customFormat="false" ht="15" hidden="false" customHeight="false" outlineLevel="0" collapsed="false">
      <c r="A472" s="84" t="n">
        <v>44849</v>
      </c>
      <c r="B472" s="85" t="n">
        <v>3</v>
      </c>
    </row>
    <row r="473" customFormat="false" ht="15" hidden="false" customHeight="false" outlineLevel="0" collapsed="false">
      <c r="A473" s="84" t="n">
        <v>44850</v>
      </c>
      <c r="B473" s="85" t="n">
        <v>1</v>
      </c>
    </row>
    <row r="474" customFormat="false" ht="15" hidden="false" customHeight="false" outlineLevel="0" collapsed="false">
      <c r="A474" s="84" t="n">
        <v>44851</v>
      </c>
      <c r="B474" s="85" t="n">
        <v>2</v>
      </c>
    </row>
    <row r="475" customFormat="false" ht="15" hidden="false" customHeight="false" outlineLevel="0" collapsed="false">
      <c r="A475" s="84" t="n">
        <v>44852</v>
      </c>
      <c r="B475" s="85" t="n">
        <v>1</v>
      </c>
    </row>
    <row r="476" customFormat="false" ht="15" hidden="false" customHeight="false" outlineLevel="0" collapsed="false">
      <c r="A476" s="84" t="n">
        <v>44853</v>
      </c>
      <c r="B476" s="85" t="n">
        <v>2</v>
      </c>
    </row>
    <row r="477" customFormat="false" ht="15" hidden="false" customHeight="false" outlineLevel="0" collapsed="false">
      <c r="A477" s="84" t="n">
        <v>44854</v>
      </c>
      <c r="B477" s="85" t="n">
        <v>2</v>
      </c>
    </row>
    <row r="478" customFormat="false" ht="15" hidden="false" customHeight="false" outlineLevel="0" collapsed="false">
      <c r="A478" s="84" t="n">
        <v>44855</v>
      </c>
      <c r="B478" s="85" t="n">
        <v>1</v>
      </c>
    </row>
    <row r="479" customFormat="false" ht="15" hidden="false" customHeight="false" outlineLevel="0" collapsed="false">
      <c r="A479" s="84" t="n">
        <v>44856</v>
      </c>
      <c r="B479" s="85" t="n">
        <v>0</v>
      </c>
    </row>
    <row r="480" customFormat="false" ht="15" hidden="false" customHeight="false" outlineLevel="0" collapsed="false">
      <c r="A480" s="84" t="n">
        <v>44857</v>
      </c>
      <c r="B480" s="85" t="n">
        <v>0</v>
      </c>
    </row>
    <row r="481" customFormat="false" ht="15" hidden="false" customHeight="false" outlineLevel="0" collapsed="false">
      <c r="A481" s="84" t="n">
        <v>44858</v>
      </c>
      <c r="B481" s="85" t="n">
        <v>1</v>
      </c>
    </row>
    <row r="482" customFormat="false" ht="15" hidden="false" customHeight="false" outlineLevel="0" collapsed="false">
      <c r="A482" s="84" t="n">
        <v>44859</v>
      </c>
      <c r="B482" s="85" t="n">
        <v>0</v>
      </c>
    </row>
    <row r="483" customFormat="false" ht="15" hidden="false" customHeight="false" outlineLevel="0" collapsed="false">
      <c r="A483" s="84" t="n">
        <v>44860</v>
      </c>
      <c r="B483" s="85" t="n">
        <v>1</v>
      </c>
    </row>
    <row r="484" customFormat="false" ht="15" hidden="false" customHeight="false" outlineLevel="0" collapsed="false">
      <c r="A484" s="84" t="n">
        <v>44861</v>
      </c>
      <c r="B484" s="85" t="n">
        <v>1</v>
      </c>
    </row>
    <row r="485" customFormat="false" ht="15" hidden="false" customHeight="false" outlineLevel="0" collapsed="false">
      <c r="A485" s="84" t="n">
        <v>44862</v>
      </c>
      <c r="B485" s="85" t="n">
        <v>2</v>
      </c>
    </row>
    <row r="486" customFormat="false" ht="15" hidden="false" customHeight="false" outlineLevel="0" collapsed="false">
      <c r="A486" s="84" t="n">
        <v>44863</v>
      </c>
      <c r="B486" s="85" t="n">
        <v>1</v>
      </c>
    </row>
    <row r="487" customFormat="false" ht="15" hidden="false" customHeight="false" outlineLevel="0" collapsed="false">
      <c r="A487" s="84" t="n">
        <v>44864</v>
      </c>
      <c r="B487" s="85" t="n">
        <v>2</v>
      </c>
    </row>
    <row r="488" customFormat="false" ht="15" hidden="false" customHeight="false" outlineLevel="0" collapsed="false">
      <c r="A488" s="84" t="n">
        <v>44865</v>
      </c>
      <c r="B488" s="85" t="n">
        <v>1</v>
      </c>
    </row>
    <row r="489" customFormat="false" ht="15" hidden="false" customHeight="false" outlineLevel="0" collapsed="false">
      <c r="A489" s="84" t="n">
        <v>44866</v>
      </c>
      <c r="B489" s="85" t="n">
        <v>143</v>
      </c>
    </row>
    <row r="490" customFormat="false" ht="15" hidden="false" customHeight="false" outlineLevel="0" collapsed="false">
      <c r="A490" s="84" t="n">
        <v>44867</v>
      </c>
      <c r="B490" s="85" t="n">
        <v>8</v>
      </c>
    </row>
    <row r="491" customFormat="false" ht="15" hidden="false" customHeight="false" outlineLevel="0" collapsed="false">
      <c r="A491" s="84" t="n">
        <v>44868</v>
      </c>
      <c r="B491" s="85" t="n">
        <v>31</v>
      </c>
    </row>
    <row r="492" customFormat="false" ht="15" hidden="false" customHeight="false" outlineLevel="0" collapsed="false">
      <c r="A492" s="84" t="n">
        <v>44869</v>
      </c>
      <c r="B492" s="85" t="n">
        <v>9</v>
      </c>
    </row>
    <row r="493" customFormat="false" ht="15" hidden="false" customHeight="false" outlineLevel="0" collapsed="false">
      <c r="A493" s="84" t="n">
        <v>44870</v>
      </c>
      <c r="B493" s="85" t="n">
        <v>11</v>
      </c>
    </row>
    <row r="494" customFormat="false" ht="15" hidden="false" customHeight="false" outlineLevel="0" collapsed="false">
      <c r="A494" s="84" t="n">
        <v>44871</v>
      </c>
      <c r="B494" s="85" t="n">
        <v>1</v>
      </c>
    </row>
    <row r="495" customFormat="false" ht="15" hidden="false" customHeight="false" outlineLevel="0" collapsed="false">
      <c r="A495" s="84" t="n">
        <v>44872</v>
      </c>
      <c r="B495" s="85" t="n">
        <v>6</v>
      </c>
    </row>
    <row r="496" customFormat="false" ht="15" hidden="false" customHeight="false" outlineLevel="0" collapsed="false">
      <c r="A496" s="84" t="n">
        <v>44873</v>
      </c>
      <c r="B496" s="85" t="n">
        <v>311</v>
      </c>
    </row>
    <row r="497" customFormat="false" ht="15" hidden="false" customHeight="false" outlineLevel="0" collapsed="false">
      <c r="A497" s="84" t="n">
        <v>44874</v>
      </c>
      <c r="B497" s="85" t="n">
        <v>4</v>
      </c>
    </row>
    <row r="498" customFormat="false" ht="15" hidden="false" customHeight="false" outlineLevel="0" collapsed="false">
      <c r="A498" s="84" t="n">
        <v>44875</v>
      </c>
      <c r="B498" s="85" t="n">
        <v>96</v>
      </c>
    </row>
    <row r="499" customFormat="false" ht="15" hidden="false" customHeight="false" outlineLevel="0" collapsed="false">
      <c r="A499" s="84" t="n">
        <v>44876</v>
      </c>
      <c r="B499" s="85" t="n">
        <v>13</v>
      </c>
    </row>
    <row r="500" customFormat="false" ht="15" hidden="false" customHeight="false" outlineLevel="0" collapsed="false">
      <c r="A500" s="84" t="n">
        <v>44877</v>
      </c>
      <c r="B500" s="85" t="n">
        <v>17</v>
      </c>
    </row>
    <row r="501" customFormat="false" ht="15" hidden="false" customHeight="false" outlineLevel="0" collapsed="false">
      <c r="A501" s="84" t="n">
        <v>44878</v>
      </c>
      <c r="B501" s="85" t="n">
        <v>7</v>
      </c>
    </row>
    <row r="502" customFormat="false" ht="15" hidden="false" customHeight="false" outlineLevel="0" collapsed="false">
      <c r="A502" s="84" t="n">
        <v>44879</v>
      </c>
      <c r="B502" s="85" t="n">
        <v>3</v>
      </c>
    </row>
    <row r="503" customFormat="false" ht="15" hidden="false" customHeight="false" outlineLevel="0" collapsed="false">
      <c r="A503" s="84" t="n">
        <v>44880</v>
      </c>
      <c r="B503" s="85" t="n">
        <v>8</v>
      </c>
    </row>
    <row r="504" customFormat="false" ht="15" hidden="false" customHeight="false" outlineLevel="0" collapsed="false">
      <c r="A504" s="84" t="n">
        <v>44881</v>
      </c>
      <c r="B504" s="85" t="n">
        <v>7</v>
      </c>
    </row>
    <row r="505" customFormat="false" ht="15" hidden="false" customHeight="false" outlineLevel="0" collapsed="false">
      <c r="A505" s="84" t="n">
        <v>44882</v>
      </c>
      <c r="B505" s="85" t="n">
        <v>6</v>
      </c>
    </row>
    <row r="506" customFormat="false" ht="15" hidden="false" customHeight="false" outlineLevel="0" collapsed="false">
      <c r="A506" s="84" t="n">
        <v>44883</v>
      </c>
      <c r="B506" s="85" t="n">
        <v>14</v>
      </c>
    </row>
    <row r="507" customFormat="false" ht="15" hidden="false" customHeight="false" outlineLevel="0" collapsed="false">
      <c r="A507" s="84" t="n">
        <v>44884</v>
      </c>
      <c r="B507" s="85" t="n">
        <v>39</v>
      </c>
    </row>
    <row r="508" customFormat="false" ht="15" hidden="false" customHeight="false" outlineLevel="0" collapsed="false">
      <c r="A508" s="84" t="n">
        <v>44885</v>
      </c>
      <c r="B508" s="85" t="n">
        <v>2</v>
      </c>
    </row>
    <row r="509" customFormat="false" ht="15" hidden="false" customHeight="false" outlineLevel="0" collapsed="false">
      <c r="A509" s="84" t="n">
        <v>44886</v>
      </c>
      <c r="B509" s="85" t="n">
        <v>172</v>
      </c>
    </row>
    <row r="510" customFormat="false" ht="15" hidden="false" customHeight="false" outlineLevel="0" collapsed="false">
      <c r="A510" s="84" t="n">
        <v>44887</v>
      </c>
      <c r="B510" s="85" t="n">
        <v>8</v>
      </c>
    </row>
    <row r="511" customFormat="false" ht="15" hidden="false" customHeight="false" outlineLevel="0" collapsed="false">
      <c r="A511" s="84" t="n">
        <v>44888</v>
      </c>
      <c r="B511" s="85" t="n">
        <v>44</v>
      </c>
    </row>
    <row r="512" customFormat="false" ht="15" hidden="false" customHeight="false" outlineLevel="0" collapsed="false">
      <c r="A512" s="84" t="n">
        <v>44889</v>
      </c>
      <c r="B512" s="85" t="n">
        <v>7</v>
      </c>
    </row>
    <row r="513" customFormat="false" ht="15" hidden="false" customHeight="false" outlineLevel="0" collapsed="false">
      <c r="A513" s="84" t="n">
        <v>44890</v>
      </c>
      <c r="B513" s="85" t="n">
        <v>114</v>
      </c>
    </row>
    <row r="514" customFormat="false" ht="15" hidden="false" customHeight="false" outlineLevel="0" collapsed="false">
      <c r="A514" s="84" t="n">
        <v>44891</v>
      </c>
      <c r="B514" s="85" t="n">
        <v>36</v>
      </c>
    </row>
    <row r="515" customFormat="false" ht="15" hidden="false" customHeight="false" outlineLevel="0" collapsed="false">
      <c r="A515" s="84" t="n">
        <v>44892</v>
      </c>
      <c r="B515" s="85" t="n">
        <v>10</v>
      </c>
    </row>
    <row r="516" customFormat="false" ht="15" hidden="false" customHeight="false" outlineLevel="0" collapsed="false">
      <c r="A516" s="84" t="n">
        <v>44893</v>
      </c>
      <c r="B516" s="85" t="n">
        <v>46</v>
      </c>
    </row>
    <row r="517" customFormat="false" ht="15" hidden="false" customHeight="false" outlineLevel="0" collapsed="false">
      <c r="A517" s="84" t="n">
        <v>44894</v>
      </c>
      <c r="B517" s="85" t="n">
        <v>20</v>
      </c>
    </row>
    <row r="518" customFormat="false" ht="15" hidden="false" customHeight="false" outlineLevel="0" collapsed="false">
      <c r="A518" s="84" t="n">
        <v>44895</v>
      </c>
      <c r="B518" s="85" t="n">
        <v>9</v>
      </c>
    </row>
    <row r="519" customFormat="false" ht="15" hidden="false" customHeight="false" outlineLevel="0" collapsed="false">
      <c r="A519" s="84" t="n">
        <v>44896</v>
      </c>
      <c r="B519" s="85" t="n">
        <v>14</v>
      </c>
    </row>
    <row r="520" customFormat="false" ht="15" hidden="false" customHeight="false" outlineLevel="0" collapsed="false">
      <c r="A520" s="84" t="n">
        <v>44897</v>
      </c>
      <c r="B520" s="85" t="n">
        <v>602</v>
      </c>
    </row>
    <row r="521" customFormat="false" ht="15" hidden="false" customHeight="false" outlineLevel="0" collapsed="false">
      <c r="A521" s="84" t="n">
        <v>44898</v>
      </c>
      <c r="B521" s="85" t="n">
        <v>11</v>
      </c>
    </row>
    <row r="522" customFormat="false" ht="15" hidden="false" customHeight="false" outlineLevel="0" collapsed="false">
      <c r="A522" s="84" t="n">
        <v>44899</v>
      </c>
      <c r="B522" s="85" t="n">
        <v>9</v>
      </c>
    </row>
    <row r="523" customFormat="false" ht="15" hidden="false" customHeight="false" outlineLevel="0" collapsed="false">
      <c r="A523" s="84" t="n">
        <v>44900</v>
      </c>
      <c r="B523" s="85" t="n">
        <v>16</v>
      </c>
    </row>
    <row r="524" customFormat="false" ht="15" hidden="false" customHeight="false" outlineLevel="0" collapsed="false">
      <c r="A524" s="84" t="n">
        <v>44901</v>
      </c>
      <c r="B524" s="85" t="n">
        <v>1595</v>
      </c>
    </row>
    <row r="525" customFormat="false" ht="15" hidden="false" customHeight="false" outlineLevel="0" collapsed="false">
      <c r="A525" s="84" t="n">
        <v>44902</v>
      </c>
      <c r="B525" s="85" t="n">
        <v>11</v>
      </c>
    </row>
    <row r="526" customFormat="false" ht="15" hidden="false" customHeight="false" outlineLevel="0" collapsed="false">
      <c r="A526" s="84" t="n">
        <v>44903</v>
      </c>
      <c r="B526" s="85" t="n">
        <v>48</v>
      </c>
    </row>
    <row r="527" customFormat="false" ht="15" hidden="false" customHeight="false" outlineLevel="0" collapsed="false">
      <c r="A527" s="84" t="n">
        <v>44904</v>
      </c>
      <c r="B527" s="85" t="n">
        <v>15</v>
      </c>
    </row>
    <row r="528" customFormat="false" ht="15" hidden="false" customHeight="false" outlineLevel="0" collapsed="false">
      <c r="A528" s="84" t="n">
        <v>44905</v>
      </c>
      <c r="B528" s="85" t="n">
        <v>104</v>
      </c>
    </row>
    <row r="529" customFormat="false" ht="15" hidden="false" customHeight="false" outlineLevel="0" collapsed="false">
      <c r="A529" s="84" t="n">
        <v>44906</v>
      </c>
      <c r="B529" s="85" t="n">
        <v>62</v>
      </c>
    </row>
    <row r="530" customFormat="false" ht="15" hidden="false" customHeight="false" outlineLevel="0" collapsed="false">
      <c r="A530" s="84" t="n">
        <v>44907</v>
      </c>
      <c r="B530" s="85" t="n">
        <v>39</v>
      </c>
    </row>
    <row r="531" customFormat="false" ht="15" hidden="false" customHeight="false" outlineLevel="0" collapsed="false">
      <c r="A531" s="84" t="n">
        <v>44908</v>
      </c>
      <c r="B531" s="85" t="n">
        <v>19</v>
      </c>
    </row>
    <row r="532" customFormat="false" ht="15" hidden="false" customHeight="false" outlineLevel="0" collapsed="false">
      <c r="A532" s="84" t="n">
        <v>44909</v>
      </c>
      <c r="B532" s="85" t="n">
        <v>37</v>
      </c>
    </row>
    <row r="533" customFormat="false" ht="15" hidden="false" customHeight="false" outlineLevel="0" collapsed="false">
      <c r="A533" s="84" t="n">
        <v>44910</v>
      </c>
      <c r="B533" s="85" t="n">
        <v>24</v>
      </c>
    </row>
    <row r="534" customFormat="false" ht="15" hidden="false" customHeight="false" outlineLevel="0" collapsed="false">
      <c r="A534" s="84" t="n">
        <v>44911</v>
      </c>
      <c r="B534" s="85" t="n">
        <v>145</v>
      </c>
    </row>
    <row r="535" customFormat="false" ht="15" hidden="false" customHeight="false" outlineLevel="0" collapsed="false">
      <c r="A535" s="84" t="n">
        <v>44912</v>
      </c>
      <c r="B535" s="85" t="n">
        <v>24</v>
      </c>
    </row>
    <row r="536" customFormat="false" ht="15" hidden="false" customHeight="false" outlineLevel="0" collapsed="false">
      <c r="A536" s="84" t="n">
        <v>44913</v>
      </c>
      <c r="B536" s="85" t="n">
        <v>11</v>
      </c>
    </row>
    <row r="537" customFormat="false" ht="15" hidden="false" customHeight="false" outlineLevel="0" collapsed="false">
      <c r="A537" s="84" t="n">
        <v>44914</v>
      </c>
      <c r="B537" s="85" t="n">
        <v>30</v>
      </c>
    </row>
    <row r="538" customFormat="false" ht="15" hidden="false" customHeight="false" outlineLevel="0" collapsed="false">
      <c r="A538" s="84" t="n">
        <v>44915</v>
      </c>
      <c r="B538" s="85" t="n">
        <v>88</v>
      </c>
    </row>
    <row r="539" customFormat="false" ht="15" hidden="false" customHeight="false" outlineLevel="0" collapsed="false">
      <c r="A539" s="84" t="n">
        <v>44916</v>
      </c>
      <c r="B539" s="85" t="n">
        <v>9</v>
      </c>
    </row>
    <row r="540" customFormat="false" ht="15" hidden="false" customHeight="false" outlineLevel="0" collapsed="false">
      <c r="A540" s="84" t="n">
        <v>44917</v>
      </c>
      <c r="B540" s="85" t="n">
        <v>8</v>
      </c>
    </row>
    <row r="541" customFormat="false" ht="15" hidden="false" customHeight="false" outlineLevel="0" collapsed="false">
      <c r="A541" s="84" t="n">
        <v>44918</v>
      </c>
      <c r="B541" s="85" t="n">
        <v>3</v>
      </c>
    </row>
    <row r="542" customFormat="false" ht="15" hidden="false" customHeight="false" outlineLevel="0" collapsed="false">
      <c r="A542" s="84" t="n">
        <v>44919</v>
      </c>
      <c r="B542" s="85" t="n">
        <v>6</v>
      </c>
    </row>
    <row r="543" customFormat="false" ht="15" hidden="false" customHeight="false" outlineLevel="0" collapsed="false">
      <c r="A543" s="84" t="n">
        <v>44920</v>
      </c>
      <c r="B543" s="85" t="n">
        <v>47</v>
      </c>
    </row>
    <row r="544" customFormat="false" ht="15" hidden="false" customHeight="false" outlineLevel="0" collapsed="false">
      <c r="A544" s="84" t="n">
        <v>44921</v>
      </c>
      <c r="B544" s="85" t="n">
        <v>6</v>
      </c>
    </row>
    <row r="545" customFormat="false" ht="15" hidden="false" customHeight="false" outlineLevel="0" collapsed="false">
      <c r="A545" s="84" t="n">
        <v>44922</v>
      </c>
      <c r="B545" s="85" t="n">
        <v>1</v>
      </c>
    </row>
    <row r="546" customFormat="false" ht="15" hidden="false" customHeight="false" outlineLevel="0" collapsed="false">
      <c r="A546" s="84" t="n">
        <v>44923</v>
      </c>
      <c r="B546" s="85" t="n">
        <v>28</v>
      </c>
    </row>
    <row r="547" customFormat="false" ht="15" hidden="false" customHeight="false" outlineLevel="0" collapsed="false">
      <c r="A547" s="84" t="n">
        <v>44924</v>
      </c>
      <c r="B547" s="85" t="n">
        <v>54</v>
      </c>
    </row>
    <row r="548" customFormat="false" ht="15" hidden="false" customHeight="false" outlineLevel="0" collapsed="false">
      <c r="A548" s="84" t="n">
        <v>44925</v>
      </c>
      <c r="B548" s="85" t="n">
        <v>72</v>
      </c>
    </row>
    <row r="549" customFormat="false" ht="15" hidden="false" customHeight="false" outlineLevel="0" collapsed="false">
      <c r="A549" s="84" t="n">
        <v>44926</v>
      </c>
      <c r="B549" s="85" t="n">
        <v>55</v>
      </c>
    </row>
    <row r="550" customFormat="false" ht="15" hidden="false" customHeight="false" outlineLevel="0" collapsed="false">
      <c r="A550" s="84" t="n">
        <v>44927</v>
      </c>
      <c r="B550" s="85" t="n">
        <v>39</v>
      </c>
    </row>
    <row r="551" customFormat="false" ht="15" hidden="false" customHeight="false" outlineLevel="0" collapsed="false">
      <c r="A551" s="84" t="n">
        <v>44928</v>
      </c>
      <c r="B551" s="85" t="n">
        <v>20</v>
      </c>
    </row>
    <row r="552" customFormat="false" ht="15" hidden="false" customHeight="false" outlineLevel="0" collapsed="false">
      <c r="A552" s="84" t="n">
        <v>44929</v>
      </c>
      <c r="B552" s="85" t="n">
        <v>72</v>
      </c>
    </row>
    <row r="553" customFormat="false" ht="15" hidden="false" customHeight="false" outlineLevel="0" collapsed="false">
      <c r="A553" s="84" t="n">
        <v>44930</v>
      </c>
      <c r="B553" s="85" t="n">
        <v>21</v>
      </c>
    </row>
    <row r="554" customFormat="false" ht="15" hidden="false" customHeight="false" outlineLevel="0" collapsed="false">
      <c r="A554" s="84" t="n">
        <v>44931</v>
      </c>
      <c r="B554" s="85" t="n">
        <v>6</v>
      </c>
    </row>
    <row r="555" customFormat="false" ht="15" hidden="false" customHeight="false" outlineLevel="0" collapsed="false">
      <c r="A555" s="84" t="n">
        <v>44932</v>
      </c>
      <c r="B555" s="85" t="n">
        <v>22</v>
      </c>
    </row>
    <row r="556" customFormat="false" ht="15" hidden="false" customHeight="false" outlineLevel="0" collapsed="false">
      <c r="A556" s="84" t="n">
        <v>44933</v>
      </c>
      <c r="B556" s="85" t="n">
        <v>9</v>
      </c>
    </row>
    <row r="557" customFormat="false" ht="15" hidden="false" customHeight="false" outlineLevel="0" collapsed="false">
      <c r="A557" s="84" t="n">
        <v>44934</v>
      </c>
      <c r="B557" s="85" t="n">
        <v>10</v>
      </c>
    </row>
    <row r="558" customFormat="false" ht="15" hidden="false" customHeight="false" outlineLevel="0" collapsed="false">
      <c r="A558" s="84" t="n">
        <v>44935</v>
      </c>
      <c r="B558" s="85" t="n">
        <v>8</v>
      </c>
    </row>
    <row r="559" customFormat="false" ht="15" hidden="false" customHeight="false" outlineLevel="0" collapsed="false">
      <c r="A559" s="84" t="n">
        <v>44936</v>
      </c>
      <c r="B559" s="85" t="n">
        <v>9</v>
      </c>
    </row>
    <row r="560" customFormat="false" ht="15" hidden="false" customHeight="false" outlineLevel="0" collapsed="false">
      <c r="A560" s="84" t="n">
        <v>44937</v>
      </c>
      <c r="B560" s="85" t="n">
        <v>2</v>
      </c>
    </row>
    <row r="561" customFormat="false" ht="15" hidden="false" customHeight="false" outlineLevel="0" collapsed="false">
      <c r="A561" s="84" t="n">
        <v>44938</v>
      </c>
      <c r="B561" s="85" t="n">
        <v>9</v>
      </c>
    </row>
    <row r="562" customFormat="false" ht="15" hidden="false" customHeight="false" outlineLevel="0" collapsed="false">
      <c r="A562" s="84" t="n">
        <v>44939</v>
      </c>
      <c r="B562" s="85" t="n">
        <v>9</v>
      </c>
    </row>
    <row r="563" customFormat="false" ht="15" hidden="false" customHeight="false" outlineLevel="0" collapsed="false">
      <c r="A563" s="84" t="n">
        <v>44940</v>
      </c>
      <c r="B563" s="85" t="n">
        <v>15</v>
      </c>
    </row>
    <row r="564" customFormat="false" ht="15" hidden="false" customHeight="false" outlineLevel="0" collapsed="false">
      <c r="A564" s="84" t="n">
        <v>44941</v>
      </c>
      <c r="B564" s="85" t="n">
        <v>2</v>
      </c>
    </row>
    <row r="565" customFormat="false" ht="15" hidden="false" customHeight="false" outlineLevel="0" collapsed="false">
      <c r="A565" s="84" t="n">
        <v>44942</v>
      </c>
      <c r="B565" s="85" t="n">
        <v>2</v>
      </c>
    </row>
    <row r="566" customFormat="false" ht="15" hidden="false" customHeight="false" outlineLevel="0" collapsed="false">
      <c r="A566" s="84" t="n">
        <v>44943</v>
      </c>
      <c r="B566" s="85" t="n">
        <v>6</v>
      </c>
    </row>
    <row r="567" customFormat="false" ht="15" hidden="false" customHeight="false" outlineLevel="0" collapsed="false">
      <c r="A567" s="84" t="n">
        <v>44944</v>
      </c>
      <c r="B567" s="85" t="n">
        <v>6</v>
      </c>
    </row>
    <row r="568" customFormat="false" ht="15" hidden="false" customHeight="false" outlineLevel="0" collapsed="false">
      <c r="A568" s="84" t="n">
        <v>44945</v>
      </c>
      <c r="B568" s="85" t="n">
        <v>181</v>
      </c>
    </row>
    <row r="569" customFormat="false" ht="15" hidden="false" customHeight="false" outlineLevel="0" collapsed="false">
      <c r="A569" s="84" t="n">
        <v>44946</v>
      </c>
      <c r="B569" s="85" t="n">
        <v>59</v>
      </c>
    </row>
    <row r="570" customFormat="false" ht="15" hidden="false" customHeight="false" outlineLevel="0" collapsed="false">
      <c r="A570" s="84" t="n">
        <v>44947</v>
      </c>
      <c r="B570" s="85" t="n">
        <v>117</v>
      </c>
    </row>
    <row r="571" customFormat="false" ht="15" hidden="false" customHeight="false" outlineLevel="0" collapsed="false">
      <c r="A571" s="84" t="n">
        <v>44948</v>
      </c>
      <c r="B571" s="85" t="n">
        <v>3</v>
      </c>
    </row>
    <row r="572" customFormat="false" ht="15" hidden="false" customHeight="false" outlineLevel="0" collapsed="false">
      <c r="A572" s="84" t="n">
        <v>44949</v>
      </c>
      <c r="B572" s="85" t="n">
        <v>3</v>
      </c>
    </row>
    <row r="573" customFormat="false" ht="15" hidden="false" customHeight="false" outlineLevel="0" collapsed="false">
      <c r="A573" s="84" t="n">
        <v>44950</v>
      </c>
      <c r="B573" s="85" t="n">
        <v>4</v>
      </c>
    </row>
    <row r="574" customFormat="false" ht="15" hidden="false" customHeight="false" outlineLevel="0" collapsed="false">
      <c r="A574" s="84" t="n">
        <v>44951</v>
      </c>
      <c r="B574" s="85" t="n">
        <v>2</v>
      </c>
    </row>
    <row r="575" customFormat="false" ht="15" hidden="false" customHeight="false" outlineLevel="0" collapsed="false">
      <c r="A575" s="84" t="n">
        <v>44952</v>
      </c>
      <c r="B575" s="85" t="n">
        <v>3</v>
      </c>
    </row>
    <row r="576" customFormat="false" ht="15" hidden="false" customHeight="false" outlineLevel="0" collapsed="false">
      <c r="A576" s="84" t="n">
        <v>44953</v>
      </c>
      <c r="B576" s="85" t="n">
        <v>3</v>
      </c>
    </row>
    <row r="577" customFormat="false" ht="15" hidden="false" customHeight="false" outlineLevel="0" collapsed="false">
      <c r="A577" s="84" t="n">
        <v>44954</v>
      </c>
      <c r="B577" s="85" t="n">
        <v>1</v>
      </c>
    </row>
    <row r="578" customFormat="false" ht="15" hidden="false" customHeight="false" outlineLevel="0" collapsed="false">
      <c r="A578" s="84" t="n">
        <v>44955</v>
      </c>
      <c r="B578" s="85" t="n">
        <v>87</v>
      </c>
    </row>
    <row r="579" customFormat="false" ht="15" hidden="false" customHeight="false" outlineLevel="0" collapsed="false">
      <c r="A579" s="84" t="n">
        <v>44956</v>
      </c>
      <c r="B579" s="85" t="n">
        <v>92</v>
      </c>
    </row>
    <row r="580" customFormat="false" ht="15" hidden="false" customHeight="false" outlineLevel="0" collapsed="false">
      <c r="A580" s="84" t="n">
        <v>44957</v>
      </c>
      <c r="B580" s="85" t="n">
        <v>18</v>
      </c>
    </row>
    <row r="581" customFormat="false" ht="15" hidden="false" customHeight="false" outlineLevel="0" collapsed="false">
      <c r="A581" s="84" t="n">
        <v>44958</v>
      </c>
      <c r="B581" s="85" t="n">
        <v>47</v>
      </c>
    </row>
    <row r="582" customFormat="false" ht="15" hidden="false" customHeight="false" outlineLevel="0" collapsed="false">
      <c r="A582" s="84" t="n">
        <v>44959</v>
      </c>
      <c r="B582" s="85" t="n">
        <v>20</v>
      </c>
    </row>
    <row r="583" customFormat="false" ht="15" hidden="false" customHeight="false" outlineLevel="0" collapsed="false">
      <c r="A583" s="84" t="n">
        <v>44960</v>
      </c>
      <c r="B583" s="85" t="n">
        <v>61</v>
      </c>
    </row>
    <row r="584" customFormat="false" ht="15" hidden="false" customHeight="false" outlineLevel="0" collapsed="false">
      <c r="A584" s="84" t="n">
        <v>44961</v>
      </c>
      <c r="B584" s="85" t="n">
        <v>53</v>
      </c>
    </row>
    <row r="585" customFormat="false" ht="15" hidden="false" customHeight="false" outlineLevel="0" collapsed="false">
      <c r="A585" s="84" t="n">
        <v>44962</v>
      </c>
      <c r="B585" s="85" t="n">
        <v>69</v>
      </c>
    </row>
    <row r="586" customFormat="false" ht="15" hidden="false" customHeight="false" outlineLevel="0" collapsed="false">
      <c r="A586" s="84" t="n">
        <v>44963</v>
      </c>
      <c r="B586" s="85" t="n">
        <v>26</v>
      </c>
    </row>
    <row r="587" customFormat="false" ht="15" hidden="false" customHeight="false" outlineLevel="0" collapsed="false">
      <c r="A587" s="84" t="n">
        <v>44964</v>
      </c>
      <c r="B587" s="85" t="n">
        <v>35</v>
      </c>
    </row>
    <row r="588" customFormat="false" ht="15" hidden="false" customHeight="false" outlineLevel="0" collapsed="false">
      <c r="A588" s="84" t="n">
        <v>44965</v>
      </c>
      <c r="B588" s="85" t="n">
        <v>37</v>
      </c>
    </row>
    <row r="589" customFormat="false" ht="15" hidden="false" customHeight="false" outlineLevel="0" collapsed="false">
      <c r="A589" s="84" t="n">
        <v>44966</v>
      </c>
      <c r="B589" s="85" t="n">
        <v>26</v>
      </c>
    </row>
    <row r="590" customFormat="false" ht="15" hidden="false" customHeight="false" outlineLevel="0" collapsed="false">
      <c r="A590" s="84" t="n">
        <v>44967</v>
      </c>
      <c r="B590" s="85" t="n">
        <v>13</v>
      </c>
    </row>
    <row r="591" customFormat="false" ht="15" hidden="false" customHeight="false" outlineLevel="0" collapsed="false">
      <c r="A591" s="84" t="n">
        <v>44968</v>
      </c>
      <c r="B591" s="85" t="n">
        <v>19</v>
      </c>
    </row>
    <row r="592" customFormat="false" ht="15" hidden="false" customHeight="false" outlineLevel="0" collapsed="false">
      <c r="A592" s="84" t="n">
        <v>44969</v>
      </c>
      <c r="B592" s="85" t="n">
        <v>53</v>
      </c>
    </row>
    <row r="593" customFormat="false" ht="15" hidden="false" customHeight="false" outlineLevel="0" collapsed="false">
      <c r="A593" s="84" t="n">
        <v>44970</v>
      </c>
      <c r="B593" s="85" t="n">
        <v>10</v>
      </c>
    </row>
    <row r="594" customFormat="false" ht="15" hidden="false" customHeight="false" outlineLevel="0" collapsed="false">
      <c r="A594" s="84" t="n">
        <v>44971</v>
      </c>
      <c r="B594" s="85" t="n">
        <v>10</v>
      </c>
    </row>
    <row r="595" customFormat="false" ht="15" hidden="false" customHeight="false" outlineLevel="0" collapsed="false">
      <c r="A595" s="84" t="n">
        <v>44972</v>
      </c>
      <c r="B595" s="85" t="n">
        <v>41</v>
      </c>
    </row>
    <row r="596" customFormat="false" ht="15" hidden="false" customHeight="false" outlineLevel="0" collapsed="false">
      <c r="A596" s="84" t="n">
        <v>44973</v>
      </c>
      <c r="B596" s="85" t="n">
        <v>42</v>
      </c>
    </row>
    <row r="597" customFormat="false" ht="15" hidden="false" customHeight="false" outlineLevel="0" collapsed="false">
      <c r="A597" s="84" t="n">
        <v>44974</v>
      </c>
      <c r="B597" s="85" t="n">
        <v>57</v>
      </c>
    </row>
    <row r="598" customFormat="false" ht="15" hidden="false" customHeight="false" outlineLevel="0" collapsed="false">
      <c r="A598" s="84" t="n">
        <v>44975</v>
      </c>
      <c r="B598" s="85" t="n">
        <v>58</v>
      </c>
    </row>
    <row r="599" customFormat="false" ht="15" hidden="false" customHeight="false" outlineLevel="0" collapsed="false">
      <c r="A599" s="84" t="n">
        <v>44976</v>
      </c>
      <c r="B599" s="85" t="n">
        <v>19</v>
      </c>
    </row>
    <row r="600" customFormat="false" ht="15" hidden="false" customHeight="false" outlineLevel="0" collapsed="false">
      <c r="A600" s="84" t="n">
        <v>44977</v>
      </c>
      <c r="B600" s="85" t="n">
        <v>19</v>
      </c>
    </row>
    <row r="601" customFormat="false" ht="15" hidden="false" customHeight="false" outlineLevel="0" collapsed="false">
      <c r="A601" s="84" t="n">
        <v>44978</v>
      </c>
      <c r="B601" s="85" t="n">
        <v>16</v>
      </c>
    </row>
    <row r="602" customFormat="false" ht="15" hidden="false" customHeight="false" outlineLevel="0" collapsed="false">
      <c r="A602" s="84" t="n">
        <v>44979</v>
      </c>
      <c r="B602" s="85" t="n">
        <v>2</v>
      </c>
    </row>
    <row r="603" customFormat="false" ht="15" hidden="false" customHeight="false" outlineLevel="0" collapsed="false">
      <c r="A603" s="84" t="n">
        <v>44980</v>
      </c>
      <c r="B603" s="85" t="n">
        <v>14</v>
      </c>
    </row>
    <row r="604" customFormat="false" ht="15" hidden="false" customHeight="false" outlineLevel="0" collapsed="false">
      <c r="A604" s="84" t="n">
        <v>44981</v>
      </c>
      <c r="B604" s="85" t="n">
        <v>4</v>
      </c>
    </row>
    <row r="605" customFormat="false" ht="15" hidden="false" customHeight="false" outlineLevel="0" collapsed="false">
      <c r="A605" s="84" t="n">
        <v>44982</v>
      </c>
      <c r="B605" s="85" t="n">
        <v>8</v>
      </c>
    </row>
    <row r="606" customFormat="false" ht="15" hidden="false" customHeight="false" outlineLevel="0" collapsed="false">
      <c r="A606" s="84" t="n">
        <v>44983</v>
      </c>
      <c r="B606" s="85" t="n">
        <v>41</v>
      </c>
    </row>
    <row r="607" customFormat="false" ht="15" hidden="false" customHeight="false" outlineLevel="0" collapsed="false">
      <c r="A607" s="84" t="n">
        <v>44984</v>
      </c>
      <c r="B607" s="85" t="n">
        <v>28</v>
      </c>
    </row>
    <row r="608" customFormat="false" ht="15" hidden="false" customHeight="false" outlineLevel="0" collapsed="false">
      <c r="A608" s="84" t="n">
        <v>44985</v>
      </c>
      <c r="B608" s="85" t="n">
        <v>16</v>
      </c>
    </row>
    <row r="609" customFormat="false" ht="15" hidden="false" customHeight="false" outlineLevel="0" collapsed="false">
      <c r="A609" s="84" t="n">
        <v>44986</v>
      </c>
      <c r="B609" s="85" t="n">
        <v>30</v>
      </c>
    </row>
    <row r="610" customFormat="false" ht="15" hidden="false" customHeight="false" outlineLevel="0" collapsed="false">
      <c r="A610" s="84" t="n">
        <v>44987</v>
      </c>
      <c r="B610" s="85" t="n">
        <v>43</v>
      </c>
    </row>
    <row r="611" customFormat="false" ht="15" hidden="false" customHeight="false" outlineLevel="0" collapsed="false">
      <c r="A611" s="84" t="n">
        <v>44988</v>
      </c>
      <c r="B611" s="85" t="n">
        <v>18</v>
      </c>
    </row>
    <row r="612" customFormat="false" ht="15" hidden="false" customHeight="false" outlineLevel="0" collapsed="false">
      <c r="A612" s="84" t="n">
        <v>44989</v>
      </c>
      <c r="B612" s="85" t="n">
        <v>164</v>
      </c>
    </row>
    <row r="613" customFormat="false" ht="15" hidden="false" customHeight="false" outlineLevel="0" collapsed="false">
      <c r="A613" s="84" t="n">
        <v>44990</v>
      </c>
      <c r="B613" s="85" t="n">
        <v>15</v>
      </c>
    </row>
    <row r="614" customFormat="false" ht="15" hidden="false" customHeight="false" outlineLevel="0" collapsed="false">
      <c r="A614" s="84" t="n">
        <v>44991</v>
      </c>
      <c r="B614" s="85" t="n">
        <v>7</v>
      </c>
    </row>
    <row r="615" customFormat="false" ht="15" hidden="false" customHeight="false" outlineLevel="0" collapsed="false">
      <c r="A615" s="84" t="n">
        <v>44992</v>
      </c>
      <c r="B615" s="85" t="n">
        <v>15</v>
      </c>
    </row>
    <row r="616" customFormat="false" ht="15" hidden="false" customHeight="false" outlineLevel="0" collapsed="false">
      <c r="A616" s="84" t="n">
        <v>44993</v>
      </c>
      <c r="B616" s="85" t="n">
        <v>95</v>
      </c>
    </row>
    <row r="617" customFormat="false" ht="15" hidden="false" customHeight="false" outlineLevel="0" collapsed="false">
      <c r="A617" s="84" t="n">
        <v>44994</v>
      </c>
      <c r="B617" s="85" t="n">
        <v>24</v>
      </c>
    </row>
    <row r="618" customFormat="false" ht="15" hidden="false" customHeight="false" outlineLevel="0" collapsed="false">
      <c r="A618" s="84" t="n">
        <v>44995</v>
      </c>
      <c r="B618" s="85" t="n">
        <v>7</v>
      </c>
    </row>
    <row r="619" customFormat="false" ht="15" hidden="false" customHeight="false" outlineLevel="0" collapsed="false">
      <c r="A619" s="84" t="n">
        <v>44996</v>
      </c>
      <c r="B619" s="85" t="n">
        <v>5</v>
      </c>
    </row>
    <row r="620" customFormat="false" ht="15" hidden="false" customHeight="false" outlineLevel="0" collapsed="false">
      <c r="A620" s="84" t="n">
        <v>44997</v>
      </c>
      <c r="B620" s="85" t="n">
        <v>70</v>
      </c>
    </row>
    <row r="621" customFormat="false" ht="15" hidden="false" customHeight="false" outlineLevel="0" collapsed="false">
      <c r="A621" s="84" t="n">
        <v>44998</v>
      </c>
      <c r="B621" s="85" t="n">
        <v>59</v>
      </c>
    </row>
    <row r="622" customFormat="false" ht="15" hidden="false" customHeight="false" outlineLevel="0" collapsed="false">
      <c r="A622" s="84" t="n">
        <v>44999</v>
      </c>
      <c r="B622" s="85" t="n">
        <v>8</v>
      </c>
    </row>
    <row r="623" customFormat="false" ht="15" hidden="false" customHeight="false" outlineLevel="0" collapsed="false">
      <c r="A623" s="84" t="n">
        <v>45000</v>
      </c>
      <c r="B623" s="85" t="n">
        <v>10</v>
      </c>
    </row>
    <row r="624" customFormat="false" ht="15" hidden="false" customHeight="false" outlineLevel="0" collapsed="false">
      <c r="A624" s="84" t="n">
        <v>45001</v>
      </c>
      <c r="B624" s="85" t="n">
        <v>4</v>
      </c>
    </row>
    <row r="625" customFormat="false" ht="15" hidden="false" customHeight="false" outlineLevel="0" collapsed="false">
      <c r="A625" s="84" t="n">
        <v>45002</v>
      </c>
      <c r="B625" s="85" t="n">
        <v>4</v>
      </c>
    </row>
    <row r="626" customFormat="false" ht="15" hidden="false" customHeight="false" outlineLevel="0" collapsed="false">
      <c r="A626" s="84" t="n">
        <v>45003</v>
      </c>
      <c r="B626" s="85" t="n">
        <v>4</v>
      </c>
    </row>
    <row r="627" customFormat="false" ht="15" hidden="false" customHeight="false" outlineLevel="0" collapsed="false">
      <c r="A627" s="84" t="n">
        <v>45004</v>
      </c>
      <c r="B627" s="85" t="n">
        <v>2</v>
      </c>
    </row>
    <row r="628" customFormat="false" ht="15" hidden="false" customHeight="false" outlineLevel="0" collapsed="false">
      <c r="A628" s="84" t="n">
        <v>45005</v>
      </c>
      <c r="B628" s="85" t="n">
        <v>4</v>
      </c>
    </row>
    <row r="629" customFormat="false" ht="15" hidden="false" customHeight="false" outlineLevel="0" collapsed="false">
      <c r="A629" s="84" t="n">
        <v>45006</v>
      </c>
      <c r="B629" s="85" t="n">
        <v>14</v>
      </c>
    </row>
    <row r="630" customFormat="false" ht="15" hidden="false" customHeight="false" outlineLevel="0" collapsed="false">
      <c r="A630" s="84" t="n">
        <v>45007</v>
      </c>
      <c r="B630" s="85" t="n">
        <v>1</v>
      </c>
    </row>
    <row r="631" customFormat="false" ht="15" hidden="false" customHeight="false" outlineLevel="0" collapsed="false">
      <c r="A631" s="84" t="n">
        <v>45008</v>
      </c>
      <c r="B631" s="85" t="n">
        <v>1</v>
      </c>
    </row>
    <row r="632" customFormat="false" ht="15" hidden="false" customHeight="false" outlineLevel="0" collapsed="false">
      <c r="A632" s="84" t="n">
        <v>45009</v>
      </c>
      <c r="B632" s="85" t="n">
        <v>5</v>
      </c>
    </row>
    <row r="633" customFormat="false" ht="15" hidden="false" customHeight="false" outlineLevel="0" collapsed="false">
      <c r="A633" s="84" t="n">
        <v>45010</v>
      </c>
      <c r="B633" s="85" t="n">
        <v>4</v>
      </c>
    </row>
    <row r="634" customFormat="false" ht="15" hidden="false" customHeight="false" outlineLevel="0" collapsed="false">
      <c r="A634" s="84" t="n">
        <v>45011</v>
      </c>
      <c r="B634" s="85" t="n">
        <v>40</v>
      </c>
    </row>
    <row r="635" customFormat="false" ht="15" hidden="false" customHeight="false" outlineLevel="0" collapsed="false">
      <c r="A635" s="84" t="n">
        <v>45012</v>
      </c>
      <c r="B635" s="85" t="n">
        <v>36</v>
      </c>
    </row>
    <row r="636" customFormat="false" ht="15" hidden="false" customHeight="false" outlineLevel="0" collapsed="false">
      <c r="A636" s="84" t="n">
        <v>45013</v>
      </c>
      <c r="B636" s="85" t="n">
        <v>1</v>
      </c>
    </row>
    <row r="637" customFormat="false" ht="15" hidden="false" customHeight="false" outlineLevel="0" collapsed="false">
      <c r="A637" s="84" t="n">
        <v>45014</v>
      </c>
      <c r="B637" s="85" t="n">
        <v>8</v>
      </c>
    </row>
    <row r="638" customFormat="false" ht="15" hidden="false" customHeight="false" outlineLevel="0" collapsed="false">
      <c r="A638" s="84" t="n">
        <v>45015</v>
      </c>
      <c r="B638" s="85" t="n">
        <v>8</v>
      </c>
    </row>
    <row r="639" customFormat="false" ht="15" hidden="false" customHeight="false" outlineLevel="0" collapsed="false">
      <c r="A639" s="84" t="n">
        <v>45016</v>
      </c>
      <c r="B639" s="85" t="n">
        <v>25</v>
      </c>
    </row>
    <row r="640" customFormat="false" ht="15" hidden="false" customHeight="false" outlineLevel="0" collapsed="false">
      <c r="A640" s="84" t="n">
        <v>45017</v>
      </c>
      <c r="B640" s="85" t="n">
        <v>4</v>
      </c>
    </row>
    <row r="641" customFormat="false" ht="15" hidden="false" customHeight="false" outlineLevel="0" collapsed="false">
      <c r="A641" s="84" t="n">
        <v>45018</v>
      </c>
      <c r="B641" s="85" t="n">
        <v>57</v>
      </c>
    </row>
    <row r="642" customFormat="false" ht="15" hidden="false" customHeight="false" outlineLevel="0" collapsed="false">
      <c r="A642" s="84" t="n">
        <v>45019</v>
      </c>
      <c r="B642" s="85" t="n">
        <v>69</v>
      </c>
    </row>
    <row r="643" customFormat="false" ht="15" hidden="false" customHeight="false" outlineLevel="0" collapsed="false">
      <c r="A643" s="84" t="n">
        <v>45020</v>
      </c>
      <c r="B643" s="85" t="n">
        <v>91</v>
      </c>
    </row>
    <row r="644" customFormat="false" ht="15" hidden="false" customHeight="false" outlineLevel="0" collapsed="false">
      <c r="A644" s="84" t="n">
        <v>45021</v>
      </c>
      <c r="B644" s="85" t="n">
        <v>46</v>
      </c>
    </row>
    <row r="645" customFormat="false" ht="15" hidden="false" customHeight="false" outlineLevel="0" collapsed="false">
      <c r="A645" s="84" t="n">
        <v>45022</v>
      </c>
      <c r="B645" s="85" t="n">
        <v>81</v>
      </c>
    </row>
    <row r="646" customFormat="false" ht="15" hidden="false" customHeight="false" outlineLevel="0" collapsed="false">
      <c r="A646" s="84" t="n">
        <v>45023</v>
      </c>
      <c r="B646" s="85" t="n">
        <v>61</v>
      </c>
    </row>
    <row r="647" customFormat="false" ht="15" hidden="false" customHeight="false" outlineLevel="0" collapsed="false">
      <c r="A647" s="84" t="n">
        <v>45024</v>
      </c>
      <c r="B647" s="85" t="n">
        <v>118</v>
      </c>
    </row>
    <row r="648" customFormat="false" ht="15" hidden="false" customHeight="false" outlineLevel="0" collapsed="false">
      <c r="A648" s="84" t="n">
        <v>45025</v>
      </c>
      <c r="B648" s="85" t="n">
        <v>28</v>
      </c>
    </row>
    <row r="649" customFormat="false" ht="15" hidden="false" customHeight="false" outlineLevel="0" collapsed="false">
      <c r="A649" s="84" t="n">
        <v>45026</v>
      </c>
      <c r="B649" s="85" t="n">
        <v>21</v>
      </c>
    </row>
    <row r="650" customFormat="false" ht="15" hidden="false" customHeight="false" outlineLevel="0" collapsed="false">
      <c r="A650" s="84" t="n">
        <v>45027</v>
      </c>
      <c r="B650" s="85" t="n">
        <v>26</v>
      </c>
    </row>
    <row r="651" customFormat="false" ht="15" hidden="false" customHeight="false" outlineLevel="0" collapsed="false">
      <c r="A651" s="84" t="n">
        <v>45028</v>
      </c>
      <c r="B651" s="85" t="n">
        <v>11</v>
      </c>
    </row>
    <row r="652" customFormat="false" ht="15" hidden="false" customHeight="false" outlineLevel="0" collapsed="false">
      <c r="A652" s="84" t="n">
        <v>45029</v>
      </c>
      <c r="B652" s="85" t="n">
        <v>3</v>
      </c>
    </row>
    <row r="653" customFormat="false" ht="15" hidden="false" customHeight="false" outlineLevel="0" collapsed="false">
      <c r="A653" s="84" t="n">
        <v>45030</v>
      </c>
      <c r="B653" s="85" t="n">
        <v>2</v>
      </c>
    </row>
    <row r="654" customFormat="false" ht="15" hidden="false" customHeight="false" outlineLevel="0" collapsed="false">
      <c r="A654" s="84" t="n">
        <v>45031</v>
      </c>
      <c r="B654" s="85" t="n">
        <v>6</v>
      </c>
    </row>
    <row r="655" customFormat="false" ht="15" hidden="false" customHeight="false" outlineLevel="0" collapsed="false">
      <c r="A655" s="84" t="n">
        <v>45032</v>
      </c>
      <c r="B655" s="85" t="n">
        <v>1</v>
      </c>
    </row>
    <row r="656" customFormat="false" ht="15" hidden="false" customHeight="false" outlineLevel="0" collapsed="false">
      <c r="A656" s="84" t="n">
        <v>45033</v>
      </c>
      <c r="B656" s="85" t="n">
        <v>4</v>
      </c>
    </row>
    <row r="657" customFormat="false" ht="15" hidden="false" customHeight="false" outlineLevel="0" collapsed="false">
      <c r="A657" s="84" t="n">
        <v>45034</v>
      </c>
      <c r="B657" s="85" t="n">
        <v>1</v>
      </c>
    </row>
    <row r="658" customFormat="false" ht="15" hidden="false" customHeight="false" outlineLevel="0" collapsed="false">
      <c r="A658" s="84" t="n">
        <v>45035</v>
      </c>
      <c r="B658" s="85" t="n">
        <v>0</v>
      </c>
    </row>
    <row r="659" customFormat="false" ht="15" hidden="false" customHeight="false" outlineLevel="0" collapsed="false">
      <c r="A659" s="84" t="n">
        <v>45036</v>
      </c>
      <c r="B659" s="85" t="n">
        <v>3</v>
      </c>
    </row>
    <row r="660" customFormat="false" ht="15" hidden="false" customHeight="false" outlineLevel="0" collapsed="false">
      <c r="A660" s="84" t="n">
        <v>45037</v>
      </c>
      <c r="B660" s="85" t="n">
        <v>5</v>
      </c>
    </row>
    <row r="661" customFormat="false" ht="15" hidden="false" customHeight="false" outlineLevel="0" collapsed="false">
      <c r="A661" s="84" t="n">
        <v>45038</v>
      </c>
      <c r="B661" s="85" t="n">
        <v>1</v>
      </c>
    </row>
    <row r="662" customFormat="false" ht="15" hidden="false" customHeight="false" outlineLevel="0" collapsed="false">
      <c r="A662" s="84" t="n">
        <v>45039</v>
      </c>
      <c r="B662" s="85" t="n">
        <v>4</v>
      </c>
    </row>
    <row r="663" customFormat="false" ht="15" hidden="false" customHeight="false" outlineLevel="0" collapsed="false">
      <c r="A663" s="84" t="n">
        <v>45040</v>
      </c>
      <c r="B663" s="85" t="n">
        <v>1</v>
      </c>
    </row>
    <row r="664" customFormat="false" ht="15" hidden="false" customHeight="false" outlineLevel="0" collapsed="false">
      <c r="A664" s="84" t="n">
        <v>45041</v>
      </c>
      <c r="B664" s="85" t="n">
        <v>3</v>
      </c>
    </row>
    <row r="665" customFormat="false" ht="15" hidden="false" customHeight="false" outlineLevel="0" collapsed="false">
      <c r="A665" s="84" t="n">
        <v>45042</v>
      </c>
      <c r="B665" s="85" t="n">
        <v>1</v>
      </c>
    </row>
    <row r="666" customFormat="false" ht="15" hidden="false" customHeight="false" outlineLevel="0" collapsed="false">
      <c r="A666" s="84" t="n">
        <v>45043</v>
      </c>
      <c r="B666" s="85" t="n">
        <v>4</v>
      </c>
    </row>
    <row r="667" customFormat="false" ht="15" hidden="false" customHeight="false" outlineLevel="0" collapsed="false">
      <c r="A667" s="84" t="n">
        <v>45044</v>
      </c>
      <c r="B667" s="85" t="n">
        <v>9</v>
      </c>
    </row>
    <row r="668" customFormat="false" ht="15" hidden="false" customHeight="false" outlineLevel="0" collapsed="false">
      <c r="A668" s="84" t="n">
        <v>45045</v>
      </c>
      <c r="B668" s="85" t="n">
        <v>8</v>
      </c>
    </row>
    <row r="669" customFormat="false" ht="15" hidden="false" customHeight="false" outlineLevel="0" collapsed="false">
      <c r="A669" s="84" t="n">
        <v>45046</v>
      </c>
      <c r="B669" s="85" t="n">
        <v>6</v>
      </c>
    </row>
    <row r="670" customFormat="false" ht="15" hidden="false" customHeight="false" outlineLevel="0" collapsed="false">
      <c r="A670" s="84" t="n">
        <v>45047</v>
      </c>
      <c r="B670" s="85" t="n">
        <v>2</v>
      </c>
    </row>
    <row r="671" customFormat="false" ht="15" hidden="false" customHeight="false" outlineLevel="0" collapsed="false">
      <c r="A671" s="84" t="n">
        <v>45048</v>
      </c>
      <c r="B671" s="85" t="n">
        <v>1</v>
      </c>
    </row>
    <row r="672" customFormat="false" ht="15" hidden="false" customHeight="false" outlineLevel="0" collapsed="false">
      <c r="A672" s="84" t="n">
        <v>45049</v>
      </c>
      <c r="B672" s="85" t="n">
        <v>2</v>
      </c>
    </row>
    <row r="673" customFormat="false" ht="15" hidden="false" customHeight="false" outlineLevel="0" collapsed="false">
      <c r="A673" s="84" t="n">
        <v>45050</v>
      </c>
      <c r="B673" s="85" t="n">
        <v>7</v>
      </c>
    </row>
    <row r="674" customFormat="false" ht="15" hidden="false" customHeight="false" outlineLevel="0" collapsed="false">
      <c r="A674" s="84" t="n">
        <v>45051</v>
      </c>
      <c r="B674" s="85" t="n">
        <v>6</v>
      </c>
    </row>
    <row r="675" customFormat="false" ht="15" hidden="false" customHeight="false" outlineLevel="0" collapsed="false">
      <c r="A675" s="84" t="n">
        <v>45052</v>
      </c>
      <c r="B675" s="85" t="n">
        <v>6</v>
      </c>
    </row>
    <row r="676" customFormat="false" ht="15" hidden="false" customHeight="false" outlineLevel="0" collapsed="false">
      <c r="A676" s="84" t="n">
        <v>45053</v>
      </c>
      <c r="B676" s="85" t="n">
        <v>6</v>
      </c>
    </row>
    <row r="677" customFormat="false" ht="15" hidden="false" customHeight="false" outlineLevel="0" collapsed="false">
      <c r="A677" s="84" t="n">
        <v>45054</v>
      </c>
      <c r="B677" s="85" t="n">
        <v>2</v>
      </c>
    </row>
    <row r="678" customFormat="false" ht="15" hidden="false" customHeight="false" outlineLevel="0" collapsed="false">
      <c r="A678" s="84" t="n">
        <v>45055</v>
      </c>
      <c r="B678" s="85" t="n">
        <v>5</v>
      </c>
    </row>
    <row r="679" customFormat="false" ht="15" hidden="false" customHeight="false" outlineLevel="0" collapsed="false">
      <c r="A679" s="84" t="n">
        <v>45056</v>
      </c>
      <c r="B679" s="85" t="n">
        <v>2</v>
      </c>
    </row>
    <row r="680" customFormat="false" ht="15" hidden="false" customHeight="false" outlineLevel="0" collapsed="false">
      <c r="A680" s="84" t="n">
        <v>45057</v>
      </c>
      <c r="B680" s="85" t="n">
        <v>2</v>
      </c>
    </row>
    <row r="681" customFormat="false" ht="15" hidden="false" customHeight="false" outlineLevel="0" collapsed="false">
      <c r="A681" s="84" t="n">
        <v>45058</v>
      </c>
      <c r="B681" s="85" t="n">
        <v>5</v>
      </c>
    </row>
    <row r="682" customFormat="false" ht="15" hidden="false" customHeight="false" outlineLevel="0" collapsed="false">
      <c r="A682" s="84" t="n">
        <v>45059</v>
      </c>
      <c r="B682" s="85" t="n">
        <v>2</v>
      </c>
    </row>
    <row r="683" customFormat="false" ht="15" hidden="false" customHeight="false" outlineLevel="0" collapsed="false">
      <c r="A683" s="84" t="n">
        <v>45060</v>
      </c>
      <c r="B683" s="85" t="n">
        <v>15</v>
      </c>
    </row>
    <row r="684" customFormat="false" ht="15" hidden="false" customHeight="false" outlineLevel="0" collapsed="false">
      <c r="A684" s="84" t="n">
        <v>45061</v>
      </c>
      <c r="B684" s="85" t="n">
        <v>35</v>
      </c>
    </row>
    <row r="685" customFormat="false" ht="15" hidden="false" customHeight="false" outlineLevel="0" collapsed="false">
      <c r="A685" s="84" t="n">
        <v>45062</v>
      </c>
      <c r="B685" s="85" t="n">
        <v>48</v>
      </c>
    </row>
    <row r="686" customFormat="false" ht="15" hidden="false" customHeight="false" outlineLevel="0" collapsed="false">
      <c r="A686" s="84" t="n">
        <v>45063</v>
      </c>
      <c r="B686" s="85" t="n">
        <v>30</v>
      </c>
    </row>
    <row r="687" customFormat="false" ht="15" hidden="false" customHeight="false" outlineLevel="0" collapsed="false">
      <c r="A687" s="84" t="n">
        <v>45064</v>
      </c>
      <c r="B687" s="85" t="n">
        <v>163</v>
      </c>
    </row>
    <row r="688" customFormat="false" ht="15" hidden="false" customHeight="false" outlineLevel="0" collapsed="false">
      <c r="A688" s="84" t="n">
        <v>45065</v>
      </c>
      <c r="B688" s="85" t="n">
        <v>9</v>
      </c>
    </row>
    <row r="689" customFormat="false" ht="15" hidden="false" customHeight="false" outlineLevel="0" collapsed="false">
      <c r="A689" s="84" t="n">
        <v>45066</v>
      </c>
      <c r="B689" s="85" t="n">
        <v>15</v>
      </c>
    </row>
    <row r="690" customFormat="false" ht="15" hidden="false" customHeight="false" outlineLevel="0" collapsed="false">
      <c r="A690" s="84" t="n">
        <v>45067</v>
      </c>
      <c r="B690" s="85" t="n">
        <v>9</v>
      </c>
    </row>
    <row r="691" customFormat="false" ht="15" hidden="false" customHeight="false" outlineLevel="0" collapsed="false">
      <c r="A691" s="84" t="n">
        <v>45068</v>
      </c>
      <c r="B691" s="85" t="n">
        <v>11</v>
      </c>
    </row>
    <row r="692" customFormat="false" ht="15" hidden="false" customHeight="false" outlineLevel="0" collapsed="false">
      <c r="A692" s="84" t="n">
        <v>45069</v>
      </c>
      <c r="B692" s="85" t="n">
        <v>8</v>
      </c>
    </row>
    <row r="693" customFormat="false" ht="15" hidden="false" customHeight="false" outlineLevel="0" collapsed="false">
      <c r="A693" s="84" t="n">
        <v>45070</v>
      </c>
      <c r="B693" s="85" t="n">
        <v>4</v>
      </c>
    </row>
    <row r="694" customFormat="false" ht="15" hidden="false" customHeight="false" outlineLevel="0" collapsed="false">
      <c r="A694" s="84" t="n">
        <v>45071</v>
      </c>
      <c r="B694" s="85" t="n">
        <v>8</v>
      </c>
    </row>
    <row r="695" customFormat="false" ht="15" hidden="false" customHeight="false" outlineLevel="0" collapsed="false">
      <c r="A695" s="84" t="n">
        <v>45072</v>
      </c>
      <c r="B695" s="85" t="n">
        <v>14</v>
      </c>
    </row>
    <row r="696" customFormat="false" ht="15" hidden="false" customHeight="false" outlineLevel="0" collapsed="false">
      <c r="A696" s="84" t="n">
        <v>45073</v>
      </c>
      <c r="B696" s="85" t="n">
        <v>13</v>
      </c>
    </row>
    <row r="697" customFormat="false" ht="15" hidden="false" customHeight="false" outlineLevel="0" collapsed="false">
      <c r="A697" s="84" t="n">
        <v>45074</v>
      </c>
      <c r="B697" s="85" t="n">
        <v>10</v>
      </c>
    </row>
    <row r="698" customFormat="false" ht="15" hidden="false" customHeight="false" outlineLevel="0" collapsed="false">
      <c r="A698" s="84" t="n">
        <v>45075</v>
      </c>
      <c r="B698" s="85" t="n">
        <v>6</v>
      </c>
    </row>
    <row r="699" customFormat="false" ht="15" hidden="false" customHeight="false" outlineLevel="0" collapsed="false">
      <c r="A699" s="84" t="n">
        <v>45076</v>
      </c>
      <c r="B699" s="85" t="n">
        <v>1</v>
      </c>
    </row>
    <row r="700" customFormat="false" ht="15" hidden="false" customHeight="false" outlineLevel="0" collapsed="false">
      <c r="A700" s="84" t="n">
        <v>45077</v>
      </c>
      <c r="B700" s="85" t="n">
        <v>6</v>
      </c>
    </row>
    <row r="701" customFormat="false" ht="15" hidden="false" customHeight="false" outlineLevel="0" collapsed="false">
      <c r="A701" s="84" t="n">
        <v>45078</v>
      </c>
      <c r="B701" s="85" t="n">
        <v>3</v>
      </c>
    </row>
    <row r="702" customFormat="false" ht="15" hidden="false" customHeight="false" outlineLevel="0" collapsed="false">
      <c r="A702" s="84" t="n">
        <v>45079</v>
      </c>
      <c r="B702" s="85" t="n">
        <v>3</v>
      </c>
    </row>
    <row r="703" customFormat="false" ht="15" hidden="false" customHeight="false" outlineLevel="0" collapsed="false">
      <c r="A703" s="84" t="n">
        <v>45080</v>
      </c>
      <c r="B703" s="85" t="n">
        <v>9</v>
      </c>
    </row>
    <row r="704" customFormat="false" ht="15" hidden="false" customHeight="false" outlineLevel="0" collapsed="false">
      <c r="A704" s="84" t="n">
        <v>45081</v>
      </c>
      <c r="B704" s="85" t="n">
        <v>4</v>
      </c>
    </row>
    <row r="705" customFormat="false" ht="15" hidden="false" customHeight="false" outlineLevel="0" collapsed="false">
      <c r="A705" s="84" t="n">
        <v>45082</v>
      </c>
      <c r="B705" s="85" t="n">
        <v>2</v>
      </c>
    </row>
    <row r="706" customFormat="false" ht="15" hidden="false" customHeight="false" outlineLevel="0" collapsed="false">
      <c r="A706" s="84" t="n">
        <v>45083</v>
      </c>
      <c r="B706" s="85" t="n">
        <v>1</v>
      </c>
    </row>
    <row r="707" customFormat="false" ht="15" hidden="false" customHeight="false" outlineLevel="0" collapsed="false">
      <c r="A707" s="84" t="n">
        <v>45084</v>
      </c>
      <c r="B707" s="85" t="n">
        <v>5</v>
      </c>
    </row>
    <row r="708" customFormat="false" ht="15" hidden="false" customHeight="false" outlineLevel="0" collapsed="false">
      <c r="A708" s="84" t="n">
        <v>45085</v>
      </c>
      <c r="B708" s="85" t="n">
        <v>4</v>
      </c>
    </row>
    <row r="709" customFormat="false" ht="15" hidden="false" customHeight="false" outlineLevel="0" collapsed="false">
      <c r="A709" s="84" t="n">
        <v>45086</v>
      </c>
      <c r="B709" s="85" t="n">
        <v>7</v>
      </c>
    </row>
    <row r="710" customFormat="false" ht="15" hidden="false" customHeight="false" outlineLevel="0" collapsed="false">
      <c r="A710" s="84" t="n">
        <v>45087</v>
      </c>
      <c r="B710" s="85" t="n">
        <v>3</v>
      </c>
    </row>
    <row r="711" customFormat="false" ht="15" hidden="false" customHeight="false" outlineLevel="0" collapsed="false">
      <c r="A711" s="84" t="n">
        <v>45088</v>
      </c>
      <c r="B711" s="85" t="n">
        <v>1</v>
      </c>
    </row>
    <row r="712" customFormat="false" ht="15" hidden="false" customHeight="false" outlineLevel="0" collapsed="false">
      <c r="A712" s="84" t="n">
        <v>45089</v>
      </c>
      <c r="B712" s="85" t="n">
        <v>0</v>
      </c>
    </row>
    <row r="713" customFormat="false" ht="15" hidden="false" customHeight="false" outlineLevel="0" collapsed="false">
      <c r="A713" s="84" t="n">
        <v>45090</v>
      </c>
      <c r="B713" s="85" t="n">
        <v>2</v>
      </c>
    </row>
    <row r="714" customFormat="false" ht="15" hidden="false" customHeight="false" outlineLevel="0" collapsed="false">
      <c r="A714" s="84" t="n">
        <v>45091</v>
      </c>
      <c r="B714" s="85" t="n">
        <v>1</v>
      </c>
    </row>
    <row r="715" customFormat="false" ht="15" hidden="false" customHeight="false" outlineLevel="0" collapsed="false">
      <c r="A715" s="84" t="n">
        <v>45092</v>
      </c>
      <c r="B715" s="85" t="n">
        <v>5</v>
      </c>
    </row>
    <row r="716" customFormat="false" ht="15" hidden="false" customHeight="false" outlineLevel="0" collapsed="false">
      <c r="A716" s="84" t="n">
        <v>45093</v>
      </c>
      <c r="B716" s="85" t="n">
        <v>2</v>
      </c>
    </row>
    <row r="717" customFormat="false" ht="15" hidden="false" customHeight="false" outlineLevel="0" collapsed="false">
      <c r="A717" s="84" t="n">
        <v>45094</v>
      </c>
      <c r="B717" s="85" t="n">
        <v>3</v>
      </c>
    </row>
    <row r="718" customFormat="false" ht="15" hidden="false" customHeight="false" outlineLevel="0" collapsed="false">
      <c r="A718" s="84" t="n">
        <v>45095</v>
      </c>
      <c r="B718" s="85" t="n">
        <v>2</v>
      </c>
    </row>
    <row r="719" customFormat="false" ht="15" hidden="false" customHeight="false" outlineLevel="0" collapsed="false">
      <c r="A719" s="84" t="n">
        <v>45096</v>
      </c>
      <c r="B719" s="85" t="n">
        <v>2</v>
      </c>
    </row>
    <row r="720" customFormat="false" ht="15" hidden="false" customHeight="false" outlineLevel="0" collapsed="false">
      <c r="A720" s="84" t="n">
        <v>45097</v>
      </c>
      <c r="B720" s="85" t="n">
        <v>7</v>
      </c>
    </row>
    <row r="721" customFormat="false" ht="15" hidden="false" customHeight="false" outlineLevel="0" collapsed="false">
      <c r="A721" s="84" t="n">
        <v>45098</v>
      </c>
      <c r="B721" s="85" t="n">
        <v>2</v>
      </c>
    </row>
    <row r="722" customFormat="false" ht="15" hidden="false" customHeight="false" outlineLevel="0" collapsed="false">
      <c r="A722" s="84" t="n">
        <v>45099</v>
      </c>
      <c r="B722" s="85" t="n">
        <v>2</v>
      </c>
    </row>
    <row r="723" customFormat="false" ht="15" hidden="false" customHeight="false" outlineLevel="0" collapsed="false">
      <c r="A723" s="84" t="n">
        <v>45100</v>
      </c>
      <c r="B723" s="85" t="n">
        <v>1</v>
      </c>
    </row>
    <row r="724" customFormat="false" ht="15" hidden="false" customHeight="false" outlineLevel="0" collapsed="false">
      <c r="A724" s="84" t="n">
        <v>45101</v>
      </c>
      <c r="B724" s="85" t="n">
        <v>1</v>
      </c>
    </row>
    <row r="725" customFormat="false" ht="15" hidden="false" customHeight="false" outlineLevel="0" collapsed="false">
      <c r="A725" s="84" t="n">
        <v>45102</v>
      </c>
      <c r="B725" s="85" t="n">
        <v>1</v>
      </c>
    </row>
    <row r="726" customFormat="false" ht="15" hidden="false" customHeight="false" outlineLevel="0" collapsed="false">
      <c r="A726" s="84" t="n">
        <v>45103</v>
      </c>
      <c r="B726" s="85" t="n">
        <v>4</v>
      </c>
    </row>
    <row r="727" customFormat="false" ht="15" hidden="false" customHeight="false" outlineLevel="0" collapsed="false">
      <c r="A727" s="84" t="n">
        <v>45104</v>
      </c>
      <c r="B727" s="85" t="n">
        <v>0</v>
      </c>
    </row>
    <row r="728" customFormat="false" ht="15" hidden="false" customHeight="false" outlineLevel="0" collapsed="false">
      <c r="A728" s="84" t="n">
        <v>45105</v>
      </c>
      <c r="B728" s="85" t="n">
        <v>5</v>
      </c>
    </row>
    <row r="729" customFormat="false" ht="15" hidden="false" customHeight="false" outlineLevel="0" collapsed="false">
      <c r="A729" s="84" t="n">
        <v>45106</v>
      </c>
      <c r="B729" s="85" t="n">
        <v>3</v>
      </c>
    </row>
    <row r="730" customFormat="false" ht="15" hidden="false" customHeight="false" outlineLevel="0" collapsed="false">
      <c r="A730" s="84" t="n">
        <v>45107</v>
      </c>
      <c r="B730" s="85" t="n">
        <v>4</v>
      </c>
    </row>
    <row r="731" customFormat="false" ht="15" hidden="false" customHeight="false" outlineLevel="0" collapsed="false">
      <c r="A731" s="84" t="n">
        <v>45108</v>
      </c>
      <c r="B731" s="85" t="n">
        <v>5</v>
      </c>
    </row>
    <row r="732" customFormat="false" ht="15" hidden="false" customHeight="false" outlineLevel="0" collapsed="false">
      <c r="A732" s="84" t="n">
        <v>45109</v>
      </c>
      <c r="B732" s="85" t="n">
        <v>20</v>
      </c>
    </row>
    <row r="733" customFormat="false" ht="15" hidden="false" customHeight="false" outlineLevel="0" collapsed="false">
      <c r="A733" s="84" t="n">
        <v>45110</v>
      </c>
      <c r="B733" s="85" t="n">
        <v>4</v>
      </c>
    </row>
    <row r="734" customFormat="false" ht="15" hidden="false" customHeight="false" outlineLevel="0" collapsed="false">
      <c r="A734" s="84" t="n">
        <v>45111</v>
      </c>
      <c r="B734" s="85" t="n">
        <v>3</v>
      </c>
    </row>
    <row r="735" customFormat="false" ht="15" hidden="false" customHeight="false" outlineLevel="0" collapsed="false">
      <c r="A735" s="84" t="n">
        <v>45112</v>
      </c>
      <c r="B735" s="85" t="n">
        <v>4</v>
      </c>
    </row>
    <row r="736" customFormat="false" ht="15" hidden="false" customHeight="false" outlineLevel="0" collapsed="false">
      <c r="A736" s="84" t="n">
        <v>45113</v>
      </c>
      <c r="B736" s="85" t="n">
        <v>0</v>
      </c>
    </row>
    <row r="737" customFormat="false" ht="15" hidden="false" customHeight="false" outlineLevel="0" collapsed="false">
      <c r="A737" s="84" t="n">
        <v>45114</v>
      </c>
      <c r="B737" s="85" t="n">
        <v>4</v>
      </c>
    </row>
    <row r="738" customFormat="false" ht="15" hidden="false" customHeight="false" outlineLevel="0" collapsed="false">
      <c r="A738" s="84" t="n">
        <v>45115</v>
      </c>
      <c r="B738" s="85" t="n">
        <v>2</v>
      </c>
    </row>
    <row r="739" customFormat="false" ht="15" hidden="false" customHeight="false" outlineLevel="0" collapsed="false">
      <c r="A739" s="84" t="n">
        <v>45116</v>
      </c>
      <c r="B739" s="85" t="n">
        <v>2</v>
      </c>
    </row>
    <row r="740" customFormat="false" ht="15" hidden="false" customHeight="false" outlineLevel="0" collapsed="false">
      <c r="A740" s="84" t="n">
        <v>45117</v>
      </c>
      <c r="B740" s="85" t="n">
        <v>8</v>
      </c>
    </row>
    <row r="741" customFormat="false" ht="15" hidden="false" customHeight="false" outlineLevel="0" collapsed="false">
      <c r="A741" s="84" t="n">
        <v>45118</v>
      </c>
      <c r="B741" s="85" t="n">
        <v>5</v>
      </c>
    </row>
    <row r="742" customFormat="false" ht="15" hidden="false" customHeight="false" outlineLevel="0" collapsed="false">
      <c r="A742" s="84" t="n">
        <v>45119</v>
      </c>
      <c r="B742" s="85" t="n">
        <v>4</v>
      </c>
    </row>
    <row r="743" customFormat="false" ht="15" hidden="false" customHeight="false" outlineLevel="0" collapsed="false">
      <c r="A743" s="84" t="n">
        <v>45120</v>
      </c>
      <c r="B743" s="85" t="n">
        <v>9</v>
      </c>
    </row>
    <row r="744" customFormat="false" ht="15" hidden="false" customHeight="false" outlineLevel="0" collapsed="false">
      <c r="A744" s="84" t="n">
        <v>45121</v>
      </c>
      <c r="B744" s="85" t="n">
        <v>5</v>
      </c>
    </row>
    <row r="745" customFormat="false" ht="15" hidden="false" customHeight="false" outlineLevel="0" collapsed="false">
      <c r="A745" s="84" t="n">
        <v>45122</v>
      </c>
      <c r="B745" s="85" t="n">
        <v>1</v>
      </c>
    </row>
    <row r="746" customFormat="false" ht="15" hidden="false" customHeight="false" outlineLevel="0" collapsed="false">
      <c r="A746" s="84" t="n">
        <v>45123</v>
      </c>
      <c r="B746" s="85" t="n">
        <v>1</v>
      </c>
    </row>
    <row r="747" customFormat="false" ht="15" hidden="false" customHeight="false" outlineLevel="0" collapsed="false">
      <c r="A747" s="84" t="n">
        <v>45124</v>
      </c>
      <c r="B747" s="85" t="n">
        <v>2</v>
      </c>
    </row>
    <row r="748" customFormat="false" ht="15" hidden="false" customHeight="false" outlineLevel="0" collapsed="false">
      <c r="A748" s="84" t="n">
        <v>45125</v>
      </c>
      <c r="B748" s="85" t="n">
        <v>5</v>
      </c>
    </row>
    <row r="749" customFormat="false" ht="15" hidden="false" customHeight="false" outlineLevel="0" collapsed="false">
      <c r="A749" s="84" t="n">
        <v>45126</v>
      </c>
      <c r="B749" s="85" t="n">
        <v>2</v>
      </c>
    </row>
    <row r="750" customFormat="false" ht="15" hidden="false" customHeight="false" outlineLevel="0" collapsed="false">
      <c r="A750" s="84" t="n">
        <v>45127</v>
      </c>
      <c r="B750" s="85" t="n">
        <v>6</v>
      </c>
    </row>
    <row r="751" customFormat="false" ht="15" hidden="false" customHeight="false" outlineLevel="0" collapsed="false">
      <c r="A751" s="84" t="n">
        <v>45128</v>
      </c>
      <c r="B751" s="85" t="n">
        <v>6</v>
      </c>
    </row>
    <row r="752" customFormat="false" ht="15" hidden="false" customHeight="false" outlineLevel="0" collapsed="false">
      <c r="A752" s="84" t="n">
        <v>45129</v>
      </c>
      <c r="B752" s="85" t="n">
        <v>1</v>
      </c>
    </row>
    <row r="753" customFormat="false" ht="15" hidden="false" customHeight="false" outlineLevel="0" collapsed="false">
      <c r="A753" s="84" t="n">
        <v>45130</v>
      </c>
      <c r="B753" s="85" t="n">
        <v>4</v>
      </c>
    </row>
    <row r="754" customFormat="false" ht="15" hidden="false" customHeight="false" outlineLevel="0" collapsed="false">
      <c r="A754" s="84" t="n">
        <v>45131</v>
      </c>
      <c r="B754" s="85" t="n">
        <v>1</v>
      </c>
    </row>
    <row r="755" customFormat="false" ht="15" hidden="false" customHeight="false" outlineLevel="0" collapsed="false">
      <c r="A755" s="84" t="n">
        <v>45132</v>
      </c>
      <c r="B755" s="85" t="n">
        <v>0</v>
      </c>
    </row>
    <row r="756" customFormat="false" ht="15" hidden="false" customHeight="false" outlineLevel="0" collapsed="false">
      <c r="A756" s="84" t="n">
        <v>45133</v>
      </c>
      <c r="B756" s="85" t="n">
        <v>4</v>
      </c>
    </row>
    <row r="757" customFormat="false" ht="15" hidden="false" customHeight="false" outlineLevel="0" collapsed="false">
      <c r="A757" s="84" t="n">
        <v>45134</v>
      </c>
      <c r="B757" s="85" t="n">
        <v>1</v>
      </c>
    </row>
    <row r="758" customFormat="false" ht="15" hidden="false" customHeight="false" outlineLevel="0" collapsed="false">
      <c r="A758" s="84" t="n">
        <v>45135</v>
      </c>
      <c r="B758" s="85" t="n">
        <v>4</v>
      </c>
    </row>
    <row r="759" customFormat="false" ht="15" hidden="false" customHeight="false" outlineLevel="0" collapsed="false">
      <c r="A759" s="84" t="n">
        <v>45136</v>
      </c>
      <c r="B759" s="85" t="n">
        <v>7</v>
      </c>
    </row>
    <row r="760" customFormat="false" ht="15" hidden="false" customHeight="false" outlineLevel="0" collapsed="false">
      <c r="A760" s="84" t="n">
        <v>45137</v>
      </c>
      <c r="B760" s="85" t="n">
        <v>15</v>
      </c>
    </row>
    <row r="761" customFormat="false" ht="15" hidden="false" customHeight="false" outlineLevel="0" collapsed="false">
      <c r="A761" s="84" t="n">
        <v>45138</v>
      </c>
      <c r="B761" s="85" t="n">
        <v>13</v>
      </c>
    </row>
    <row r="762" customFormat="false" ht="15" hidden="false" customHeight="false" outlineLevel="0" collapsed="false">
      <c r="A762" s="84" t="n">
        <v>45139</v>
      </c>
      <c r="B762" s="85" t="n">
        <v>17</v>
      </c>
    </row>
    <row r="763" customFormat="false" ht="15" hidden="false" customHeight="false" outlineLevel="0" collapsed="false">
      <c r="A763" s="84" t="n">
        <v>45140</v>
      </c>
      <c r="B763" s="85" t="n">
        <v>10</v>
      </c>
    </row>
    <row r="764" customFormat="false" ht="15" hidden="false" customHeight="false" outlineLevel="0" collapsed="false">
      <c r="A764" s="84" t="n">
        <v>45141</v>
      </c>
      <c r="B764" s="85" t="n">
        <v>3</v>
      </c>
    </row>
    <row r="765" customFormat="false" ht="15" hidden="false" customHeight="false" outlineLevel="0" collapsed="false">
      <c r="A765" s="84" t="n">
        <v>45142</v>
      </c>
      <c r="B765" s="85" t="n">
        <v>11</v>
      </c>
    </row>
    <row r="766" customFormat="false" ht="15" hidden="false" customHeight="false" outlineLevel="0" collapsed="false">
      <c r="A766" s="84" t="n">
        <v>45143</v>
      </c>
      <c r="B766" s="85" t="n">
        <v>2</v>
      </c>
    </row>
    <row r="767" customFormat="false" ht="15" hidden="false" customHeight="false" outlineLevel="0" collapsed="false">
      <c r="A767" s="84" t="n">
        <v>45144</v>
      </c>
      <c r="B767" s="85" t="n">
        <v>19</v>
      </c>
    </row>
    <row r="768" customFormat="false" ht="15" hidden="false" customHeight="false" outlineLevel="0" collapsed="false">
      <c r="A768" s="84" t="n">
        <v>45145</v>
      </c>
      <c r="B768" s="85" t="n">
        <v>2</v>
      </c>
    </row>
    <row r="769" customFormat="false" ht="15" hidden="false" customHeight="false" outlineLevel="0" collapsed="false">
      <c r="A769" s="84" t="n">
        <v>45146</v>
      </c>
      <c r="B769" s="85" t="n">
        <v>1</v>
      </c>
    </row>
    <row r="770" customFormat="false" ht="15" hidden="false" customHeight="false" outlineLevel="0" collapsed="false">
      <c r="A770" s="84" t="n">
        <v>45147</v>
      </c>
      <c r="B770" s="85" t="n">
        <v>7</v>
      </c>
    </row>
    <row r="771" customFormat="false" ht="15" hidden="false" customHeight="false" outlineLevel="0" collapsed="false">
      <c r="A771" s="84" t="n">
        <v>45148</v>
      </c>
      <c r="B771" s="85" t="n">
        <v>6</v>
      </c>
    </row>
    <row r="772" customFormat="false" ht="15" hidden="false" customHeight="false" outlineLevel="0" collapsed="false">
      <c r="A772" s="84" t="n">
        <v>45149</v>
      </c>
      <c r="B772" s="85" t="n">
        <v>8</v>
      </c>
    </row>
    <row r="773" customFormat="false" ht="15" hidden="false" customHeight="false" outlineLevel="0" collapsed="false">
      <c r="A773" s="84" t="n">
        <v>45150</v>
      </c>
      <c r="B773" s="85" t="n">
        <v>45</v>
      </c>
    </row>
    <row r="774" customFormat="false" ht="15" hidden="false" customHeight="false" outlineLevel="0" collapsed="false">
      <c r="A774" s="84" t="n">
        <v>45151</v>
      </c>
      <c r="B774" s="85" t="n">
        <v>0</v>
      </c>
    </row>
    <row r="775" customFormat="false" ht="15" hidden="false" customHeight="false" outlineLevel="0" collapsed="false">
      <c r="A775" s="84" t="n">
        <v>45152</v>
      </c>
      <c r="B775" s="85" t="n">
        <v>1</v>
      </c>
    </row>
    <row r="776" customFormat="false" ht="15" hidden="false" customHeight="false" outlineLevel="0" collapsed="false">
      <c r="A776" s="84" t="n">
        <v>45153</v>
      </c>
      <c r="B776" s="85" t="n">
        <v>0</v>
      </c>
    </row>
    <row r="777" customFormat="false" ht="15" hidden="false" customHeight="false" outlineLevel="0" collapsed="false">
      <c r="A777" s="84" t="n">
        <v>45154</v>
      </c>
      <c r="B777" s="85" t="n">
        <v>4</v>
      </c>
    </row>
    <row r="778" customFormat="false" ht="15" hidden="false" customHeight="false" outlineLevel="0" collapsed="false">
      <c r="A778" s="84" t="n">
        <v>45155</v>
      </c>
      <c r="B778" s="85" t="n">
        <v>2</v>
      </c>
    </row>
    <row r="779" customFormat="false" ht="15" hidden="false" customHeight="false" outlineLevel="0" collapsed="false">
      <c r="A779" s="84" t="n">
        <v>45156</v>
      </c>
      <c r="B779" s="85" t="n">
        <v>2</v>
      </c>
    </row>
    <row r="780" customFormat="false" ht="15" hidden="false" customHeight="false" outlineLevel="0" collapsed="false">
      <c r="A780" s="84" t="n">
        <v>45157</v>
      </c>
      <c r="B780" s="85" t="n">
        <v>5</v>
      </c>
    </row>
    <row r="781" customFormat="false" ht="15" hidden="false" customHeight="false" outlineLevel="0" collapsed="false">
      <c r="A781" s="84" t="n">
        <v>45158</v>
      </c>
      <c r="B781" s="85" t="n">
        <v>1</v>
      </c>
    </row>
    <row r="782" customFormat="false" ht="15" hidden="false" customHeight="false" outlineLevel="0" collapsed="false">
      <c r="A782" s="84" t="n">
        <v>45159</v>
      </c>
      <c r="B782" s="85" t="n">
        <v>1</v>
      </c>
    </row>
    <row r="783" customFormat="false" ht="15" hidden="false" customHeight="false" outlineLevel="0" collapsed="false">
      <c r="A783" s="84" t="n">
        <v>45160</v>
      </c>
      <c r="B783" s="85" t="n">
        <v>3</v>
      </c>
    </row>
    <row r="784" customFormat="false" ht="15" hidden="false" customHeight="false" outlineLevel="0" collapsed="false">
      <c r="A784" s="84" t="n">
        <v>45161</v>
      </c>
      <c r="B784" s="85" t="n">
        <v>6</v>
      </c>
    </row>
    <row r="785" customFormat="false" ht="15" hidden="false" customHeight="false" outlineLevel="0" collapsed="false">
      <c r="A785" s="84" t="n">
        <v>45162</v>
      </c>
      <c r="B785" s="85" t="n">
        <v>3</v>
      </c>
    </row>
    <row r="786" customFormat="false" ht="15" hidden="false" customHeight="false" outlineLevel="0" collapsed="false">
      <c r="A786" s="84" t="n">
        <v>45163</v>
      </c>
      <c r="B786" s="85" t="n">
        <v>1</v>
      </c>
    </row>
    <row r="787" customFormat="false" ht="15" hidden="false" customHeight="false" outlineLevel="0" collapsed="false">
      <c r="A787" s="84" t="n">
        <v>45164</v>
      </c>
      <c r="B787" s="85" t="n">
        <v>4</v>
      </c>
    </row>
    <row r="788" customFormat="false" ht="15" hidden="false" customHeight="false" outlineLevel="0" collapsed="false">
      <c r="A788" s="84" t="n">
        <v>45165</v>
      </c>
      <c r="B788" s="85" t="n">
        <v>3</v>
      </c>
    </row>
    <row r="789" customFormat="false" ht="15" hidden="false" customHeight="false" outlineLevel="0" collapsed="false">
      <c r="A789" s="84" t="n">
        <v>45166</v>
      </c>
      <c r="B789" s="85" t="n">
        <v>3</v>
      </c>
    </row>
    <row r="790" customFormat="false" ht="15" hidden="false" customHeight="false" outlineLevel="0" collapsed="false">
      <c r="A790" s="84" t="n">
        <v>45167</v>
      </c>
      <c r="B790" s="85" t="n">
        <v>1</v>
      </c>
    </row>
    <row r="791" customFormat="false" ht="15" hidden="false" customHeight="false" outlineLevel="0" collapsed="false">
      <c r="A791" s="84" t="n">
        <v>45168</v>
      </c>
      <c r="B791" s="85" t="n">
        <v>4</v>
      </c>
    </row>
    <row r="792" customFormat="false" ht="15" hidden="false" customHeight="false" outlineLevel="0" collapsed="false">
      <c r="A792" s="84" t="n">
        <v>45169</v>
      </c>
      <c r="B792" s="85" t="n">
        <v>1</v>
      </c>
    </row>
    <row r="793" customFormat="false" ht="15" hidden="false" customHeight="false" outlineLevel="0" collapsed="false">
      <c r="A793" s="84" t="n">
        <v>45170</v>
      </c>
      <c r="B793" s="85" t="n">
        <v>15</v>
      </c>
    </row>
    <row r="794" customFormat="false" ht="15" hidden="false" customHeight="false" outlineLevel="0" collapsed="false">
      <c r="A794" s="84" t="n">
        <v>45171</v>
      </c>
      <c r="B794" s="85" t="n">
        <v>1</v>
      </c>
    </row>
    <row r="795" customFormat="false" ht="15" hidden="false" customHeight="false" outlineLevel="0" collapsed="false">
      <c r="A795" s="84" t="n">
        <v>45172</v>
      </c>
      <c r="B795" s="85" t="n">
        <v>1</v>
      </c>
    </row>
    <row r="796" customFormat="false" ht="15" hidden="false" customHeight="false" outlineLevel="0" collapsed="false">
      <c r="A796" s="84" t="n">
        <v>45173</v>
      </c>
      <c r="B796" s="85" t="n">
        <v>9</v>
      </c>
    </row>
    <row r="797" customFormat="false" ht="15" hidden="false" customHeight="false" outlineLevel="0" collapsed="false">
      <c r="A797" s="84" t="n">
        <v>45174</v>
      </c>
      <c r="B797" s="85" t="n">
        <v>3</v>
      </c>
    </row>
    <row r="798" customFormat="false" ht="15" hidden="false" customHeight="false" outlineLevel="0" collapsed="false">
      <c r="A798" s="84" t="n">
        <v>45175</v>
      </c>
      <c r="B798" s="85" t="n">
        <v>0</v>
      </c>
    </row>
    <row r="799" customFormat="false" ht="15" hidden="false" customHeight="false" outlineLevel="0" collapsed="false">
      <c r="A799" s="84" t="n">
        <v>45176</v>
      </c>
      <c r="B799" s="85" t="n">
        <v>1</v>
      </c>
    </row>
    <row r="800" customFormat="false" ht="15" hidden="false" customHeight="false" outlineLevel="0" collapsed="false">
      <c r="A800" s="84" t="n">
        <v>45177</v>
      </c>
      <c r="B800" s="85" t="n">
        <v>0</v>
      </c>
    </row>
    <row r="801" customFormat="false" ht="15" hidden="false" customHeight="false" outlineLevel="0" collapsed="false">
      <c r="A801" s="84" t="n">
        <v>45178</v>
      </c>
      <c r="B801" s="85" t="n">
        <v>2</v>
      </c>
    </row>
    <row r="802" customFormat="false" ht="15" hidden="false" customHeight="false" outlineLevel="0" collapsed="false">
      <c r="A802" s="84" t="n">
        <v>45179</v>
      </c>
      <c r="B802" s="85" t="n">
        <v>0</v>
      </c>
    </row>
    <row r="803" customFormat="false" ht="15" hidden="false" customHeight="false" outlineLevel="0" collapsed="false">
      <c r="A803" s="84" t="n">
        <v>45180</v>
      </c>
      <c r="B803" s="85" t="n">
        <v>1</v>
      </c>
    </row>
    <row r="804" customFormat="false" ht="15" hidden="false" customHeight="false" outlineLevel="0" collapsed="false">
      <c r="A804" s="84" t="n">
        <v>45181</v>
      </c>
      <c r="B804" s="85" t="n">
        <v>1</v>
      </c>
    </row>
    <row r="805" customFormat="false" ht="15" hidden="false" customHeight="false" outlineLevel="0" collapsed="false">
      <c r="A805" s="84" t="n">
        <v>45182</v>
      </c>
      <c r="B805" s="85" t="n">
        <v>0</v>
      </c>
    </row>
    <row r="806" customFormat="false" ht="15" hidden="false" customHeight="false" outlineLevel="0" collapsed="false">
      <c r="A806" s="84" t="n">
        <v>45183</v>
      </c>
      <c r="B806" s="85" t="n">
        <v>3</v>
      </c>
    </row>
    <row r="807" customFormat="false" ht="15" hidden="false" customHeight="false" outlineLevel="0" collapsed="false">
      <c r="A807" s="84" t="n">
        <v>45184</v>
      </c>
      <c r="B807" s="85" t="n">
        <v>5</v>
      </c>
    </row>
    <row r="808" customFormat="false" ht="15" hidden="false" customHeight="false" outlineLevel="0" collapsed="false">
      <c r="A808" s="84" t="n">
        <v>45185</v>
      </c>
      <c r="B808" s="85" t="n">
        <v>7</v>
      </c>
    </row>
    <row r="809" customFormat="false" ht="15" hidden="false" customHeight="false" outlineLevel="0" collapsed="false">
      <c r="A809" s="84" t="n">
        <v>45186</v>
      </c>
      <c r="B809" s="85" t="n">
        <v>1</v>
      </c>
    </row>
    <row r="810" customFormat="false" ht="15" hidden="false" customHeight="false" outlineLevel="0" collapsed="false">
      <c r="A810" s="84" t="n">
        <v>45187</v>
      </c>
      <c r="B810" s="85" t="n">
        <v>2</v>
      </c>
    </row>
    <row r="811" customFormat="false" ht="15" hidden="false" customHeight="false" outlineLevel="0" collapsed="false">
      <c r="A811" s="84" t="n">
        <v>45188</v>
      </c>
      <c r="B811" s="85" t="n">
        <v>4</v>
      </c>
    </row>
    <row r="812" customFormat="false" ht="15" hidden="false" customHeight="false" outlineLevel="0" collapsed="false">
      <c r="A812" s="84" t="n">
        <v>45189</v>
      </c>
      <c r="B812" s="85" t="n">
        <v>1</v>
      </c>
    </row>
    <row r="813" customFormat="false" ht="15" hidden="false" customHeight="false" outlineLevel="0" collapsed="false">
      <c r="A813" s="84" t="n">
        <v>45190</v>
      </c>
      <c r="B813" s="85" t="n">
        <v>0</v>
      </c>
    </row>
    <row r="814" customFormat="false" ht="15" hidden="false" customHeight="false" outlineLevel="0" collapsed="false">
      <c r="A814" s="84" t="n">
        <v>45191</v>
      </c>
      <c r="B814" s="85" t="n">
        <v>4</v>
      </c>
    </row>
    <row r="815" customFormat="false" ht="15" hidden="false" customHeight="false" outlineLevel="0" collapsed="false">
      <c r="A815" s="84" t="n">
        <v>45192</v>
      </c>
      <c r="B815" s="85" t="n">
        <v>2</v>
      </c>
    </row>
    <row r="816" customFormat="false" ht="15" hidden="false" customHeight="false" outlineLevel="0" collapsed="false">
      <c r="A816" s="84" t="n">
        <v>45193</v>
      </c>
      <c r="B816" s="85" t="n">
        <v>2</v>
      </c>
    </row>
    <row r="817" customFormat="false" ht="15" hidden="false" customHeight="false" outlineLevel="0" collapsed="false">
      <c r="A817" s="84" t="n">
        <v>45194</v>
      </c>
      <c r="B817" s="85" t="n">
        <v>0</v>
      </c>
    </row>
    <row r="818" customFormat="false" ht="15" hidden="false" customHeight="false" outlineLevel="0" collapsed="false">
      <c r="A818" s="84" t="n">
        <v>45195</v>
      </c>
      <c r="B818" s="85" t="n">
        <v>0</v>
      </c>
    </row>
    <row r="819" customFormat="false" ht="15" hidden="false" customHeight="false" outlineLevel="0" collapsed="false">
      <c r="A819" s="84" t="n">
        <v>45196</v>
      </c>
      <c r="B819" s="85" t="n">
        <v>1</v>
      </c>
    </row>
    <row r="820" customFormat="false" ht="15" hidden="false" customHeight="false" outlineLevel="0" collapsed="false">
      <c r="A820" s="84" t="n">
        <v>45197</v>
      </c>
      <c r="B820" s="85" t="n">
        <v>3</v>
      </c>
    </row>
    <row r="821" customFormat="false" ht="15" hidden="false" customHeight="false" outlineLevel="0" collapsed="false">
      <c r="A821" s="84" t="n">
        <v>45198</v>
      </c>
      <c r="B821" s="85" t="n">
        <v>1</v>
      </c>
    </row>
    <row r="822" customFormat="false" ht="15" hidden="false" customHeight="false" outlineLevel="0" collapsed="false">
      <c r="A822" s="84" t="n">
        <v>45199</v>
      </c>
      <c r="B822" s="85" t="n">
        <v>1</v>
      </c>
    </row>
    <row r="823" customFormat="false" ht="15" hidden="false" customHeight="false" outlineLevel="0" collapsed="false">
      <c r="A823" s="84" t="n">
        <v>45200</v>
      </c>
      <c r="B823" s="85" t="n">
        <v>1</v>
      </c>
    </row>
    <row r="824" customFormat="false" ht="15" hidden="false" customHeight="false" outlineLevel="0" collapsed="false">
      <c r="A824" s="84" t="n">
        <v>45201</v>
      </c>
      <c r="B824" s="85" t="n">
        <v>0</v>
      </c>
    </row>
    <row r="825" customFormat="false" ht="15" hidden="false" customHeight="false" outlineLevel="0" collapsed="false">
      <c r="A825" s="84" t="n">
        <v>45202</v>
      </c>
      <c r="B825" s="85" t="n">
        <v>8</v>
      </c>
    </row>
    <row r="826" customFormat="false" ht="15" hidden="false" customHeight="false" outlineLevel="0" collapsed="false">
      <c r="A826" s="84" t="n">
        <v>45203</v>
      </c>
      <c r="B826" s="85" t="n">
        <v>0</v>
      </c>
    </row>
    <row r="827" customFormat="false" ht="15" hidden="false" customHeight="false" outlineLevel="0" collapsed="false">
      <c r="A827" s="84" t="n">
        <v>45204</v>
      </c>
      <c r="B827" s="85" t="n">
        <v>1</v>
      </c>
    </row>
    <row r="828" customFormat="false" ht="15" hidden="false" customHeight="false" outlineLevel="0" collapsed="false">
      <c r="A828" s="84" t="n">
        <v>45205</v>
      </c>
      <c r="B828" s="85" t="n">
        <v>1</v>
      </c>
    </row>
    <row r="829" customFormat="false" ht="15" hidden="false" customHeight="false" outlineLevel="0" collapsed="false">
      <c r="A829" s="84" t="n">
        <v>45206</v>
      </c>
      <c r="B829" s="85" t="n">
        <v>0</v>
      </c>
    </row>
    <row r="830" customFormat="false" ht="15" hidden="false" customHeight="false" outlineLevel="0" collapsed="false">
      <c r="A830" s="84" t="n">
        <v>45207</v>
      </c>
      <c r="B830" s="85" t="n">
        <v>1</v>
      </c>
    </row>
    <row r="831" customFormat="false" ht="15" hidden="false" customHeight="false" outlineLevel="0" collapsed="false">
      <c r="A831" s="84" t="n">
        <v>45208</v>
      </c>
      <c r="B831" s="85" t="n">
        <v>1</v>
      </c>
    </row>
    <row r="832" customFormat="false" ht="15" hidden="false" customHeight="false" outlineLevel="0" collapsed="false">
      <c r="A832" s="84" t="n">
        <v>45209</v>
      </c>
      <c r="B832" s="85" t="n">
        <v>12</v>
      </c>
    </row>
    <row r="833" customFormat="false" ht="15" hidden="false" customHeight="false" outlineLevel="0" collapsed="false">
      <c r="A833" s="84" t="n">
        <v>45210</v>
      </c>
      <c r="B833" s="85" t="n">
        <v>6</v>
      </c>
    </row>
    <row r="834" customFormat="false" ht="15" hidden="false" customHeight="false" outlineLevel="0" collapsed="false">
      <c r="A834" s="84" t="n">
        <v>45211</v>
      </c>
      <c r="B834" s="85" t="n">
        <v>19</v>
      </c>
    </row>
    <row r="835" customFormat="false" ht="15" hidden="false" customHeight="false" outlineLevel="0" collapsed="false">
      <c r="A835" s="84" t="n">
        <v>45212</v>
      </c>
      <c r="B835" s="85" t="n">
        <v>14</v>
      </c>
    </row>
    <row r="836" customFormat="false" ht="15" hidden="false" customHeight="false" outlineLevel="0" collapsed="false">
      <c r="A836" s="84" t="n">
        <v>45213</v>
      </c>
      <c r="B836" s="85" t="n">
        <v>11</v>
      </c>
    </row>
    <row r="837" customFormat="false" ht="15" hidden="false" customHeight="false" outlineLevel="0" collapsed="false">
      <c r="A837" s="84" t="n">
        <v>45214</v>
      </c>
      <c r="B837" s="85" t="n">
        <v>10</v>
      </c>
    </row>
    <row r="838" customFormat="false" ht="15" hidden="false" customHeight="false" outlineLevel="0" collapsed="false">
      <c r="A838" s="84" t="n">
        <v>45215</v>
      </c>
      <c r="B838" s="85" t="n">
        <v>9</v>
      </c>
    </row>
    <row r="839" customFormat="false" ht="15" hidden="false" customHeight="false" outlineLevel="0" collapsed="false">
      <c r="A839" s="84" t="n">
        <v>45216</v>
      </c>
      <c r="B839" s="85" t="n">
        <v>2</v>
      </c>
    </row>
    <row r="840" customFormat="false" ht="15" hidden="false" customHeight="false" outlineLevel="0" collapsed="false">
      <c r="A840" s="84" t="n">
        <v>45217</v>
      </c>
      <c r="B840" s="85" t="n">
        <v>2</v>
      </c>
    </row>
    <row r="841" customFormat="false" ht="15" hidden="false" customHeight="false" outlineLevel="0" collapsed="false">
      <c r="A841" s="84" t="n">
        <v>45218</v>
      </c>
      <c r="B841" s="85" t="n">
        <v>6</v>
      </c>
    </row>
    <row r="842" customFormat="false" ht="15" hidden="false" customHeight="false" outlineLevel="0" collapsed="false">
      <c r="A842" s="84" t="n">
        <v>45219</v>
      </c>
      <c r="B842" s="85" t="n">
        <v>36</v>
      </c>
    </row>
    <row r="843" customFormat="false" ht="15" hidden="false" customHeight="false" outlineLevel="0" collapsed="false">
      <c r="A843" s="84" t="n">
        <v>45220</v>
      </c>
      <c r="B843" s="85" t="n">
        <v>4</v>
      </c>
    </row>
    <row r="844" customFormat="false" ht="15" hidden="false" customHeight="false" outlineLevel="0" collapsed="false">
      <c r="A844" s="84" t="n">
        <v>45221</v>
      </c>
      <c r="B844" s="85" t="n">
        <v>14</v>
      </c>
    </row>
    <row r="845" customFormat="false" ht="15" hidden="false" customHeight="false" outlineLevel="0" collapsed="false">
      <c r="A845" s="84" t="n">
        <v>45222</v>
      </c>
      <c r="B845" s="85" t="n">
        <v>46</v>
      </c>
    </row>
    <row r="846" customFormat="false" ht="15" hidden="false" customHeight="false" outlineLevel="0" collapsed="false">
      <c r="A846" s="84" t="n">
        <v>45223</v>
      </c>
      <c r="B846" s="85" t="n">
        <v>74</v>
      </c>
    </row>
    <row r="847" customFormat="false" ht="15" hidden="false" customHeight="false" outlineLevel="0" collapsed="false">
      <c r="A847" s="84" t="n">
        <v>45224</v>
      </c>
      <c r="B847" s="85" t="n">
        <v>93</v>
      </c>
    </row>
    <row r="848" customFormat="false" ht="15" hidden="false" customHeight="false" outlineLevel="0" collapsed="false">
      <c r="A848" s="84" t="n">
        <v>45225</v>
      </c>
      <c r="B848" s="85" t="n">
        <v>34</v>
      </c>
    </row>
    <row r="849" customFormat="false" ht="15" hidden="false" customHeight="false" outlineLevel="0" collapsed="false">
      <c r="A849" s="84" t="n">
        <v>45226</v>
      </c>
      <c r="B849" s="85" t="n">
        <v>42</v>
      </c>
    </row>
    <row r="850" customFormat="false" ht="15" hidden="false" customHeight="false" outlineLevel="0" collapsed="false">
      <c r="A850" s="84" t="n">
        <v>45227</v>
      </c>
      <c r="B850" s="85" t="n">
        <v>9</v>
      </c>
    </row>
    <row r="851" customFormat="false" ht="15" hidden="false" customHeight="false" outlineLevel="0" collapsed="false">
      <c r="A851" s="84" t="n">
        <v>45228</v>
      </c>
      <c r="B851" s="85" t="n">
        <v>17</v>
      </c>
    </row>
    <row r="852" customFormat="false" ht="15" hidden="false" customHeight="false" outlineLevel="0" collapsed="false">
      <c r="A852" s="84" t="n">
        <v>45229</v>
      </c>
      <c r="B852" s="85" t="n">
        <v>8</v>
      </c>
    </row>
    <row r="853" customFormat="false" ht="15" hidden="false" customHeight="false" outlineLevel="0" collapsed="false">
      <c r="A853" s="84" t="n">
        <v>45230</v>
      </c>
      <c r="B853" s="85" t="n">
        <v>7</v>
      </c>
    </row>
    <row r="854" customFormat="false" ht="15" hidden="false" customHeight="false" outlineLevel="0" collapsed="false">
      <c r="A854" s="84" t="n">
        <v>45231</v>
      </c>
      <c r="B854" s="85" t="n">
        <v>15</v>
      </c>
    </row>
    <row r="855" customFormat="false" ht="15" hidden="false" customHeight="false" outlineLevel="0" collapsed="false">
      <c r="A855" s="84" t="n">
        <v>45232</v>
      </c>
      <c r="B855" s="85" t="n">
        <v>21</v>
      </c>
    </row>
    <row r="856" customFormat="false" ht="15" hidden="false" customHeight="false" outlineLevel="0" collapsed="false">
      <c r="A856" s="84" t="n">
        <v>45233</v>
      </c>
      <c r="B856" s="85" t="n">
        <v>10</v>
      </c>
    </row>
    <row r="857" customFormat="false" ht="15" hidden="false" customHeight="false" outlineLevel="0" collapsed="false">
      <c r="A857" s="84" t="n">
        <v>45234</v>
      </c>
      <c r="B857" s="85" t="n">
        <v>9</v>
      </c>
    </row>
    <row r="858" customFormat="false" ht="15" hidden="false" customHeight="false" outlineLevel="0" collapsed="false">
      <c r="A858" s="84" t="n">
        <v>45235</v>
      </c>
      <c r="B858" s="85" t="n">
        <v>6</v>
      </c>
    </row>
    <row r="859" customFormat="false" ht="15" hidden="false" customHeight="false" outlineLevel="0" collapsed="false">
      <c r="A859" s="84" t="n">
        <v>45236</v>
      </c>
      <c r="B859" s="85" t="n">
        <v>1</v>
      </c>
    </row>
    <row r="860" customFormat="false" ht="15" hidden="false" customHeight="false" outlineLevel="0" collapsed="false">
      <c r="A860" s="84" t="n">
        <v>45237</v>
      </c>
      <c r="B860" s="85" t="n">
        <v>4</v>
      </c>
    </row>
    <row r="861" customFormat="false" ht="15" hidden="false" customHeight="false" outlineLevel="0" collapsed="false">
      <c r="A861" s="84" t="n">
        <v>45238</v>
      </c>
      <c r="B861" s="85" t="n">
        <v>16</v>
      </c>
    </row>
    <row r="862" customFormat="false" ht="15" hidden="false" customHeight="false" outlineLevel="0" collapsed="false">
      <c r="A862" s="84" t="n">
        <v>45239</v>
      </c>
      <c r="B862" s="85" t="n">
        <v>8</v>
      </c>
    </row>
    <row r="863" customFormat="false" ht="15" hidden="false" customHeight="false" outlineLevel="0" collapsed="false">
      <c r="A863" s="84" t="n">
        <v>45240</v>
      </c>
      <c r="B863" s="85" t="n">
        <v>8</v>
      </c>
    </row>
    <row r="864" customFormat="false" ht="15" hidden="false" customHeight="false" outlineLevel="0" collapsed="false">
      <c r="A864" s="84" t="n">
        <v>45241</v>
      </c>
      <c r="B864" s="85" t="n">
        <v>7</v>
      </c>
    </row>
    <row r="865" customFormat="false" ht="15" hidden="false" customHeight="false" outlineLevel="0" collapsed="false">
      <c r="A865" s="84" t="n">
        <v>45242</v>
      </c>
      <c r="B865" s="85" t="n">
        <v>9</v>
      </c>
    </row>
    <row r="866" customFormat="false" ht="15" hidden="false" customHeight="false" outlineLevel="0" collapsed="false">
      <c r="A866" s="84" t="n">
        <v>45243</v>
      </c>
      <c r="B866" s="85" t="n">
        <v>19</v>
      </c>
    </row>
    <row r="867" customFormat="false" ht="15" hidden="false" customHeight="false" outlineLevel="0" collapsed="false">
      <c r="A867" s="84" t="n">
        <v>45244</v>
      </c>
      <c r="B867" s="85" t="n">
        <v>32</v>
      </c>
    </row>
    <row r="868" customFormat="false" ht="15" hidden="false" customHeight="false" outlineLevel="0" collapsed="false">
      <c r="A868" s="84" t="n">
        <v>45245</v>
      </c>
      <c r="B868" s="85" t="n">
        <v>20</v>
      </c>
    </row>
    <row r="869" customFormat="false" ht="15" hidden="false" customHeight="false" outlineLevel="0" collapsed="false">
      <c r="A869" s="84" t="n">
        <v>45246</v>
      </c>
      <c r="B869" s="85" t="n">
        <v>10</v>
      </c>
    </row>
    <row r="870" customFormat="false" ht="15" hidden="false" customHeight="false" outlineLevel="0" collapsed="false">
      <c r="A870" s="84" t="n">
        <v>45247</v>
      </c>
      <c r="B870" s="85" t="n">
        <v>10</v>
      </c>
    </row>
    <row r="871" customFormat="false" ht="15" hidden="false" customHeight="false" outlineLevel="0" collapsed="false">
      <c r="A871" s="84" t="n">
        <v>45248</v>
      </c>
      <c r="B871" s="85" t="n">
        <v>9</v>
      </c>
    </row>
    <row r="872" customFormat="false" ht="15" hidden="false" customHeight="false" outlineLevel="0" collapsed="false">
      <c r="A872" s="84" t="n">
        <v>45249</v>
      </c>
      <c r="B872" s="85" t="n">
        <v>111</v>
      </c>
    </row>
    <row r="873" customFormat="false" ht="15" hidden="false" customHeight="false" outlineLevel="0" collapsed="false">
      <c r="A873" s="84" t="n">
        <v>45250</v>
      </c>
      <c r="B873" s="85" t="n">
        <v>156</v>
      </c>
    </row>
    <row r="874" customFormat="false" ht="15" hidden="false" customHeight="false" outlineLevel="0" collapsed="false">
      <c r="A874" s="84" t="n">
        <v>45251</v>
      </c>
      <c r="B874" s="85" t="n">
        <v>5</v>
      </c>
    </row>
    <row r="875" customFormat="false" ht="15" hidden="false" customHeight="false" outlineLevel="0" collapsed="false">
      <c r="A875" s="84" t="n">
        <v>45252</v>
      </c>
      <c r="B875" s="85" t="n">
        <v>2</v>
      </c>
    </row>
    <row r="876" customFormat="false" ht="15" hidden="false" customHeight="false" outlineLevel="0" collapsed="false">
      <c r="A876" s="84" t="n">
        <v>45253</v>
      </c>
      <c r="B876" s="85" t="n">
        <v>7</v>
      </c>
    </row>
    <row r="877" customFormat="false" ht="15" hidden="false" customHeight="false" outlineLevel="0" collapsed="false">
      <c r="A877" s="84" t="n">
        <v>45254</v>
      </c>
      <c r="B877" s="85" t="n">
        <v>8</v>
      </c>
    </row>
    <row r="878" customFormat="false" ht="15" hidden="false" customHeight="false" outlineLevel="0" collapsed="false">
      <c r="A878" s="84" t="n">
        <v>45255</v>
      </c>
      <c r="B878" s="85" t="n">
        <v>7</v>
      </c>
    </row>
    <row r="879" customFormat="false" ht="15" hidden="false" customHeight="false" outlineLevel="0" collapsed="false">
      <c r="A879" s="84" t="n">
        <v>45256</v>
      </c>
      <c r="B879" s="85" t="n">
        <v>7</v>
      </c>
    </row>
    <row r="880" customFormat="false" ht="15" hidden="false" customHeight="false" outlineLevel="0" collapsed="false">
      <c r="A880" s="84" t="n">
        <v>45257</v>
      </c>
      <c r="B880" s="85" t="n">
        <v>6</v>
      </c>
    </row>
    <row r="881" customFormat="false" ht="15" hidden="false" customHeight="false" outlineLevel="0" collapsed="false">
      <c r="A881" s="84" t="n">
        <v>45258</v>
      </c>
      <c r="B881" s="85" t="n">
        <v>31</v>
      </c>
    </row>
    <row r="882" customFormat="false" ht="15" hidden="false" customHeight="false" outlineLevel="0" collapsed="false">
      <c r="A882" s="84" t="n">
        <v>45259</v>
      </c>
      <c r="B882" s="85" t="n">
        <v>18</v>
      </c>
    </row>
    <row r="883" customFormat="false" ht="15" hidden="false" customHeight="false" outlineLevel="0" collapsed="false">
      <c r="A883" s="84" t="n">
        <v>45260</v>
      </c>
      <c r="B883" s="85" t="n">
        <v>30</v>
      </c>
    </row>
    <row r="884" customFormat="false" ht="15" hidden="false" customHeight="false" outlineLevel="0" collapsed="false">
      <c r="A884" s="84" t="n">
        <v>45261</v>
      </c>
      <c r="B884" s="85" t="n">
        <v>11</v>
      </c>
    </row>
    <row r="885" customFormat="false" ht="15" hidden="false" customHeight="false" outlineLevel="0" collapsed="false">
      <c r="A885" s="84" t="n">
        <v>45262</v>
      </c>
      <c r="B885" s="85" t="n">
        <v>9</v>
      </c>
    </row>
    <row r="886" customFormat="false" ht="15" hidden="false" customHeight="false" outlineLevel="0" collapsed="false">
      <c r="A886" s="84" t="n">
        <v>45263</v>
      </c>
      <c r="B886" s="85" t="n">
        <v>7</v>
      </c>
    </row>
    <row r="887" customFormat="false" ht="15" hidden="false" customHeight="false" outlineLevel="0" collapsed="false">
      <c r="A887" s="84" t="n">
        <v>45264</v>
      </c>
      <c r="B887" s="85" t="n">
        <v>4</v>
      </c>
    </row>
    <row r="888" customFormat="false" ht="15" hidden="false" customHeight="false" outlineLevel="0" collapsed="false">
      <c r="A888" s="84" t="n">
        <v>45265</v>
      </c>
      <c r="B888" s="85" t="n">
        <v>1</v>
      </c>
    </row>
    <row r="889" customFormat="false" ht="15" hidden="false" customHeight="false" outlineLevel="0" collapsed="false">
      <c r="A889" s="84" t="n">
        <v>45266</v>
      </c>
      <c r="B889" s="85" t="n">
        <v>0</v>
      </c>
    </row>
    <row r="890" customFormat="false" ht="15" hidden="false" customHeight="false" outlineLevel="0" collapsed="false">
      <c r="A890" s="84" t="n">
        <v>45267</v>
      </c>
      <c r="B890" s="85" t="n">
        <v>5</v>
      </c>
    </row>
    <row r="891" customFormat="false" ht="15" hidden="false" customHeight="false" outlineLevel="0" collapsed="false">
      <c r="A891" s="84" t="n">
        <v>45268</v>
      </c>
      <c r="B891" s="85" t="n">
        <v>12</v>
      </c>
    </row>
    <row r="892" customFormat="false" ht="15" hidden="false" customHeight="false" outlineLevel="0" collapsed="false">
      <c r="A892" s="84" t="n">
        <v>45269</v>
      </c>
      <c r="B892" s="85" t="n">
        <v>14</v>
      </c>
    </row>
    <row r="893" customFormat="false" ht="15" hidden="false" customHeight="false" outlineLevel="0" collapsed="false">
      <c r="A893" s="84" t="n">
        <v>45270</v>
      </c>
      <c r="B893" s="85" t="n">
        <v>21</v>
      </c>
    </row>
    <row r="894" customFormat="false" ht="15" hidden="false" customHeight="false" outlineLevel="0" collapsed="false">
      <c r="A894" s="84" t="n">
        <v>45271</v>
      </c>
      <c r="B894" s="85" t="n">
        <v>2</v>
      </c>
    </row>
    <row r="895" customFormat="false" ht="15" hidden="false" customHeight="false" outlineLevel="0" collapsed="false">
      <c r="A895" s="84" t="n">
        <v>45272</v>
      </c>
      <c r="B895" s="85" t="n">
        <v>1</v>
      </c>
    </row>
    <row r="896" customFormat="false" ht="15" hidden="false" customHeight="false" outlineLevel="0" collapsed="false">
      <c r="A896" s="84" t="n">
        <v>45273</v>
      </c>
      <c r="B896" s="85" t="n">
        <v>2</v>
      </c>
    </row>
    <row r="897" customFormat="false" ht="15" hidden="false" customHeight="false" outlineLevel="0" collapsed="false">
      <c r="A897" s="84" t="n">
        <v>45274</v>
      </c>
      <c r="B897" s="85" t="n">
        <v>18</v>
      </c>
    </row>
    <row r="898" customFormat="false" ht="15" hidden="false" customHeight="false" outlineLevel="0" collapsed="false">
      <c r="A898" s="84" t="n">
        <v>45275</v>
      </c>
      <c r="B898" s="85" t="n">
        <v>8</v>
      </c>
    </row>
    <row r="899" customFormat="false" ht="15" hidden="false" customHeight="false" outlineLevel="0" collapsed="false">
      <c r="A899" s="84" t="n">
        <v>45276</v>
      </c>
      <c r="B899" s="85" t="n">
        <v>15</v>
      </c>
    </row>
    <row r="900" customFormat="false" ht="15" hidden="false" customHeight="false" outlineLevel="0" collapsed="false">
      <c r="A900" s="84" t="n">
        <v>45277</v>
      </c>
      <c r="B900" s="85" t="n">
        <v>3</v>
      </c>
    </row>
    <row r="901" customFormat="false" ht="15" hidden="false" customHeight="false" outlineLevel="0" collapsed="false">
      <c r="A901" s="84" t="n">
        <v>45278</v>
      </c>
      <c r="B901" s="85" t="n">
        <v>9</v>
      </c>
    </row>
    <row r="902" customFormat="false" ht="15" hidden="false" customHeight="false" outlineLevel="0" collapsed="false">
      <c r="A902" s="84" t="n">
        <v>45279</v>
      </c>
      <c r="B902" s="85" t="n">
        <v>12</v>
      </c>
    </row>
    <row r="903" customFormat="false" ht="15" hidden="false" customHeight="false" outlineLevel="0" collapsed="false">
      <c r="A903" s="84" t="n">
        <v>45280</v>
      </c>
      <c r="B903" s="85" t="n">
        <v>17</v>
      </c>
    </row>
    <row r="904" customFormat="false" ht="15" hidden="false" customHeight="false" outlineLevel="0" collapsed="false">
      <c r="A904" s="84" t="n">
        <v>45281</v>
      </c>
      <c r="B904" s="85" t="n">
        <v>20</v>
      </c>
    </row>
    <row r="905" customFormat="false" ht="15" hidden="false" customHeight="false" outlineLevel="0" collapsed="false">
      <c r="A905" s="84" t="n">
        <v>45282</v>
      </c>
      <c r="B905" s="85" t="n">
        <v>17</v>
      </c>
    </row>
    <row r="906" customFormat="false" ht="15" hidden="false" customHeight="false" outlineLevel="0" collapsed="false">
      <c r="A906" s="84" t="n">
        <v>45283</v>
      </c>
      <c r="B906" s="85" t="n">
        <v>11</v>
      </c>
    </row>
    <row r="907" customFormat="false" ht="15" hidden="false" customHeight="false" outlineLevel="0" collapsed="false">
      <c r="A907" s="84" t="n">
        <v>45284</v>
      </c>
      <c r="B907" s="85" t="n">
        <v>18</v>
      </c>
    </row>
    <row r="908" customFormat="false" ht="15" hidden="false" customHeight="false" outlineLevel="0" collapsed="false">
      <c r="A908" s="84" t="n">
        <v>45285</v>
      </c>
      <c r="B908" s="85" t="n">
        <v>15</v>
      </c>
    </row>
    <row r="909" customFormat="false" ht="15" hidden="false" customHeight="false" outlineLevel="0" collapsed="false">
      <c r="A909" s="84" t="n">
        <v>45286</v>
      </c>
      <c r="B909" s="85" t="n">
        <v>11</v>
      </c>
    </row>
    <row r="910" customFormat="false" ht="15" hidden="false" customHeight="false" outlineLevel="0" collapsed="false">
      <c r="A910" s="84" t="n">
        <v>45287</v>
      </c>
      <c r="B910" s="85" t="n">
        <v>11</v>
      </c>
    </row>
    <row r="911" customFormat="false" ht="15" hidden="false" customHeight="false" outlineLevel="0" collapsed="false">
      <c r="A911" s="84" t="n">
        <v>45288</v>
      </c>
      <c r="B911" s="85" t="n">
        <v>12</v>
      </c>
    </row>
    <row r="912" customFormat="false" ht="15" hidden="false" customHeight="false" outlineLevel="0" collapsed="false">
      <c r="A912" s="84" t="n">
        <v>45289</v>
      </c>
      <c r="B912" s="85" t="n">
        <v>15</v>
      </c>
    </row>
    <row r="913" customFormat="false" ht="15" hidden="false" customHeight="false" outlineLevel="0" collapsed="false">
      <c r="A913" s="84" t="n">
        <v>45290</v>
      </c>
      <c r="B913" s="85" t="n">
        <v>38</v>
      </c>
    </row>
    <row r="914" customFormat="false" ht="15" hidden="false" customHeight="false" outlineLevel="0" collapsed="false">
      <c r="A914" s="84" t="n">
        <v>45291</v>
      </c>
      <c r="B914" s="85" t="n">
        <v>18</v>
      </c>
    </row>
    <row r="915" customFormat="false" ht="15" hidden="false" customHeight="false" outlineLevel="0" collapsed="false">
      <c r="A915" s="84" t="n">
        <v>45292</v>
      </c>
      <c r="B915" s="85" t="n">
        <v>57</v>
      </c>
    </row>
    <row r="916" customFormat="false" ht="15" hidden="false" customHeight="false" outlineLevel="0" collapsed="false">
      <c r="A916" s="84" t="n">
        <v>45293</v>
      </c>
      <c r="B916" s="85" t="n">
        <v>101</v>
      </c>
    </row>
    <row r="917" customFormat="false" ht="15" hidden="false" customHeight="false" outlineLevel="0" collapsed="false">
      <c r="A917" s="84" t="n">
        <v>45294</v>
      </c>
      <c r="B917" s="85" t="n">
        <v>19</v>
      </c>
    </row>
    <row r="918" customFormat="false" ht="15" hidden="false" customHeight="false" outlineLevel="0" collapsed="false">
      <c r="A918" s="84" t="n">
        <v>45295</v>
      </c>
      <c r="B918" s="85" t="n">
        <v>21</v>
      </c>
    </row>
    <row r="919" customFormat="false" ht="15" hidden="false" customHeight="false" outlineLevel="0" collapsed="false">
      <c r="A919" s="84" t="n">
        <v>45296</v>
      </c>
      <c r="B919" s="85" t="n">
        <v>57</v>
      </c>
    </row>
    <row r="920" customFormat="false" ht="15" hidden="false" customHeight="false" outlineLevel="0" collapsed="false">
      <c r="A920" s="84" t="n">
        <v>45297</v>
      </c>
      <c r="B920" s="85" t="n">
        <v>28</v>
      </c>
    </row>
    <row r="921" customFormat="false" ht="15" hidden="false" customHeight="false" outlineLevel="0" collapsed="false">
      <c r="A921" s="84" t="n">
        <v>45298</v>
      </c>
      <c r="B921" s="85" t="n">
        <v>121</v>
      </c>
    </row>
    <row r="922" customFormat="false" ht="15" hidden="false" customHeight="false" outlineLevel="0" collapsed="false">
      <c r="A922" s="84" t="n">
        <v>45299</v>
      </c>
      <c r="B922" s="85" t="n">
        <v>9</v>
      </c>
    </row>
    <row r="923" customFormat="false" ht="15" hidden="false" customHeight="false" outlineLevel="0" collapsed="false">
      <c r="A923" s="84" t="n">
        <v>45300</v>
      </c>
      <c r="B923" s="85" t="n">
        <v>11</v>
      </c>
    </row>
    <row r="924" customFormat="false" ht="15" hidden="false" customHeight="false" outlineLevel="0" collapsed="false">
      <c r="A924" s="84" t="n">
        <v>45301</v>
      </c>
      <c r="B924" s="85" t="n">
        <v>17</v>
      </c>
    </row>
    <row r="925" customFormat="false" ht="15" hidden="false" customHeight="false" outlineLevel="0" collapsed="false">
      <c r="A925" s="84" t="n">
        <v>45302</v>
      </c>
      <c r="B925" s="85" t="n">
        <v>15</v>
      </c>
    </row>
    <row r="926" customFormat="false" ht="15" hidden="false" customHeight="false" outlineLevel="0" collapsed="false">
      <c r="A926" s="84" t="n">
        <v>45303</v>
      </c>
      <c r="B926" s="85" t="n">
        <v>18</v>
      </c>
    </row>
    <row r="927" customFormat="false" ht="15" hidden="false" customHeight="false" outlineLevel="0" collapsed="false">
      <c r="A927" s="84" t="n">
        <v>45304</v>
      </c>
      <c r="B927" s="85" t="n">
        <v>76</v>
      </c>
    </row>
    <row r="928" customFormat="false" ht="15" hidden="false" customHeight="false" outlineLevel="0" collapsed="false">
      <c r="A928" s="84" t="n">
        <v>45305</v>
      </c>
      <c r="B928" s="85" t="n">
        <v>18</v>
      </c>
    </row>
    <row r="929" customFormat="false" ht="15" hidden="false" customHeight="false" outlineLevel="0" collapsed="false">
      <c r="A929" s="84" t="n">
        <v>45306</v>
      </c>
      <c r="B929" s="85" t="n">
        <v>29</v>
      </c>
    </row>
    <row r="930" customFormat="false" ht="15" hidden="false" customHeight="false" outlineLevel="0" collapsed="false">
      <c r="A930" s="84" t="n">
        <v>45307</v>
      </c>
      <c r="B930" s="85" t="n">
        <v>24</v>
      </c>
    </row>
    <row r="931" customFormat="false" ht="15" hidden="false" customHeight="false" outlineLevel="0" collapsed="false">
      <c r="A931" s="84" t="n">
        <v>45308</v>
      </c>
      <c r="B931" s="85" t="n">
        <v>37</v>
      </c>
    </row>
    <row r="932" customFormat="false" ht="15" hidden="false" customHeight="false" outlineLevel="0" collapsed="false">
      <c r="A932" s="84" t="n">
        <v>45309</v>
      </c>
      <c r="B932" s="85" t="n">
        <v>17</v>
      </c>
    </row>
    <row r="933" customFormat="false" ht="15" hidden="false" customHeight="false" outlineLevel="0" collapsed="false">
      <c r="A933" s="84" t="n">
        <v>45310</v>
      </c>
      <c r="B933" s="85" t="n">
        <v>19</v>
      </c>
    </row>
    <row r="934" customFormat="false" ht="15" hidden="false" customHeight="false" outlineLevel="0" collapsed="false">
      <c r="A934" s="84" t="n">
        <v>45311</v>
      </c>
      <c r="B934" s="85" t="n">
        <v>19</v>
      </c>
    </row>
    <row r="935" customFormat="false" ht="15" hidden="false" customHeight="false" outlineLevel="0" collapsed="false">
      <c r="A935" s="84" t="n">
        <v>45312</v>
      </c>
      <c r="B935" s="85" t="n">
        <v>11</v>
      </c>
    </row>
    <row r="936" customFormat="false" ht="15" hidden="false" customHeight="false" outlineLevel="0" collapsed="false">
      <c r="A936" s="84" t="n">
        <v>45313</v>
      </c>
      <c r="B936" s="85" t="n">
        <v>21</v>
      </c>
    </row>
    <row r="937" customFormat="false" ht="15" hidden="false" customHeight="false" outlineLevel="0" collapsed="false">
      <c r="A937" s="84" t="n">
        <v>45314</v>
      </c>
      <c r="B937" s="85" t="n">
        <v>16</v>
      </c>
    </row>
    <row r="938" customFormat="false" ht="15" hidden="false" customHeight="false" outlineLevel="0" collapsed="false">
      <c r="A938" s="84" t="n">
        <v>45315</v>
      </c>
      <c r="B938" s="85" t="n">
        <v>8</v>
      </c>
    </row>
    <row r="939" customFormat="false" ht="15" hidden="false" customHeight="false" outlineLevel="0" collapsed="false">
      <c r="A939" s="84" t="n">
        <v>45316</v>
      </c>
      <c r="B939" s="85" t="n">
        <v>10</v>
      </c>
    </row>
    <row r="940" customFormat="false" ht="15" hidden="false" customHeight="false" outlineLevel="0" collapsed="false">
      <c r="A940" s="84" t="n">
        <v>45317</v>
      </c>
      <c r="B940" s="85" t="n">
        <v>13</v>
      </c>
    </row>
    <row r="941" customFormat="false" ht="15" hidden="false" customHeight="false" outlineLevel="0" collapsed="false">
      <c r="A941" s="84" t="n">
        <v>45318</v>
      </c>
      <c r="B941" s="85" t="n">
        <v>30</v>
      </c>
    </row>
    <row r="942" customFormat="false" ht="15" hidden="false" customHeight="false" outlineLevel="0" collapsed="false">
      <c r="A942" s="84" t="n">
        <v>45319</v>
      </c>
      <c r="B942" s="85" t="n">
        <v>52</v>
      </c>
    </row>
    <row r="943" customFormat="false" ht="15" hidden="false" customHeight="false" outlineLevel="0" collapsed="false">
      <c r="A943" s="84" t="n">
        <v>45320</v>
      </c>
      <c r="B943" s="85" t="n">
        <v>57</v>
      </c>
    </row>
    <row r="944" customFormat="false" ht="15" hidden="false" customHeight="false" outlineLevel="0" collapsed="false">
      <c r="A944" s="84" t="n">
        <v>45321</v>
      </c>
      <c r="B944" s="85" t="n">
        <v>42</v>
      </c>
    </row>
    <row r="945" customFormat="false" ht="15" hidden="false" customHeight="false" outlineLevel="0" collapsed="false">
      <c r="A945" s="84" t="n">
        <v>45322</v>
      </c>
      <c r="B945" s="85" t="n">
        <v>60</v>
      </c>
    </row>
    <row r="946" customFormat="false" ht="15" hidden="false" customHeight="false" outlineLevel="0" collapsed="false">
      <c r="A946" s="84" t="n">
        <v>45323</v>
      </c>
      <c r="B946" s="85" t="n">
        <v>96</v>
      </c>
    </row>
    <row r="947" customFormat="false" ht="15" hidden="false" customHeight="false" outlineLevel="0" collapsed="false">
      <c r="A947" s="84" t="n">
        <v>45324</v>
      </c>
      <c r="B947" s="85" t="n">
        <v>54</v>
      </c>
    </row>
    <row r="948" customFormat="false" ht="15" hidden="false" customHeight="false" outlineLevel="0" collapsed="false">
      <c r="A948" s="84" t="n">
        <v>45325</v>
      </c>
      <c r="B948" s="85" t="n">
        <v>96</v>
      </c>
    </row>
    <row r="949" customFormat="false" ht="15" hidden="false" customHeight="false" outlineLevel="0" collapsed="false">
      <c r="A949" s="84" t="n">
        <v>45326</v>
      </c>
      <c r="B949" s="85" t="n">
        <v>51</v>
      </c>
    </row>
    <row r="950" customFormat="false" ht="15" hidden="false" customHeight="false" outlineLevel="0" collapsed="false">
      <c r="A950" s="84" t="n">
        <v>45327</v>
      </c>
      <c r="B950" s="85" t="n">
        <v>33</v>
      </c>
    </row>
    <row r="951" customFormat="false" ht="15" hidden="false" customHeight="false" outlineLevel="0" collapsed="false">
      <c r="A951" s="84" t="n">
        <v>45328</v>
      </c>
      <c r="B951" s="85" t="n">
        <v>15</v>
      </c>
    </row>
    <row r="952" customFormat="false" ht="15" hidden="false" customHeight="false" outlineLevel="0" collapsed="false">
      <c r="A952" s="84" t="n">
        <v>45329</v>
      </c>
      <c r="B952" s="85" t="n">
        <v>57</v>
      </c>
    </row>
    <row r="953" customFormat="false" ht="15" hidden="false" customHeight="false" outlineLevel="0" collapsed="false">
      <c r="A953" s="84" t="n">
        <v>45330</v>
      </c>
      <c r="B953" s="85" t="n">
        <v>103</v>
      </c>
    </row>
    <row r="954" customFormat="false" ht="15" hidden="false" customHeight="false" outlineLevel="0" collapsed="false">
      <c r="A954" s="84" t="n">
        <v>45331</v>
      </c>
      <c r="B954" s="85" t="n">
        <v>55</v>
      </c>
    </row>
    <row r="955" customFormat="false" ht="15" hidden="false" customHeight="false" outlineLevel="0" collapsed="false">
      <c r="A955" s="84" t="n">
        <v>45332</v>
      </c>
      <c r="B955" s="85" t="n">
        <v>76</v>
      </c>
    </row>
    <row r="956" customFormat="false" ht="15" hidden="false" customHeight="false" outlineLevel="0" collapsed="false">
      <c r="A956" s="84" t="n">
        <v>45333</v>
      </c>
      <c r="B956" s="85" t="n">
        <v>161</v>
      </c>
    </row>
    <row r="957" customFormat="false" ht="15" hidden="false" customHeight="false" outlineLevel="0" collapsed="false">
      <c r="A957" s="84" t="n">
        <v>45334</v>
      </c>
      <c r="B957" s="85" t="n">
        <v>77</v>
      </c>
    </row>
    <row r="958" customFormat="false" ht="15" hidden="false" customHeight="false" outlineLevel="0" collapsed="false">
      <c r="A958" s="84" t="n">
        <v>45335</v>
      </c>
      <c r="B958" s="85" t="n">
        <v>90</v>
      </c>
    </row>
    <row r="959" customFormat="false" ht="15" hidden="false" customHeight="false" outlineLevel="0" collapsed="false">
      <c r="A959" s="84" t="n">
        <v>45336</v>
      </c>
      <c r="B959" s="85" t="n">
        <v>67</v>
      </c>
    </row>
    <row r="960" customFormat="false" ht="15" hidden="false" customHeight="false" outlineLevel="0" collapsed="false">
      <c r="A960" s="84" t="n">
        <v>45337</v>
      </c>
      <c r="B960" s="85" t="n">
        <v>65</v>
      </c>
    </row>
    <row r="961" customFormat="false" ht="15" hidden="false" customHeight="false" outlineLevel="0" collapsed="false">
      <c r="A961" s="84" t="n">
        <v>45338</v>
      </c>
      <c r="B961" s="85" t="n">
        <v>34</v>
      </c>
    </row>
    <row r="962" customFormat="false" ht="15" hidden="false" customHeight="false" outlineLevel="0" collapsed="false">
      <c r="A962" s="84" t="n">
        <v>45339</v>
      </c>
      <c r="B962" s="85" t="n">
        <v>37</v>
      </c>
    </row>
    <row r="963" customFormat="false" ht="15" hidden="false" customHeight="false" outlineLevel="0" collapsed="false">
      <c r="A963" s="84" t="n">
        <v>45340</v>
      </c>
      <c r="B963" s="85" t="n">
        <v>68</v>
      </c>
    </row>
    <row r="964" customFormat="false" ht="15" hidden="false" customHeight="false" outlineLevel="0" collapsed="false">
      <c r="A964" s="84" t="n">
        <v>45341</v>
      </c>
      <c r="B964" s="85" t="n">
        <v>76</v>
      </c>
    </row>
    <row r="965" customFormat="false" ht="15" hidden="false" customHeight="false" outlineLevel="0" collapsed="false">
      <c r="A965" s="84" t="n">
        <v>45342</v>
      </c>
      <c r="B965" s="85" t="n">
        <v>96</v>
      </c>
    </row>
    <row r="966" customFormat="false" ht="15" hidden="false" customHeight="false" outlineLevel="0" collapsed="false">
      <c r="A966" s="84" t="n">
        <v>45343</v>
      </c>
      <c r="B966" s="85" t="n">
        <v>158</v>
      </c>
    </row>
    <row r="967" customFormat="false" ht="15" hidden="false" customHeight="false" outlineLevel="0" collapsed="false">
      <c r="A967" s="84" t="n">
        <v>45344</v>
      </c>
      <c r="B967" s="85" t="n">
        <v>126</v>
      </c>
    </row>
    <row r="968" customFormat="false" ht="15" hidden="false" customHeight="false" outlineLevel="0" collapsed="false">
      <c r="A968" s="84" t="n">
        <v>45345</v>
      </c>
      <c r="B968" s="85" t="n">
        <v>88</v>
      </c>
    </row>
    <row r="969" customFormat="false" ht="15" hidden="false" customHeight="false" outlineLevel="0" collapsed="false">
      <c r="A969" s="84" t="n">
        <v>45346</v>
      </c>
      <c r="B969" s="85" t="n">
        <v>111</v>
      </c>
    </row>
    <row r="970" customFormat="false" ht="15" hidden="false" customHeight="false" outlineLevel="0" collapsed="false">
      <c r="A970" s="84" t="n">
        <v>45347</v>
      </c>
      <c r="B970" s="85" t="n">
        <v>142</v>
      </c>
    </row>
    <row r="971" customFormat="false" ht="15" hidden="false" customHeight="false" outlineLevel="0" collapsed="false">
      <c r="A971" s="84" t="n">
        <v>45348</v>
      </c>
      <c r="B971" s="85" t="n">
        <v>74</v>
      </c>
    </row>
    <row r="972" customFormat="false" ht="15" hidden="false" customHeight="false" outlineLevel="0" collapsed="false">
      <c r="A972" s="84" t="n">
        <v>45349</v>
      </c>
      <c r="B972" s="85" t="n">
        <v>104</v>
      </c>
    </row>
    <row r="973" customFormat="false" ht="15" hidden="false" customHeight="false" outlineLevel="0" collapsed="false">
      <c r="A973" s="84" t="n">
        <v>45350</v>
      </c>
      <c r="B973" s="85" t="n">
        <v>133</v>
      </c>
    </row>
    <row r="974" customFormat="false" ht="15" hidden="false" customHeight="false" outlineLevel="0" collapsed="false">
      <c r="A974" s="84" t="n">
        <v>45351</v>
      </c>
      <c r="B974" s="85" t="n">
        <v>67</v>
      </c>
    </row>
    <row r="975" customFormat="false" ht="15" hidden="false" customHeight="false" outlineLevel="0" collapsed="false">
      <c r="A975" s="84" t="n">
        <v>45352</v>
      </c>
      <c r="B975" s="85" t="n">
        <v>40</v>
      </c>
    </row>
    <row r="976" customFormat="false" ht="15" hidden="false" customHeight="false" outlineLevel="0" collapsed="false">
      <c r="A976" s="84" t="n">
        <v>45353</v>
      </c>
      <c r="B976" s="85" t="n">
        <v>94</v>
      </c>
    </row>
    <row r="977" customFormat="false" ht="15" hidden="false" customHeight="false" outlineLevel="0" collapsed="false">
      <c r="A977" s="84" t="n">
        <v>45354</v>
      </c>
      <c r="B977" s="85" t="n">
        <v>95</v>
      </c>
    </row>
    <row r="978" customFormat="false" ht="15" hidden="false" customHeight="false" outlineLevel="0" collapsed="false">
      <c r="A978" s="84" t="n">
        <v>45355</v>
      </c>
      <c r="B978" s="85" t="n">
        <v>112</v>
      </c>
    </row>
    <row r="979" customFormat="false" ht="15" hidden="false" customHeight="false" outlineLevel="0" collapsed="false">
      <c r="A979" s="84" t="n">
        <v>45356</v>
      </c>
      <c r="B979" s="85" t="n">
        <v>102</v>
      </c>
    </row>
    <row r="980" customFormat="false" ht="15" hidden="false" customHeight="false" outlineLevel="0" collapsed="false">
      <c r="A980" s="84" t="n">
        <v>45357</v>
      </c>
      <c r="B980" s="85" t="n">
        <v>82</v>
      </c>
    </row>
    <row r="981" customFormat="false" ht="15" hidden="false" customHeight="false" outlineLevel="0" collapsed="false">
      <c r="A981" s="84" t="n">
        <v>45358</v>
      </c>
      <c r="B981" s="85" t="n">
        <v>90</v>
      </c>
    </row>
    <row r="982" customFormat="false" ht="15" hidden="false" customHeight="false" outlineLevel="0" collapsed="false">
      <c r="A982" s="84" t="n">
        <v>45359</v>
      </c>
      <c r="B982" s="85" t="n">
        <v>110</v>
      </c>
    </row>
    <row r="983" customFormat="false" ht="15" hidden="false" customHeight="false" outlineLevel="0" collapsed="false">
      <c r="A983" s="84" t="n">
        <v>45360</v>
      </c>
      <c r="B983" s="85" t="n">
        <v>111</v>
      </c>
    </row>
    <row r="984" customFormat="false" ht="15" hidden="false" customHeight="false" outlineLevel="0" collapsed="false">
      <c r="A984" s="84" t="n">
        <v>45361</v>
      </c>
      <c r="B984" s="85" t="n">
        <v>141</v>
      </c>
    </row>
    <row r="985" customFormat="false" ht="15" hidden="false" customHeight="false" outlineLevel="0" collapsed="false">
      <c r="A985" s="84" t="n">
        <v>45362</v>
      </c>
      <c r="B985" s="85" t="n">
        <v>140</v>
      </c>
    </row>
    <row r="986" customFormat="false" ht="15" hidden="false" customHeight="false" outlineLevel="0" collapsed="false">
      <c r="A986" s="84" t="n">
        <v>45363</v>
      </c>
      <c r="B986" s="85" t="n">
        <v>222</v>
      </c>
    </row>
    <row r="987" customFormat="false" ht="15" hidden="false" customHeight="false" outlineLevel="0" collapsed="false">
      <c r="A987" s="84" t="n">
        <v>45364</v>
      </c>
      <c r="B987" s="85" t="n">
        <v>214</v>
      </c>
    </row>
    <row r="988" customFormat="false" ht="15" hidden="false" customHeight="false" outlineLevel="0" collapsed="false">
      <c r="A988" s="84" t="n">
        <v>45365</v>
      </c>
      <c r="B988" s="85" t="n">
        <v>176</v>
      </c>
    </row>
    <row r="989" customFormat="false" ht="15" hidden="false" customHeight="false" outlineLevel="0" collapsed="false">
      <c r="A989" s="84" t="n">
        <v>45366</v>
      </c>
      <c r="B989" s="85" t="n">
        <v>244</v>
      </c>
    </row>
    <row r="990" customFormat="false" ht="15" hidden="false" customHeight="false" outlineLevel="0" collapsed="false">
      <c r="A990" s="84" t="n">
        <v>45367</v>
      </c>
      <c r="B990" s="85" t="n">
        <v>251</v>
      </c>
    </row>
    <row r="991" customFormat="false" ht="15" hidden="false" customHeight="false" outlineLevel="0" collapsed="false">
      <c r="A991" s="84" t="n">
        <v>45368</v>
      </c>
      <c r="B991" s="85" t="n">
        <v>80</v>
      </c>
    </row>
    <row r="992" customFormat="false" ht="15" hidden="false" customHeight="false" outlineLevel="0" collapsed="false">
      <c r="A992" s="84" t="n">
        <v>45369</v>
      </c>
      <c r="B992" s="85" t="n">
        <v>127</v>
      </c>
    </row>
    <row r="993" customFormat="false" ht="15" hidden="false" customHeight="false" outlineLevel="0" collapsed="false">
      <c r="A993" s="84" t="n">
        <v>45370</v>
      </c>
      <c r="B993" s="85" t="n">
        <v>408</v>
      </c>
    </row>
    <row r="994" customFormat="false" ht="15" hidden="false" customHeight="false" outlineLevel="0" collapsed="false">
      <c r="A994" s="84" t="n">
        <v>45371</v>
      </c>
      <c r="B994" s="85" t="n">
        <v>177</v>
      </c>
    </row>
    <row r="995" customFormat="false" ht="15" hidden="false" customHeight="false" outlineLevel="0" collapsed="false">
      <c r="A995" s="84" t="n">
        <v>45372</v>
      </c>
      <c r="B995" s="85" t="n">
        <v>138</v>
      </c>
    </row>
    <row r="996" customFormat="false" ht="15" hidden="false" customHeight="false" outlineLevel="0" collapsed="false">
      <c r="A996" s="84" t="n">
        <v>45373</v>
      </c>
      <c r="B996" s="85" t="n">
        <v>157</v>
      </c>
    </row>
    <row r="997" customFormat="false" ht="15" hidden="false" customHeight="false" outlineLevel="0" collapsed="false">
      <c r="A997" s="84" t="n">
        <v>45374</v>
      </c>
      <c r="B997" s="85" t="n">
        <v>166</v>
      </c>
    </row>
    <row r="998" customFormat="false" ht="15" hidden="false" customHeight="false" outlineLevel="0" collapsed="false">
      <c r="A998" s="84" t="n">
        <v>45375</v>
      </c>
      <c r="B998" s="85" t="n">
        <v>111</v>
      </c>
    </row>
    <row r="999" customFormat="false" ht="15" hidden="false" customHeight="false" outlineLevel="0" collapsed="false">
      <c r="A999" s="84" t="n">
        <v>45376</v>
      </c>
      <c r="B999" s="85" t="n">
        <v>83</v>
      </c>
    </row>
    <row r="1000" customFormat="false" ht="15" hidden="false" customHeight="false" outlineLevel="0" collapsed="false">
      <c r="A1000" s="84" t="n">
        <v>45377</v>
      </c>
      <c r="B1000" s="85" t="n">
        <v>105</v>
      </c>
    </row>
    <row r="1001" customFormat="false" ht="15" hidden="false" customHeight="false" outlineLevel="0" collapsed="false">
      <c r="A1001" s="84" t="n">
        <v>45378</v>
      </c>
      <c r="B1001" s="85" t="n">
        <v>127</v>
      </c>
    </row>
    <row r="1002" customFormat="false" ht="15" hidden="false" customHeight="false" outlineLevel="0" collapsed="false">
      <c r="A1002" s="84" t="n">
        <v>45379</v>
      </c>
      <c r="B1002" s="85" t="n">
        <v>137</v>
      </c>
    </row>
    <row r="1003" customFormat="false" ht="15" hidden="false" customHeight="false" outlineLevel="0" collapsed="false">
      <c r="A1003" s="84" t="n">
        <v>45380</v>
      </c>
      <c r="B1003" s="85" t="n">
        <v>125</v>
      </c>
    </row>
    <row r="1004" customFormat="false" ht="15" hidden="false" customHeight="false" outlineLevel="0" collapsed="false">
      <c r="A1004" s="84" t="n">
        <v>45381</v>
      </c>
      <c r="B1004" s="85" t="n">
        <v>195</v>
      </c>
    </row>
    <row r="1005" customFormat="false" ht="15" hidden="false" customHeight="false" outlineLevel="0" collapsed="false">
      <c r="A1005" s="84" t="n">
        <v>45382</v>
      </c>
      <c r="B1005" s="85" t="n">
        <v>247</v>
      </c>
    </row>
    <row r="1006" customFormat="false" ht="15" hidden="false" customHeight="false" outlineLevel="0" collapsed="false">
      <c r="A1006" s="84" t="n">
        <v>45383</v>
      </c>
      <c r="B1006" s="85" t="n">
        <v>183</v>
      </c>
    </row>
    <row r="1007" customFormat="false" ht="15" hidden="false" customHeight="false" outlineLevel="0" collapsed="false">
      <c r="A1007" s="84" t="n">
        <v>45384</v>
      </c>
      <c r="B1007" s="85" t="n">
        <v>39</v>
      </c>
    </row>
    <row r="1008" customFormat="false" ht="15" hidden="false" customHeight="false" outlineLevel="0" collapsed="false">
      <c r="A1008" s="84" t="n">
        <v>45385</v>
      </c>
      <c r="B1008" s="85" t="n">
        <v>47</v>
      </c>
    </row>
    <row r="1009" customFormat="false" ht="15" hidden="false" customHeight="false" outlineLevel="0" collapsed="false">
      <c r="A1009" s="84" t="n">
        <v>45386</v>
      </c>
      <c r="B1009" s="85" t="n">
        <v>16</v>
      </c>
    </row>
    <row r="1010" customFormat="false" ht="15" hidden="false" customHeight="false" outlineLevel="0" collapsed="false">
      <c r="A1010" s="84" t="n">
        <v>45387</v>
      </c>
      <c r="B1010" s="85" t="n">
        <v>29</v>
      </c>
    </row>
    <row r="1011" customFormat="false" ht="15" hidden="false" customHeight="false" outlineLevel="0" collapsed="false">
      <c r="A1011" s="84" t="n">
        <v>45388</v>
      </c>
      <c r="B1011" s="85" t="n">
        <v>23</v>
      </c>
    </row>
    <row r="1012" customFormat="false" ht="15" hidden="false" customHeight="false" outlineLevel="0" collapsed="false">
      <c r="A1012" s="84" t="n">
        <v>45389</v>
      </c>
      <c r="B1012" s="85" t="n">
        <v>10</v>
      </c>
    </row>
    <row r="1013" customFormat="false" ht="15" hidden="false" customHeight="false" outlineLevel="0" collapsed="false">
      <c r="A1013" s="84" t="n">
        <v>45390</v>
      </c>
      <c r="B1013" s="85" t="n">
        <v>7</v>
      </c>
    </row>
    <row r="1014" customFormat="false" ht="15" hidden="false" customHeight="false" outlineLevel="0" collapsed="false">
      <c r="A1014" s="84" t="n">
        <v>45391</v>
      </c>
      <c r="B1014" s="85" t="n">
        <v>4</v>
      </c>
    </row>
    <row r="1015" customFormat="false" ht="15" hidden="false" customHeight="false" outlineLevel="0" collapsed="false">
      <c r="A1015" s="84" t="n">
        <v>45392</v>
      </c>
      <c r="B1015" s="85" t="n">
        <v>8</v>
      </c>
    </row>
    <row r="1016" customFormat="false" ht="15" hidden="false" customHeight="false" outlineLevel="0" collapsed="false">
      <c r="A1016" s="84" t="n">
        <v>45393</v>
      </c>
      <c r="B1016" s="85" t="n">
        <v>7</v>
      </c>
    </row>
    <row r="1017" customFormat="false" ht="15" hidden="false" customHeight="false" outlineLevel="0" collapsed="false">
      <c r="A1017" s="84" t="n">
        <v>45394</v>
      </c>
      <c r="B1017" s="85" t="n">
        <v>11</v>
      </c>
    </row>
    <row r="1018" customFormat="false" ht="15" hidden="false" customHeight="false" outlineLevel="0" collapsed="false">
      <c r="A1018" s="84" t="n">
        <v>45395</v>
      </c>
      <c r="B1018" s="85" t="n">
        <v>9</v>
      </c>
    </row>
    <row r="1019" customFormat="false" ht="15" hidden="false" customHeight="false" outlineLevel="0" collapsed="false">
      <c r="A1019" s="84" t="n">
        <v>45396</v>
      </c>
      <c r="B1019" s="85" t="n">
        <v>6</v>
      </c>
    </row>
    <row r="1020" customFormat="false" ht="15" hidden="false" customHeight="false" outlineLevel="0" collapsed="false">
      <c r="A1020" s="84" t="n">
        <v>45397</v>
      </c>
      <c r="B1020" s="85" t="n">
        <v>10</v>
      </c>
    </row>
    <row r="1021" customFormat="false" ht="15" hidden="false" customHeight="false" outlineLevel="0" collapsed="false">
      <c r="A1021" s="84" t="n">
        <v>45398</v>
      </c>
      <c r="B1021" s="85" t="n">
        <v>8</v>
      </c>
    </row>
    <row r="1022" customFormat="false" ht="15" hidden="false" customHeight="false" outlineLevel="0" collapsed="false">
      <c r="A1022" s="84" t="n">
        <v>45399</v>
      </c>
      <c r="B1022" s="85" t="n">
        <v>10</v>
      </c>
    </row>
    <row r="1023" customFormat="false" ht="15" hidden="false" customHeight="false" outlineLevel="0" collapsed="false">
      <c r="A1023" s="84" t="n">
        <v>45400</v>
      </c>
      <c r="B1023" s="85" t="n">
        <v>13</v>
      </c>
    </row>
    <row r="1024" customFormat="false" ht="15" hidden="false" customHeight="false" outlineLevel="0" collapsed="false">
      <c r="A1024" s="84" t="n">
        <v>45401</v>
      </c>
      <c r="B1024" s="85" t="n">
        <v>3</v>
      </c>
    </row>
    <row r="1025" customFormat="false" ht="15" hidden="false" customHeight="false" outlineLevel="0" collapsed="false">
      <c r="A1025" s="84" t="n">
        <v>45402</v>
      </c>
      <c r="B1025" s="85" t="n">
        <v>24</v>
      </c>
    </row>
    <row r="1026" customFormat="false" ht="15" hidden="false" customHeight="false" outlineLevel="0" collapsed="false">
      <c r="A1026" s="84" t="n">
        <v>45403</v>
      </c>
      <c r="B1026" s="85" t="n">
        <v>18</v>
      </c>
    </row>
    <row r="1027" customFormat="false" ht="15" hidden="false" customHeight="false" outlineLevel="0" collapsed="false">
      <c r="A1027" s="84" t="n">
        <v>45404</v>
      </c>
      <c r="B1027" s="85" t="n">
        <v>7</v>
      </c>
    </row>
    <row r="1028" customFormat="false" ht="15" hidden="false" customHeight="false" outlineLevel="0" collapsed="false">
      <c r="A1028" s="84" t="n">
        <v>45405</v>
      </c>
      <c r="B1028" s="85" t="n">
        <v>5</v>
      </c>
    </row>
    <row r="1029" customFormat="false" ht="15" hidden="false" customHeight="false" outlineLevel="0" collapsed="false">
      <c r="A1029" s="84" t="n">
        <v>45406</v>
      </c>
      <c r="B1029" s="85" t="n">
        <v>6</v>
      </c>
    </row>
    <row r="1030" customFormat="false" ht="15" hidden="false" customHeight="false" outlineLevel="0" collapsed="false">
      <c r="A1030" s="84" t="n">
        <v>45407</v>
      </c>
      <c r="B1030" s="85" t="n">
        <v>2</v>
      </c>
    </row>
    <row r="1031" customFormat="false" ht="15" hidden="false" customHeight="false" outlineLevel="0" collapsed="false">
      <c r="A1031" s="84" t="n">
        <v>45408</v>
      </c>
      <c r="B1031" s="85" t="n">
        <v>2</v>
      </c>
    </row>
    <row r="1032" customFormat="false" ht="15" hidden="false" customHeight="false" outlineLevel="0" collapsed="false">
      <c r="A1032" s="84" t="n">
        <v>45409</v>
      </c>
      <c r="B1032" s="85" t="n">
        <v>1</v>
      </c>
    </row>
    <row r="1033" customFormat="false" ht="15" hidden="false" customHeight="false" outlineLevel="0" collapsed="false">
      <c r="A1033" s="84" t="n">
        <v>45410</v>
      </c>
      <c r="B1033" s="85" t="n">
        <v>0</v>
      </c>
    </row>
    <row r="1034" customFormat="false" ht="15" hidden="false" customHeight="false" outlineLevel="0" collapsed="false">
      <c r="A1034" s="84" t="n">
        <v>45411</v>
      </c>
      <c r="B1034" s="85" t="n">
        <v>0</v>
      </c>
    </row>
    <row r="1035" customFormat="false" ht="15" hidden="false" customHeight="false" outlineLevel="0" collapsed="false">
      <c r="A1035" s="84" t="n">
        <v>45412</v>
      </c>
      <c r="B1035" s="85" t="n">
        <v>2</v>
      </c>
    </row>
    <row r="1036" customFormat="false" ht="15" hidden="false" customHeight="false" outlineLevel="0" collapsed="false">
      <c r="A1036" s="84" t="n">
        <v>45413</v>
      </c>
      <c r="B1036" s="85" t="n">
        <v>1</v>
      </c>
    </row>
    <row r="1037" customFormat="false" ht="15" hidden="false" customHeight="false" outlineLevel="0" collapsed="false">
      <c r="A1037" s="84" t="n">
        <v>45414</v>
      </c>
      <c r="B1037" s="85" t="n">
        <v>1</v>
      </c>
    </row>
    <row r="1038" customFormat="false" ht="15" hidden="false" customHeight="false" outlineLevel="0" collapsed="false">
      <c r="A1038" s="84" t="n">
        <v>45415</v>
      </c>
      <c r="B1038" s="85" t="n">
        <v>0</v>
      </c>
    </row>
    <row r="1039" customFormat="false" ht="15" hidden="false" customHeight="false" outlineLevel="0" collapsed="false">
      <c r="A1039" s="84" t="n">
        <v>45416</v>
      </c>
      <c r="B1039" s="85" t="n">
        <v>0</v>
      </c>
    </row>
    <row r="1040" customFormat="false" ht="15" hidden="false" customHeight="false" outlineLevel="0" collapsed="false">
      <c r="A1040" s="84" t="n">
        <v>45417</v>
      </c>
      <c r="B1040" s="85" t="n">
        <v>1</v>
      </c>
    </row>
    <row r="1041" customFormat="false" ht="15" hidden="false" customHeight="false" outlineLevel="0" collapsed="false">
      <c r="A1041" s="84" t="n">
        <v>45418</v>
      </c>
      <c r="B1041" s="85" t="n">
        <v>0</v>
      </c>
    </row>
    <row r="1042" customFormat="false" ht="15" hidden="false" customHeight="false" outlineLevel="0" collapsed="false">
      <c r="A1042" s="84" t="n">
        <v>45419</v>
      </c>
      <c r="B1042" s="85" t="n">
        <v>0</v>
      </c>
    </row>
    <row r="1043" customFormat="false" ht="15" hidden="false" customHeight="false" outlineLevel="0" collapsed="false">
      <c r="A1043" s="84" t="n">
        <v>45420</v>
      </c>
      <c r="B1043" s="85" t="n">
        <v>0</v>
      </c>
    </row>
    <row r="1044" customFormat="false" ht="15" hidden="false" customHeight="false" outlineLevel="0" collapsed="false">
      <c r="A1044" s="84" t="n">
        <v>45421</v>
      </c>
      <c r="B1044" s="85" t="n">
        <v>1</v>
      </c>
    </row>
    <row r="1045" customFormat="false" ht="15" hidden="false" customHeight="false" outlineLevel="0" collapsed="false">
      <c r="A1045" s="84" t="n">
        <v>45422</v>
      </c>
      <c r="B1045" s="85" t="n">
        <v>2</v>
      </c>
    </row>
    <row r="1046" customFormat="false" ht="15" hidden="false" customHeight="false" outlineLevel="0" collapsed="false">
      <c r="A1046" s="84" t="n">
        <v>45423</v>
      </c>
      <c r="B1046" s="85" t="n">
        <v>2</v>
      </c>
    </row>
    <row r="1047" customFormat="false" ht="15" hidden="false" customHeight="false" outlineLevel="0" collapsed="false">
      <c r="A1047" s="84" t="n">
        <v>45424</v>
      </c>
      <c r="B1047" s="85" t="n">
        <v>0</v>
      </c>
    </row>
    <row r="1048" customFormat="false" ht="15" hidden="false" customHeight="false" outlineLevel="0" collapsed="false">
      <c r="A1048" s="84" t="n">
        <v>45425</v>
      </c>
      <c r="B1048" s="85" t="n">
        <v>0</v>
      </c>
    </row>
    <row r="1049" customFormat="false" ht="15" hidden="false" customHeight="false" outlineLevel="0" collapsed="false">
      <c r="A1049" s="84" t="n">
        <v>45426</v>
      </c>
      <c r="B1049" s="85" t="n">
        <v>0</v>
      </c>
    </row>
    <row r="1050" customFormat="false" ht="15" hidden="false" customHeight="false" outlineLevel="0" collapsed="false">
      <c r="A1050" s="84" t="n">
        <v>45427</v>
      </c>
      <c r="B1050" s="85" t="n">
        <v>1</v>
      </c>
    </row>
    <row r="1051" customFormat="false" ht="15" hidden="false" customHeight="false" outlineLevel="0" collapsed="false">
      <c r="A1051" s="84" t="n">
        <v>45428</v>
      </c>
      <c r="B1051" s="85" t="n">
        <v>0</v>
      </c>
    </row>
    <row r="1052" customFormat="false" ht="15" hidden="false" customHeight="false" outlineLevel="0" collapsed="false">
      <c r="A1052" s="84" t="n">
        <v>45429</v>
      </c>
      <c r="B1052" s="85" t="n">
        <v>0</v>
      </c>
    </row>
    <row r="1053" customFormat="false" ht="15" hidden="false" customHeight="false" outlineLevel="0" collapsed="false">
      <c r="A1053" s="84" t="n">
        <v>45430</v>
      </c>
      <c r="B1053" s="85" t="n">
        <v>1</v>
      </c>
    </row>
    <row r="1054" customFormat="false" ht="15" hidden="false" customHeight="false" outlineLevel="0" collapsed="false">
      <c r="A1054" s="84" t="n">
        <v>45431</v>
      </c>
      <c r="B1054" s="85" t="n">
        <v>1</v>
      </c>
    </row>
    <row r="1055" customFormat="false" ht="15" hidden="false" customHeight="false" outlineLevel="0" collapsed="false">
      <c r="A1055" s="84" t="n">
        <v>45432</v>
      </c>
      <c r="B1055" s="85" t="n">
        <v>24</v>
      </c>
    </row>
    <row r="1056" customFormat="false" ht="15" hidden="false" customHeight="false" outlineLevel="0" collapsed="false">
      <c r="A1056" s="84" t="n">
        <v>45433</v>
      </c>
      <c r="B1056" s="85" t="n">
        <v>1</v>
      </c>
    </row>
    <row r="1057" customFormat="false" ht="15" hidden="false" customHeight="false" outlineLevel="0" collapsed="false">
      <c r="A1057" s="84" t="n">
        <v>45434</v>
      </c>
      <c r="B1057" s="85" t="n">
        <v>0</v>
      </c>
    </row>
    <row r="1058" customFormat="false" ht="15" hidden="false" customHeight="false" outlineLevel="0" collapsed="false">
      <c r="A1058" s="84" t="n">
        <v>45435</v>
      </c>
      <c r="B1058" s="85" t="n">
        <v>2</v>
      </c>
    </row>
    <row r="1059" customFormat="false" ht="15" hidden="false" customHeight="false" outlineLevel="0" collapsed="false">
      <c r="A1059" s="84" t="n">
        <v>45436</v>
      </c>
      <c r="B1059" s="85" t="n">
        <v>1</v>
      </c>
    </row>
    <row r="1060" customFormat="false" ht="15" hidden="false" customHeight="false" outlineLevel="0" collapsed="false">
      <c r="A1060" s="84" t="n">
        <v>45437</v>
      </c>
      <c r="B1060" s="85" t="n">
        <v>1</v>
      </c>
    </row>
    <row r="1061" customFormat="false" ht="15" hidden="false" customHeight="false" outlineLevel="0" collapsed="false">
      <c r="A1061" s="84" t="n">
        <v>45438</v>
      </c>
      <c r="B1061" s="85" t="n">
        <v>2</v>
      </c>
    </row>
    <row r="1062" customFormat="false" ht="15" hidden="false" customHeight="false" outlineLevel="0" collapsed="false">
      <c r="A1062" s="84" t="n">
        <v>45439</v>
      </c>
      <c r="B1062" s="85" t="n">
        <v>39</v>
      </c>
    </row>
    <row r="1063" customFormat="false" ht="15" hidden="false" customHeight="false" outlineLevel="0" collapsed="false">
      <c r="A1063" s="84" t="n">
        <v>45440</v>
      </c>
      <c r="B1063" s="85" t="n">
        <v>0</v>
      </c>
    </row>
    <row r="1064" customFormat="false" ht="15" hidden="false" customHeight="false" outlineLevel="0" collapsed="false">
      <c r="A1064" s="84" t="n">
        <v>45441</v>
      </c>
      <c r="B1064" s="85" t="n">
        <v>3</v>
      </c>
    </row>
    <row r="1065" customFormat="false" ht="15" hidden="false" customHeight="false" outlineLevel="0" collapsed="false">
      <c r="A1065" s="84" t="n">
        <v>45442</v>
      </c>
      <c r="B1065" s="85" t="n">
        <v>0</v>
      </c>
    </row>
    <row r="1066" customFormat="false" ht="15" hidden="false" customHeight="false" outlineLevel="0" collapsed="false">
      <c r="A1066" s="84" t="n">
        <v>45443</v>
      </c>
      <c r="B1066" s="85" t="n">
        <v>3</v>
      </c>
    </row>
    <row r="1067" customFormat="false" ht="15" hidden="false" customHeight="false" outlineLevel="0" collapsed="false">
      <c r="A1067" s="84" t="n">
        <v>45444</v>
      </c>
      <c r="B1067" s="85" t="n">
        <v>2</v>
      </c>
    </row>
    <row r="1068" customFormat="false" ht="15" hidden="false" customHeight="false" outlineLevel="0" collapsed="false">
      <c r="A1068" s="84" t="n">
        <v>45445</v>
      </c>
      <c r="B1068" s="85" t="n">
        <v>0</v>
      </c>
    </row>
    <row r="1069" customFormat="false" ht="15" hidden="false" customHeight="false" outlineLevel="0" collapsed="false">
      <c r="A1069" s="84" t="n">
        <v>45446</v>
      </c>
      <c r="B1069" s="85" t="n">
        <v>2</v>
      </c>
    </row>
    <row r="1070" customFormat="false" ht="15" hidden="false" customHeight="false" outlineLevel="0" collapsed="false">
      <c r="A1070" s="84" t="n">
        <v>45447</v>
      </c>
      <c r="B1070" s="85" t="n">
        <v>4</v>
      </c>
    </row>
    <row r="1071" customFormat="false" ht="15" hidden="false" customHeight="false" outlineLevel="0" collapsed="false">
      <c r="A1071" s="84" t="n">
        <v>45448</v>
      </c>
      <c r="B1071" s="85" t="n">
        <v>0</v>
      </c>
    </row>
    <row r="1072" customFormat="false" ht="15" hidden="false" customHeight="false" outlineLevel="0" collapsed="false">
      <c r="A1072" s="84" t="n">
        <v>45449</v>
      </c>
      <c r="B1072" s="85" t="n">
        <v>0</v>
      </c>
    </row>
    <row r="1073" customFormat="false" ht="15" hidden="false" customHeight="false" outlineLevel="0" collapsed="false">
      <c r="A1073" s="84" t="n">
        <v>45450</v>
      </c>
      <c r="B1073" s="85" t="n">
        <v>3</v>
      </c>
    </row>
    <row r="1074" customFormat="false" ht="15" hidden="false" customHeight="false" outlineLevel="0" collapsed="false">
      <c r="A1074" s="84" t="n">
        <v>45451</v>
      </c>
      <c r="B1074" s="85" t="n">
        <v>1</v>
      </c>
    </row>
    <row r="1075" customFormat="false" ht="15" hidden="false" customHeight="false" outlineLevel="0" collapsed="false">
      <c r="A1075" s="84" t="n">
        <v>45452</v>
      </c>
      <c r="B1075" s="85" t="n">
        <v>0</v>
      </c>
    </row>
    <row r="1076" customFormat="false" ht="15" hidden="false" customHeight="false" outlineLevel="0" collapsed="false">
      <c r="A1076" s="84" t="n">
        <v>45453</v>
      </c>
      <c r="B1076" s="85" t="n">
        <v>1</v>
      </c>
    </row>
    <row r="1077" customFormat="false" ht="15" hidden="false" customHeight="false" outlineLevel="0" collapsed="false">
      <c r="A1077" s="84" t="n">
        <v>45454</v>
      </c>
      <c r="B1077" s="85" t="n">
        <v>2</v>
      </c>
    </row>
    <row r="1078" customFormat="false" ht="15" hidden="false" customHeight="false" outlineLevel="0" collapsed="false">
      <c r="A1078" s="84" t="n">
        <v>45455</v>
      </c>
      <c r="B1078" s="85" t="n">
        <v>2</v>
      </c>
    </row>
    <row r="1079" customFormat="false" ht="15" hidden="false" customHeight="false" outlineLevel="0" collapsed="false">
      <c r="A1079" s="84" t="n">
        <v>45456</v>
      </c>
      <c r="B1079" s="85" t="n">
        <v>2</v>
      </c>
    </row>
    <row r="1080" customFormat="false" ht="15" hidden="false" customHeight="false" outlineLevel="0" collapsed="false">
      <c r="A1080" s="84" t="n">
        <v>45457</v>
      </c>
      <c r="B1080" s="85" t="n">
        <v>0</v>
      </c>
    </row>
    <row r="1081" customFormat="false" ht="15" hidden="false" customHeight="false" outlineLevel="0" collapsed="false">
      <c r="A1081" s="84" t="n">
        <v>45458</v>
      </c>
      <c r="B1081" s="85" t="n">
        <v>0</v>
      </c>
    </row>
    <row r="1082" customFormat="false" ht="15" hidden="false" customHeight="false" outlineLevel="0" collapsed="false">
      <c r="A1082" s="84" t="n">
        <v>45459</v>
      </c>
      <c r="B1082" s="85" t="n">
        <v>0</v>
      </c>
    </row>
    <row r="1083" customFormat="false" ht="15" hidden="false" customHeight="false" outlineLevel="0" collapsed="false">
      <c r="A1083" s="84" t="n">
        <v>45460</v>
      </c>
      <c r="B1083" s="85" t="n">
        <v>0</v>
      </c>
    </row>
    <row r="1084" customFormat="false" ht="15" hidden="false" customHeight="false" outlineLevel="0" collapsed="false">
      <c r="A1084" s="84" t="n">
        <v>45461</v>
      </c>
      <c r="B1084" s="85" t="n">
        <v>0</v>
      </c>
    </row>
    <row r="1085" customFormat="false" ht="15" hidden="false" customHeight="false" outlineLevel="0" collapsed="false">
      <c r="A1085" s="84" t="n">
        <v>45462</v>
      </c>
      <c r="B1085" s="85" t="n">
        <v>1</v>
      </c>
    </row>
    <row r="1086" customFormat="false" ht="15" hidden="false" customHeight="false" outlineLevel="0" collapsed="false">
      <c r="A1086" s="84" t="n">
        <v>45463</v>
      </c>
      <c r="B1086" s="85" t="n">
        <v>0</v>
      </c>
    </row>
    <row r="1087" customFormat="false" ht="15" hidden="false" customHeight="false" outlineLevel="0" collapsed="false">
      <c r="A1087" s="84" t="n">
        <v>45464</v>
      </c>
      <c r="B1087" s="85" t="n">
        <v>0</v>
      </c>
    </row>
    <row r="1088" customFormat="false" ht="15" hidden="false" customHeight="false" outlineLevel="0" collapsed="false">
      <c r="A1088" s="84" t="n">
        <v>45465</v>
      </c>
      <c r="B1088" s="85" t="n">
        <v>0</v>
      </c>
    </row>
    <row r="1089" customFormat="false" ht="15" hidden="false" customHeight="false" outlineLevel="0" collapsed="false">
      <c r="A1089" s="84" t="n">
        <v>45466</v>
      </c>
      <c r="B1089" s="85" t="n">
        <v>1</v>
      </c>
    </row>
    <row r="1090" customFormat="false" ht="15" hidden="false" customHeight="false" outlineLevel="0" collapsed="false">
      <c r="A1090" s="84" t="n">
        <v>45467</v>
      </c>
      <c r="B1090" s="85" t="n">
        <v>0</v>
      </c>
    </row>
    <row r="1091" customFormat="false" ht="15" hidden="false" customHeight="false" outlineLevel="0" collapsed="false">
      <c r="A1091" s="84" t="n">
        <v>45468</v>
      </c>
      <c r="B1091" s="85" t="n">
        <v>0</v>
      </c>
    </row>
    <row r="1092" customFormat="false" ht="15" hidden="false" customHeight="false" outlineLevel="0" collapsed="false">
      <c r="A1092" s="84" t="n">
        <v>45469</v>
      </c>
      <c r="B1092" s="85" t="n">
        <v>1</v>
      </c>
    </row>
    <row r="1093" customFormat="false" ht="15" hidden="false" customHeight="false" outlineLevel="0" collapsed="false">
      <c r="A1093" s="84" t="n">
        <v>45470</v>
      </c>
      <c r="B1093" s="85" t="n">
        <v>1</v>
      </c>
    </row>
    <row r="1094" customFormat="false" ht="15" hidden="false" customHeight="false" outlineLevel="0" collapsed="false">
      <c r="A1094" s="84" t="n">
        <v>45471</v>
      </c>
      <c r="B1094" s="85" t="n">
        <v>0</v>
      </c>
    </row>
    <row r="1095" customFormat="false" ht="15" hidden="false" customHeight="false" outlineLevel="0" collapsed="false">
      <c r="A1095" s="84" t="n">
        <v>45472</v>
      </c>
      <c r="B1095" s="85" t="n">
        <v>0</v>
      </c>
    </row>
    <row r="1096" customFormat="false" ht="15" hidden="false" customHeight="false" outlineLevel="0" collapsed="false">
      <c r="A1096" s="84" t="n">
        <v>45473</v>
      </c>
      <c r="B1096" s="85" t="n">
        <v>1</v>
      </c>
    </row>
    <row r="1097" customFormat="false" ht="15" hidden="false" customHeight="false" outlineLevel="0" collapsed="false">
      <c r="A1097" s="84" t="n">
        <v>45474</v>
      </c>
      <c r="B1097" s="85" t="n">
        <v>1</v>
      </c>
    </row>
    <row r="1098" customFormat="false" ht="15" hidden="false" customHeight="false" outlineLevel="0" collapsed="false">
      <c r="A1098" s="84" t="n">
        <v>45475</v>
      </c>
      <c r="B1098" s="85" t="n">
        <v>1</v>
      </c>
    </row>
    <row r="1099" customFormat="false" ht="15" hidden="false" customHeight="false" outlineLevel="0" collapsed="false">
      <c r="A1099" s="84" t="n">
        <v>45476</v>
      </c>
      <c r="B1099" s="85" t="n">
        <v>2</v>
      </c>
    </row>
    <row r="1100" customFormat="false" ht="15" hidden="false" customHeight="false" outlineLevel="0" collapsed="false">
      <c r="A1100" s="84" t="n">
        <v>45477</v>
      </c>
      <c r="B1100" s="85" t="n">
        <v>0</v>
      </c>
    </row>
    <row r="1101" customFormat="false" ht="15" hidden="false" customHeight="false" outlineLevel="0" collapsed="false">
      <c r="A1101" s="84" t="n">
        <v>45478</v>
      </c>
      <c r="B1101" s="85" t="n">
        <v>1</v>
      </c>
    </row>
    <row r="1102" customFormat="false" ht="15" hidden="false" customHeight="false" outlineLevel="0" collapsed="false">
      <c r="A1102" s="84" t="n">
        <v>45479</v>
      </c>
      <c r="B1102" s="85" t="n">
        <v>0</v>
      </c>
    </row>
    <row r="1103" customFormat="false" ht="15" hidden="false" customHeight="false" outlineLevel="0" collapsed="false">
      <c r="A1103" s="84" t="n">
        <v>45480</v>
      </c>
      <c r="B1103" s="85" t="n">
        <v>2</v>
      </c>
    </row>
    <row r="1104" customFormat="false" ht="15" hidden="false" customHeight="false" outlineLevel="0" collapsed="false">
      <c r="A1104" s="84" t="n">
        <v>45481</v>
      </c>
      <c r="B1104" s="85" t="n">
        <v>0</v>
      </c>
    </row>
    <row r="1105" customFormat="false" ht="15" hidden="false" customHeight="false" outlineLevel="0" collapsed="false">
      <c r="A1105" s="84" t="n">
        <v>45482</v>
      </c>
      <c r="B1105" s="85" t="n">
        <v>0</v>
      </c>
    </row>
    <row r="1106" customFormat="false" ht="15" hidden="false" customHeight="false" outlineLevel="0" collapsed="false">
      <c r="A1106" s="84" t="n">
        <v>45483</v>
      </c>
      <c r="B1106" s="85" t="n">
        <v>4</v>
      </c>
    </row>
    <row r="1107" customFormat="false" ht="15" hidden="false" customHeight="false" outlineLevel="0" collapsed="false">
      <c r="A1107" s="84" t="n">
        <v>45484</v>
      </c>
      <c r="B1107" s="85" t="n">
        <v>1</v>
      </c>
    </row>
    <row r="1108" customFormat="false" ht="15" hidden="false" customHeight="false" outlineLevel="0" collapsed="false">
      <c r="A1108" s="84" t="n">
        <v>45485</v>
      </c>
      <c r="B1108" s="85" t="n">
        <v>3</v>
      </c>
    </row>
    <row r="1109" customFormat="false" ht="15" hidden="false" customHeight="false" outlineLevel="0" collapsed="false">
      <c r="A1109" s="84" t="n">
        <v>45486</v>
      </c>
      <c r="B1109" s="85" t="n">
        <v>2</v>
      </c>
    </row>
    <row r="1110" customFormat="false" ht="15" hidden="false" customHeight="false" outlineLevel="0" collapsed="false">
      <c r="A1110" s="84" t="n">
        <v>45487</v>
      </c>
      <c r="B1110" s="85" t="n">
        <v>2</v>
      </c>
    </row>
    <row r="1111" customFormat="false" ht="15" hidden="false" customHeight="false" outlineLevel="0" collapsed="false">
      <c r="A1111" s="84" t="n">
        <v>45488</v>
      </c>
      <c r="B1111" s="85" t="n">
        <v>1</v>
      </c>
    </row>
    <row r="1112" customFormat="false" ht="15" hidden="false" customHeight="false" outlineLevel="0" collapsed="false">
      <c r="A1112" s="84" t="n">
        <v>45489</v>
      </c>
      <c r="B1112" s="85" t="n">
        <v>1</v>
      </c>
    </row>
    <row r="1113" customFormat="false" ht="15" hidden="false" customHeight="false" outlineLevel="0" collapsed="false">
      <c r="A1113" s="84" t="n">
        <v>45490</v>
      </c>
      <c r="B1113" s="85" t="n">
        <v>2</v>
      </c>
    </row>
    <row r="1114" customFormat="false" ht="15" hidden="false" customHeight="false" outlineLevel="0" collapsed="false">
      <c r="A1114" s="84" t="n">
        <v>45491</v>
      </c>
      <c r="B1114" s="85" t="n">
        <v>2</v>
      </c>
    </row>
    <row r="1115" customFormat="false" ht="15" hidden="false" customHeight="false" outlineLevel="0" collapsed="false">
      <c r="A1115" s="84" t="n">
        <v>45492</v>
      </c>
      <c r="B1115" s="85" t="n">
        <v>3</v>
      </c>
    </row>
    <row r="1116" customFormat="false" ht="15" hidden="false" customHeight="false" outlineLevel="0" collapsed="false">
      <c r="A1116" s="84" t="n">
        <v>45493</v>
      </c>
      <c r="B1116" s="85" t="n">
        <v>1</v>
      </c>
    </row>
    <row r="1117" customFormat="false" ht="15" hidden="false" customHeight="false" outlineLevel="0" collapsed="false">
      <c r="A1117" s="84" t="n">
        <v>45494</v>
      </c>
      <c r="B1117" s="85" t="n">
        <v>0</v>
      </c>
    </row>
    <row r="1118" customFormat="false" ht="15" hidden="false" customHeight="false" outlineLevel="0" collapsed="false">
      <c r="A1118" s="84" t="n">
        <v>45495</v>
      </c>
      <c r="B1118" s="85" t="n">
        <v>4</v>
      </c>
    </row>
    <row r="1119" customFormat="false" ht="15" hidden="false" customHeight="false" outlineLevel="0" collapsed="false">
      <c r="A1119" s="84" t="n">
        <v>45496</v>
      </c>
      <c r="B1119" s="85" t="n">
        <v>1</v>
      </c>
    </row>
    <row r="1120" customFormat="false" ht="15" hidden="false" customHeight="false" outlineLevel="0" collapsed="false">
      <c r="A1120" s="84" t="n">
        <v>45497</v>
      </c>
      <c r="B1120" s="85" t="n">
        <v>3</v>
      </c>
    </row>
    <row r="1121" customFormat="false" ht="15" hidden="false" customHeight="false" outlineLevel="0" collapsed="false">
      <c r="A1121" s="84" t="n">
        <v>45498</v>
      </c>
      <c r="B1121" s="85" t="n">
        <v>0</v>
      </c>
    </row>
    <row r="1122" customFormat="false" ht="15" hidden="false" customHeight="false" outlineLevel="0" collapsed="false">
      <c r="A1122" s="84" t="n">
        <v>45499</v>
      </c>
      <c r="B1122" s="85" t="n">
        <v>0</v>
      </c>
    </row>
    <row r="1123" customFormat="false" ht="15" hidden="false" customHeight="false" outlineLevel="0" collapsed="false">
      <c r="A1123" s="84" t="n">
        <v>45500</v>
      </c>
      <c r="B1123" s="85" t="n">
        <v>0</v>
      </c>
    </row>
    <row r="1124" customFormat="false" ht="15" hidden="false" customHeight="false" outlineLevel="0" collapsed="false">
      <c r="A1124" s="84" t="n">
        <v>45501</v>
      </c>
      <c r="B1124" s="85" t="n">
        <v>0</v>
      </c>
    </row>
    <row r="1125" customFormat="false" ht="15" hidden="false" customHeight="false" outlineLevel="0" collapsed="false">
      <c r="A1125" s="84" t="n">
        <v>45502</v>
      </c>
      <c r="B1125" s="85" t="n">
        <v>0</v>
      </c>
    </row>
    <row r="1126" customFormat="false" ht="15" hidden="false" customHeight="false" outlineLevel="0" collapsed="false">
      <c r="A1126" s="84" t="n">
        <v>45503</v>
      </c>
      <c r="B1126" s="85" t="n">
        <v>1</v>
      </c>
    </row>
    <row r="1127" customFormat="false" ht="15" hidden="false" customHeight="false" outlineLevel="0" collapsed="false">
      <c r="A1127" s="84" t="n">
        <v>45504</v>
      </c>
      <c r="B1127" s="85" t="n">
        <v>0</v>
      </c>
    </row>
    <row r="1128" customFormat="false" ht="15" hidden="false" customHeight="false" outlineLevel="0" collapsed="false">
      <c r="A1128" s="84" t="n">
        <v>45505</v>
      </c>
      <c r="B1128" s="85" t="n">
        <v>0</v>
      </c>
    </row>
    <row r="1129" customFormat="false" ht="15" hidden="false" customHeight="false" outlineLevel="0" collapsed="false">
      <c r="A1129" s="84" t="n">
        <v>45506</v>
      </c>
      <c r="B1129" s="85" t="n">
        <v>0</v>
      </c>
    </row>
    <row r="1130" customFormat="false" ht="15" hidden="false" customHeight="false" outlineLevel="0" collapsed="false">
      <c r="A1130" s="84" t="n">
        <v>45507</v>
      </c>
      <c r="B1130" s="85" t="n">
        <v>2</v>
      </c>
    </row>
    <row r="1131" customFormat="false" ht="15" hidden="false" customHeight="false" outlineLevel="0" collapsed="false">
      <c r="A1131" s="84" t="n">
        <v>45508</v>
      </c>
      <c r="B1131" s="85" t="n">
        <v>0</v>
      </c>
    </row>
    <row r="1132" customFormat="false" ht="15" hidden="false" customHeight="false" outlineLevel="0" collapsed="false">
      <c r="A1132" s="84" t="n">
        <v>45509</v>
      </c>
      <c r="B1132" s="85" t="n">
        <v>1</v>
      </c>
    </row>
    <row r="1133" customFormat="false" ht="15" hidden="false" customHeight="false" outlineLevel="0" collapsed="false">
      <c r="A1133" s="84" t="n">
        <v>45510</v>
      </c>
      <c r="B1133" s="85" t="n">
        <v>4</v>
      </c>
    </row>
    <row r="1134" customFormat="false" ht="15" hidden="false" customHeight="false" outlineLevel="0" collapsed="false">
      <c r="A1134" s="84" t="n">
        <v>45511</v>
      </c>
      <c r="B1134" s="85" t="n">
        <v>1</v>
      </c>
    </row>
    <row r="1135" customFormat="false" ht="15" hidden="false" customHeight="false" outlineLevel="0" collapsed="false">
      <c r="A1135" s="84" t="n">
        <v>45512</v>
      </c>
      <c r="B1135" s="85" t="n">
        <v>0</v>
      </c>
    </row>
    <row r="1136" customFormat="false" ht="15" hidden="false" customHeight="false" outlineLevel="0" collapsed="false">
      <c r="A1136" s="84" t="n">
        <v>45513</v>
      </c>
      <c r="B1136" s="85" t="n">
        <v>0</v>
      </c>
    </row>
    <row r="1137" customFormat="false" ht="15" hidden="false" customHeight="false" outlineLevel="0" collapsed="false">
      <c r="A1137" s="84" t="n">
        <v>45514</v>
      </c>
      <c r="B1137" s="85" t="n">
        <v>0</v>
      </c>
    </row>
    <row r="1138" customFormat="false" ht="15" hidden="false" customHeight="false" outlineLevel="0" collapsed="false">
      <c r="A1138" s="84" t="n">
        <v>45515</v>
      </c>
      <c r="B1138" s="85" t="n">
        <v>2</v>
      </c>
    </row>
    <row r="1139" customFormat="false" ht="15" hidden="false" customHeight="false" outlineLevel="0" collapsed="false">
      <c r="A1139" s="84" t="n">
        <v>45516</v>
      </c>
      <c r="B1139" s="85" t="n">
        <v>0</v>
      </c>
    </row>
    <row r="1140" customFormat="false" ht="15" hidden="false" customHeight="false" outlineLevel="0" collapsed="false">
      <c r="A1140" s="84" t="n">
        <v>45517</v>
      </c>
      <c r="B1140" s="85" t="n">
        <v>0</v>
      </c>
    </row>
    <row r="1141" customFormat="false" ht="15" hidden="false" customHeight="false" outlineLevel="0" collapsed="false">
      <c r="A1141" s="84" t="n">
        <v>45518</v>
      </c>
      <c r="B1141" s="85" t="n">
        <v>1</v>
      </c>
    </row>
    <row r="1142" customFormat="false" ht="15" hidden="false" customHeight="false" outlineLevel="0" collapsed="false">
      <c r="A1142" s="84" t="n">
        <v>45519</v>
      </c>
      <c r="B1142" s="85" t="n">
        <v>0</v>
      </c>
    </row>
    <row r="1143" customFormat="false" ht="15" hidden="false" customHeight="false" outlineLevel="0" collapsed="false">
      <c r="A1143" s="84" t="n">
        <v>45520</v>
      </c>
      <c r="B1143" s="85" t="n">
        <v>1</v>
      </c>
    </row>
    <row r="1144" customFormat="false" ht="15" hidden="false" customHeight="false" outlineLevel="0" collapsed="false">
      <c r="A1144" s="84" t="n">
        <v>45521</v>
      </c>
      <c r="B1144" s="85" t="n">
        <v>1</v>
      </c>
    </row>
    <row r="1145" customFormat="false" ht="15" hidden="false" customHeight="false" outlineLevel="0" collapsed="false">
      <c r="A1145" s="84" t="n">
        <v>45522</v>
      </c>
      <c r="B1145" s="85" t="n">
        <v>1</v>
      </c>
    </row>
    <row r="1146" customFormat="false" ht="15" hidden="false" customHeight="false" outlineLevel="0" collapsed="false">
      <c r="A1146" s="84" t="n">
        <v>45523</v>
      </c>
      <c r="B1146" s="85" t="n">
        <v>0</v>
      </c>
    </row>
    <row r="1147" customFormat="false" ht="15" hidden="false" customHeight="false" outlineLevel="0" collapsed="false">
      <c r="A1147" s="84" t="n">
        <v>45524</v>
      </c>
      <c r="B1147" s="85" t="n">
        <v>0</v>
      </c>
    </row>
    <row r="1148" customFormat="false" ht="15" hidden="false" customHeight="false" outlineLevel="0" collapsed="false">
      <c r="A1148" s="84" t="n">
        <v>45525</v>
      </c>
      <c r="B1148" s="85" t="n">
        <v>2</v>
      </c>
    </row>
    <row r="1149" customFormat="false" ht="15" hidden="false" customHeight="false" outlineLevel="0" collapsed="false">
      <c r="A1149" s="84" t="n">
        <v>45526</v>
      </c>
      <c r="B1149" s="85" t="n">
        <v>1</v>
      </c>
    </row>
    <row r="1150" customFormat="false" ht="15" hidden="false" customHeight="false" outlineLevel="0" collapsed="false">
      <c r="A1150" s="84" t="n">
        <v>45527</v>
      </c>
      <c r="B1150" s="85" t="n">
        <v>0</v>
      </c>
    </row>
    <row r="1151" customFormat="false" ht="15" hidden="false" customHeight="false" outlineLevel="0" collapsed="false">
      <c r="A1151" s="84" t="n">
        <v>45528</v>
      </c>
      <c r="B1151" s="85" t="n">
        <v>2</v>
      </c>
    </row>
    <row r="1152" customFormat="false" ht="15" hidden="false" customHeight="false" outlineLevel="0" collapsed="false">
      <c r="A1152" s="84" t="n">
        <v>45529</v>
      </c>
      <c r="B1152" s="85" t="n">
        <v>0</v>
      </c>
    </row>
    <row r="1153" customFormat="false" ht="15" hidden="false" customHeight="false" outlineLevel="0" collapsed="false">
      <c r="A1153" s="84" t="n">
        <v>45530</v>
      </c>
      <c r="B1153" s="85" t="n">
        <v>0</v>
      </c>
    </row>
    <row r="1154" customFormat="false" ht="15" hidden="false" customHeight="false" outlineLevel="0" collapsed="false">
      <c r="A1154" s="84" t="n">
        <v>45531</v>
      </c>
      <c r="B1154" s="85" t="n">
        <v>3</v>
      </c>
    </row>
    <row r="1155" customFormat="false" ht="15" hidden="false" customHeight="false" outlineLevel="0" collapsed="false">
      <c r="A1155" s="84" t="n">
        <v>45532</v>
      </c>
      <c r="B1155" s="85" t="n">
        <v>1</v>
      </c>
    </row>
    <row r="1156" customFormat="false" ht="15" hidden="false" customHeight="false" outlineLevel="0" collapsed="false">
      <c r="A1156" s="84" t="n">
        <v>45533</v>
      </c>
      <c r="B1156" s="85" t="n">
        <v>0</v>
      </c>
    </row>
    <row r="1157" customFormat="false" ht="15" hidden="false" customHeight="false" outlineLevel="0" collapsed="false">
      <c r="A1157" s="84" t="n">
        <v>45534</v>
      </c>
      <c r="B1157" s="85" t="n">
        <v>0</v>
      </c>
    </row>
    <row r="1158" customFormat="false" ht="15" hidden="false" customHeight="false" outlineLevel="0" collapsed="false">
      <c r="A1158" s="84" t="n">
        <v>45535</v>
      </c>
      <c r="B1158" s="85" t="n">
        <v>0</v>
      </c>
    </row>
    <row r="1159" customFormat="false" ht="15" hidden="false" customHeight="false" outlineLevel="0" collapsed="false">
      <c r="A1159" s="84" t="n">
        <v>45536</v>
      </c>
      <c r="B1159" s="85" t="n">
        <v>0</v>
      </c>
    </row>
    <row r="1160" customFormat="false" ht="15" hidden="false" customHeight="false" outlineLevel="0" collapsed="false">
      <c r="A1160" s="84" t="n">
        <v>45537</v>
      </c>
      <c r="B1160" s="85" t="n">
        <v>2</v>
      </c>
    </row>
    <row r="1161" customFormat="false" ht="15" hidden="false" customHeight="false" outlineLevel="0" collapsed="false">
      <c r="A1161" s="84" t="n">
        <v>45538</v>
      </c>
      <c r="B1161" s="85" t="n">
        <v>2</v>
      </c>
    </row>
    <row r="1162" customFormat="false" ht="15" hidden="false" customHeight="false" outlineLevel="0" collapsed="false">
      <c r="A1162" s="84" t="n">
        <v>45539</v>
      </c>
      <c r="B1162" s="85" t="n">
        <v>0</v>
      </c>
    </row>
    <row r="1163" customFormat="false" ht="15" hidden="false" customHeight="false" outlineLevel="0" collapsed="false">
      <c r="A1163" s="84" t="n">
        <v>45540</v>
      </c>
      <c r="B1163" s="85" t="n">
        <v>1</v>
      </c>
    </row>
    <row r="1164" customFormat="false" ht="15" hidden="false" customHeight="false" outlineLevel="0" collapsed="false">
      <c r="A1164" s="84" t="n">
        <v>45541</v>
      </c>
      <c r="B1164" s="85" t="n">
        <v>0</v>
      </c>
    </row>
    <row r="1165" customFormat="false" ht="15" hidden="false" customHeight="false" outlineLevel="0" collapsed="false">
      <c r="A1165" s="84" t="n">
        <v>45542</v>
      </c>
      <c r="B1165" s="85" t="n">
        <v>1</v>
      </c>
    </row>
    <row r="1166" customFormat="false" ht="15" hidden="false" customHeight="false" outlineLevel="0" collapsed="false">
      <c r="A1166" s="84" t="n">
        <v>45543</v>
      </c>
      <c r="B1166" s="85" t="n">
        <v>2</v>
      </c>
    </row>
    <row r="1167" customFormat="false" ht="15" hidden="false" customHeight="false" outlineLevel="0" collapsed="false">
      <c r="A1167" s="84" t="n">
        <v>45544</v>
      </c>
      <c r="B1167" s="85" t="n">
        <v>1</v>
      </c>
    </row>
    <row r="1168" customFormat="false" ht="15" hidden="false" customHeight="false" outlineLevel="0" collapsed="false">
      <c r="A1168" s="84" t="n">
        <v>45545</v>
      </c>
      <c r="B1168" s="85" t="n">
        <v>0</v>
      </c>
    </row>
    <row r="1169" customFormat="false" ht="15" hidden="false" customHeight="false" outlineLevel="0" collapsed="false">
      <c r="A1169" s="84" t="n">
        <v>45546</v>
      </c>
      <c r="B1169" s="85" t="n">
        <v>0</v>
      </c>
    </row>
    <row r="1170" customFormat="false" ht="15" hidden="false" customHeight="false" outlineLevel="0" collapsed="false">
      <c r="A1170" s="84" t="n">
        <v>45547</v>
      </c>
      <c r="B1170" s="85" t="n">
        <v>1</v>
      </c>
    </row>
    <row r="1171" customFormat="false" ht="15" hidden="false" customHeight="false" outlineLevel="0" collapsed="false">
      <c r="A1171" s="84" t="n">
        <v>45548</v>
      </c>
      <c r="B1171" s="85" t="n">
        <v>1</v>
      </c>
    </row>
    <row r="1172" customFormat="false" ht="15" hidden="false" customHeight="false" outlineLevel="0" collapsed="false">
      <c r="A1172" s="84" t="n">
        <v>45549</v>
      </c>
      <c r="B1172" s="85" t="n">
        <v>0</v>
      </c>
    </row>
    <row r="1173" customFormat="false" ht="15" hidden="false" customHeight="false" outlineLevel="0" collapsed="false">
      <c r="A1173" s="84" t="n">
        <v>45550</v>
      </c>
      <c r="B1173" s="85" t="n">
        <v>0</v>
      </c>
    </row>
    <row r="1174" customFormat="false" ht="15" hidden="false" customHeight="false" outlineLevel="0" collapsed="false">
      <c r="A1174" s="84" t="n">
        <v>45551</v>
      </c>
      <c r="B1174" s="85" t="n">
        <v>0</v>
      </c>
    </row>
    <row r="1175" customFormat="false" ht="15" hidden="false" customHeight="false" outlineLevel="0" collapsed="false">
      <c r="A1175" s="84" t="n">
        <v>45552</v>
      </c>
      <c r="B1175" s="85" t="n">
        <v>0</v>
      </c>
    </row>
    <row r="1176" customFormat="false" ht="15" hidden="false" customHeight="false" outlineLevel="0" collapsed="false">
      <c r="A1176" s="84" t="n">
        <v>45553</v>
      </c>
      <c r="B1176" s="85" t="n">
        <v>0</v>
      </c>
    </row>
    <row r="1177" customFormat="false" ht="15" hidden="false" customHeight="false" outlineLevel="0" collapsed="false">
      <c r="A1177" s="84" t="n">
        <v>45554</v>
      </c>
      <c r="B1177" s="85" t="n">
        <v>1</v>
      </c>
    </row>
    <row r="1178" customFormat="false" ht="15" hidden="false" customHeight="false" outlineLevel="0" collapsed="false">
      <c r="A1178" s="84" t="n">
        <v>45555</v>
      </c>
      <c r="B1178" s="85" t="n">
        <v>0</v>
      </c>
    </row>
    <row r="1179" customFormat="false" ht="15" hidden="false" customHeight="false" outlineLevel="0" collapsed="false">
      <c r="A1179" s="84" t="n">
        <v>45556</v>
      </c>
      <c r="B1179" s="85" t="n">
        <v>1</v>
      </c>
    </row>
    <row r="1180" customFormat="false" ht="15" hidden="false" customHeight="false" outlineLevel="0" collapsed="false">
      <c r="A1180" s="84" t="n">
        <v>45557</v>
      </c>
      <c r="B1180" s="85" t="n">
        <v>0</v>
      </c>
    </row>
    <row r="1181" customFormat="false" ht="15" hidden="false" customHeight="false" outlineLevel="0" collapsed="false">
      <c r="A1181" s="84" t="n">
        <v>45558</v>
      </c>
      <c r="B1181" s="85" t="n">
        <v>0</v>
      </c>
    </row>
    <row r="1182" customFormat="false" ht="15" hidden="false" customHeight="false" outlineLevel="0" collapsed="false">
      <c r="A1182" s="84" t="n">
        <v>45559</v>
      </c>
      <c r="B1182" s="85" t="n">
        <v>1</v>
      </c>
    </row>
    <row r="1183" customFormat="false" ht="15" hidden="false" customHeight="false" outlineLevel="0" collapsed="false">
      <c r="A1183" s="84" t="n">
        <v>45560</v>
      </c>
      <c r="B1183" s="85" t="n">
        <v>0</v>
      </c>
    </row>
    <row r="1184" customFormat="false" ht="15" hidden="false" customHeight="false" outlineLevel="0" collapsed="false">
      <c r="A1184" s="84" t="n">
        <v>45561</v>
      </c>
      <c r="B1184" s="85" t="n">
        <v>0</v>
      </c>
    </row>
    <row r="1185" customFormat="false" ht="15" hidden="false" customHeight="false" outlineLevel="0" collapsed="false">
      <c r="A1185" s="84" t="n">
        <v>45562</v>
      </c>
      <c r="B1185" s="85" t="n">
        <v>0</v>
      </c>
    </row>
    <row r="1186" customFormat="false" ht="15" hidden="false" customHeight="false" outlineLevel="0" collapsed="false">
      <c r="A1186" s="84" t="n">
        <v>45563</v>
      </c>
      <c r="B1186" s="85" t="n">
        <v>0</v>
      </c>
    </row>
    <row r="1187" customFormat="false" ht="15" hidden="false" customHeight="false" outlineLevel="0" collapsed="false">
      <c r="A1187" s="84" t="n">
        <v>45564</v>
      </c>
      <c r="B1187" s="85" t="n">
        <v>2</v>
      </c>
    </row>
    <row r="1188" customFormat="false" ht="15" hidden="false" customHeight="false" outlineLevel="0" collapsed="false">
      <c r="A1188" s="84" t="n">
        <v>45565</v>
      </c>
      <c r="B1188" s="85" t="n">
        <v>0</v>
      </c>
    </row>
    <row r="1189" customFormat="false" ht="15" hidden="false" customHeight="false" outlineLevel="0" collapsed="false">
      <c r="A1189" s="84" t="n">
        <v>45566</v>
      </c>
      <c r="B1189" s="85" t="n">
        <v>0</v>
      </c>
    </row>
    <row r="1190" customFormat="false" ht="15" hidden="false" customHeight="false" outlineLevel="0" collapsed="false">
      <c r="A1190" s="84" t="n">
        <v>45567</v>
      </c>
      <c r="B1190" s="85" t="n">
        <v>3</v>
      </c>
    </row>
    <row r="1191" customFormat="false" ht="15" hidden="false" customHeight="false" outlineLevel="0" collapsed="false">
      <c r="A1191" s="84" t="n">
        <v>45568</v>
      </c>
      <c r="B1191" s="85" t="n">
        <v>0</v>
      </c>
    </row>
    <row r="1192" customFormat="false" ht="15" hidden="false" customHeight="false" outlineLevel="0" collapsed="false">
      <c r="A1192" s="84" t="n">
        <v>45569</v>
      </c>
      <c r="B1192" s="85" t="n">
        <v>0</v>
      </c>
    </row>
    <row r="1193" customFormat="false" ht="15" hidden="false" customHeight="false" outlineLevel="0" collapsed="false">
      <c r="A1193" s="84" t="n">
        <v>45570</v>
      </c>
      <c r="B1193" s="85" t="n">
        <v>0</v>
      </c>
    </row>
    <row r="1194" customFormat="false" ht="15" hidden="false" customHeight="false" outlineLevel="0" collapsed="false">
      <c r="A1194" s="84" t="n">
        <v>45571</v>
      </c>
      <c r="B1194" s="85" t="n">
        <v>1</v>
      </c>
    </row>
    <row r="1195" customFormat="false" ht="15" hidden="false" customHeight="false" outlineLevel="0" collapsed="false">
      <c r="A1195" s="84" t="n">
        <v>45572</v>
      </c>
      <c r="B1195" s="85" t="n">
        <v>0</v>
      </c>
    </row>
    <row r="1196" customFormat="false" ht="15" hidden="false" customHeight="false" outlineLevel="0" collapsed="false">
      <c r="A1196" s="84" t="n">
        <v>45573</v>
      </c>
      <c r="B1196" s="85" t="n">
        <v>3</v>
      </c>
    </row>
    <row r="1197" customFormat="false" ht="15" hidden="false" customHeight="false" outlineLevel="0" collapsed="false">
      <c r="A1197" s="84" t="n">
        <v>45574</v>
      </c>
      <c r="B1197" s="85" t="n">
        <v>7</v>
      </c>
    </row>
    <row r="1198" customFormat="false" ht="15" hidden="false" customHeight="false" outlineLevel="0" collapsed="false">
      <c r="A1198" s="84" t="n">
        <v>45575</v>
      </c>
      <c r="B1198" s="85" t="n">
        <v>16</v>
      </c>
    </row>
    <row r="1199" customFormat="false" ht="15" hidden="false" customHeight="false" outlineLevel="0" collapsed="false">
      <c r="A1199" s="84" t="n">
        <v>45576</v>
      </c>
      <c r="B1199" s="85" t="n">
        <v>10</v>
      </c>
    </row>
    <row r="1200" customFormat="false" ht="15" hidden="false" customHeight="false" outlineLevel="0" collapsed="false">
      <c r="A1200" s="84" t="n">
        <v>45577</v>
      </c>
      <c r="B1200" s="85" t="n">
        <v>15</v>
      </c>
    </row>
    <row r="1201" customFormat="false" ht="15" hidden="false" customHeight="false" outlineLevel="0" collapsed="false">
      <c r="A1201" s="84" t="n">
        <v>45578</v>
      </c>
      <c r="B1201" s="85" t="n">
        <v>11</v>
      </c>
    </row>
    <row r="1202" customFormat="false" ht="15" hidden="false" customHeight="false" outlineLevel="0" collapsed="false">
      <c r="A1202" s="84" t="n">
        <v>45579</v>
      </c>
      <c r="B1202" s="85" t="n">
        <v>7</v>
      </c>
    </row>
    <row r="1203" customFormat="false" ht="15" hidden="false" customHeight="false" outlineLevel="0" collapsed="false">
      <c r="A1203" s="84" t="n">
        <v>45580</v>
      </c>
      <c r="B1203" s="85" t="n">
        <v>7</v>
      </c>
    </row>
    <row r="1204" customFormat="false" ht="15" hidden="false" customHeight="false" outlineLevel="0" collapsed="false">
      <c r="A1204" s="84" t="n">
        <v>45581</v>
      </c>
      <c r="B1204" s="85" t="n">
        <v>9</v>
      </c>
    </row>
    <row r="1205" customFormat="false" ht="15" hidden="false" customHeight="false" outlineLevel="0" collapsed="false">
      <c r="A1205" s="84" t="n">
        <v>45582</v>
      </c>
      <c r="B1205" s="85" t="n">
        <v>10</v>
      </c>
    </row>
    <row r="1206" customFormat="false" ht="15" hidden="false" customHeight="false" outlineLevel="0" collapsed="false">
      <c r="A1206" s="84" t="n">
        <v>45583</v>
      </c>
      <c r="B1206" s="85" t="n">
        <v>11</v>
      </c>
    </row>
    <row r="1207" customFormat="false" ht="15" hidden="false" customHeight="false" outlineLevel="0" collapsed="false">
      <c r="A1207" s="84" t="n">
        <v>45584</v>
      </c>
      <c r="B1207" s="85" t="n">
        <v>17</v>
      </c>
    </row>
    <row r="1208" customFormat="false" ht="15" hidden="false" customHeight="false" outlineLevel="0" collapsed="false">
      <c r="A1208" s="84" t="n">
        <v>45585</v>
      </c>
      <c r="B1208" s="85" t="n">
        <v>6</v>
      </c>
    </row>
    <row r="1209" customFormat="false" ht="15" hidden="false" customHeight="false" outlineLevel="0" collapsed="false">
      <c r="A1209" s="84" t="n">
        <v>45586</v>
      </c>
      <c r="B1209" s="85" t="n">
        <v>10</v>
      </c>
    </row>
    <row r="1210" customFormat="false" ht="15" hidden="false" customHeight="false" outlineLevel="0" collapsed="false">
      <c r="A1210" s="84" t="n">
        <v>45587</v>
      </c>
      <c r="B1210" s="85" t="n">
        <v>3</v>
      </c>
    </row>
    <row r="1211" customFormat="false" ht="15" hidden="false" customHeight="false" outlineLevel="0" collapsed="false">
      <c r="A1211" s="84" t="n">
        <v>45588</v>
      </c>
      <c r="B1211" s="85" t="n">
        <v>1</v>
      </c>
    </row>
    <row r="1212" customFormat="false" ht="15" hidden="false" customHeight="false" outlineLevel="0" collapsed="false">
      <c r="A1212" s="84" t="n">
        <v>45589</v>
      </c>
      <c r="B1212" s="85" t="n">
        <v>2</v>
      </c>
    </row>
    <row r="1213" customFormat="false" ht="15" hidden="false" customHeight="false" outlineLevel="0" collapsed="false">
      <c r="A1213" s="84" t="n">
        <v>45590</v>
      </c>
      <c r="B1213" s="85" t="n">
        <v>3</v>
      </c>
    </row>
    <row r="1214" customFormat="false" ht="15" hidden="false" customHeight="false" outlineLevel="0" collapsed="false">
      <c r="A1214" s="84" t="n">
        <v>45591</v>
      </c>
      <c r="B1214" s="85" t="n">
        <v>3</v>
      </c>
    </row>
    <row r="1215" customFormat="false" ht="15" hidden="false" customHeight="false" outlineLevel="0" collapsed="false">
      <c r="A1215" s="84" t="n">
        <v>45592</v>
      </c>
      <c r="B1215" s="85" t="n">
        <v>1</v>
      </c>
    </row>
    <row r="1216" customFormat="false" ht="15" hidden="false" customHeight="false" outlineLevel="0" collapsed="false">
      <c r="A1216" s="84" t="n">
        <v>45593</v>
      </c>
      <c r="B1216" s="85" t="n">
        <v>1</v>
      </c>
    </row>
    <row r="1217" customFormat="false" ht="15" hidden="false" customHeight="false" outlineLevel="0" collapsed="false">
      <c r="A1217" s="84" t="n">
        <v>45594</v>
      </c>
      <c r="B1217" s="85" t="n">
        <v>0</v>
      </c>
    </row>
    <row r="1218" customFormat="false" ht="15" hidden="false" customHeight="false" outlineLevel="0" collapsed="false">
      <c r="A1218" s="84" t="n">
        <v>45595</v>
      </c>
      <c r="B1218" s="85" t="n">
        <v>0</v>
      </c>
    </row>
    <row r="1219" customFormat="false" ht="15" hidden="false" customHeight="false" outlineLevel="0" collapsed="false">
      <c r="A1219" s="84" t="n">
        <v>45596</v>
      </c>
      <c r="B1219" s="85" t="n">
        <v>0</v>
      </c>
    </row>
    <row r="1220" customFormat="false" ht="15" hidden="false" customHeight="false" outlineLevel="0" collapsed="false">
      <c r="A1220" s="84" t="n">
        <v>45597</v>
      </c>
      <c r="B1220" s="85" t="n">
        <v>0</v>
      </c>
    </row>
    <row r="1221" customFormat="false" ht="15" hidden="false" customHeight="false" outlineLevel="0" collapsed="false">
      <c r="A1221" s="84" t="n">
        <v>45598</v>
      </c>
      <c r="B1221" s="85" t="n">
        <v>0</v>
      </c>
    </row>
    <row r="1222" customFormat="false" ht="15" hidden="false" customHeight="false" outlineLevel="0" collapsed="false">
      <c r="A1222" s="84" t="n">
        <v>45599</v>
      </c>
      <c r="B1222" s="85" t="n">
        <v>0</v>
      </c>
    </row>
    <row r="1223" customFormat="false" ht="15" hidden="false" customHeight="false" outlineLevel="0" collapsed="false">
      <c r="A1223" s="84" t="n">
        <v>45600</v>
      </c>
      <c r="B1223" s="85" t="n">
        <v>0</v>
      </c>
    </row>
    <row r="1224" customFormat="false" ht="15" hidden="false" customHeight="false" outlineLevel="0" collapsed="false">
      <c r="A1224" s="84" t="n">
        <v>45601</v>
      </c>
      <c r="B1224" s="85" t="n">
        <v>0</v>
      </c>
    </row>
    <row r="1225" customFormat="false" ht="15" hidden="false" customHeight="false" outlineLevel="0" collapsed="false">
      <c r="A1225" s="84" t="n">
        <v>45602</v>
      </c>
      <c r="B1225" s="85" t="n">
        <v>0</v>
      </c>
    </row>
    <row r="1226" customFormat="false" ht="15" hidden="false" customHeight="false" outlineLevel="0" collapsed="false">
      <c r="A1226" s="84" t="n">
        <v>45603</v>
      </c>
      <c r="B1226" s="85" t="n">
        <v>0</v>
      </c>
    </row>
    <row r="1227" customFormat="false" ht="15" hidden="false" customHeight="false" outlineLevel="0" collapsed="false">
      <c r="A1227" s="84" t="n">
        <v>45604</v>
      </c>
      <c r="B1227" s="85" t="n">
        <v>0</v>
      </c>
    </row>
    <row r="1228" customFormat="false" ht="15" hidden="false" customHeight="false" outlineLevel="0" collapsed="false">
      <c r="A1228" s="84" t="n">
        <v>45605</v>
      </c>
      <c r="B1228" s="85" t="n">
        <v>0</v>
      </c>
    </row>
    <row r="1229" customFormat="false" ht="15" hidden="false" customHeight="false" outlineLevel="0" collapsed="false">
      <c r="A1229" s="84" t="n">
        <v>45606</v>
      </c>
      <c r="B1229" s="85" t="n">
        <v>0</v>
      </c>
    </row>
    <row r="1230" customFormat="false" ht="15" hidden="false" customHeight="false" outlineLevel="0" collapsed="false">
      <c r="A1230" s="84" t="n">
        <v>45607</v>
      </c>
      <c r="B1230" s="85" t="n">
        <v>0</v>
      </c>
    </row>
    <row r="1231" customFormat="false" ht="15" hidden="false" customHeight="false" outlineLevel="0" collapsed="false">
      <c r="A1231" s="84" t="n">
        <v>45608</v>
      </c>
      <c r="B1231" s="85" t="n">
        <v>0</v>
      </c>
    </row>
    <row r="1232" customFormat="false" ht="15" hidden="false" customHeight="false" outlineLevel="0" collapsed="false">
      <c r="A1232" s="84" t="n">
        <v>45609</v>
      </c>
      <c r="B1232" s="85" t="n">
        <v>0</v>
      </c>
    </row>
    <row r="1233" customFormat="false" ht="15" hidden="false" customHeight="false" outlineLevel="0" collapsed="false">
      <c r="A1233" s="84" t="n">
        <v>45610</v>
      </c>
      <c r="B1233" s="85" t="n">
        <v>0</v>
      </c>
    </row>
    <row r="1234" customFormat="false" ht="15" hidden="false" customHeight="false" outlineLevel="0" collapsed="false">
      <c r="A1234" s="84" t="n">
        <v>45611</v>
      </c>
      <c r="B1234" s="85" t="n">
        <v>1</v>
      </c>
    </row>
    <row r="1235" customFormat="false" ht="15" hidden="false" customHeight="false" outlineLevel="0" collapsed="false">
      <c r="A1235" s="84" t="n">
        <v>45612</v>
      </c>
      <c r="B1235" s="85" t="n">
        <v>0</v>
      </c>
    </row>
    <row r="1236" customFormat="false" ht="15" hidden="false" customHeight="false" outlineLevel="0" collapsed="false">
      <c r="A1236" s="84" t="n">
        <v>45613</v>
      </c>
      <c r="B1236" s="85" t="n">
        <v>0</v>
      </c>
    </row>
    <row r="1237" customFormat="false" ht="15" hidden="false" customHeight="false" outlineLevel="0" collapsed="false">
      <c r="A1237" s="84" t="n">
        <v>45614</v>
      </c>
      <c r="B1237" s="85" t="n">
        <v>0</v>
      </c>
    </row>
    <row r="1238" customFormat="false" ht="15" hidden="false" customHeight="false" outlineLevel="0" collapsed="false">
      <c r="A1238" s="84" t="n">
        <v>45615</v>
      </c>
      <c r="B1238" s="85" t="n">
        <v>0</v>
      </c>
    </row>
    <row r="1239" customFormat="false" ht="15" hidden="false" customHeight="false" outlineLevel="0" collapsed="false">
      <c r="A1239" s="84" t="n">
        <v>45616</v>
      </c>
      <c r="B1239" s="85" t="n">
        <v>0</v>
      </c>
    </row>
    <row r="1240" customFormat="false" ht="15" hidden="false" customHeight="false" outlineLevel="0" collapsed="false">
      <c r="A1240" s="84" t="n">
        <v>45617</v>
      </c>
      <c r="B1240" s="85" t="n">
        <v>0</v>
      </c>
    </row>
    <row r="1241" customFormat="false" ht="15" hidden="false" customHeight="false" outlineLevel="0" collapsed="false">
      <c r="A1241" s="84" t="n">
        <v>45618</v>
      </c>
      <c r="B1241" s="85" t="n">
        <v>0</v>
      </c>
    </row>
    <row r="1242" customFormat="false" ht="15" hidden="false" customHeight="false" outlineLevel="0" collapsed="false">
      <c r="A1242" s="84" t="n">
        <v>45619</v>
      </c>
      <c r="B1242" s="85" t="n">
        <v>0</v>
      </c>
    </row>
    <row r="1243" customFormat="false" ht="15" hidden="false" customHeight="false" outlineLevel="0" collapsed="false">
      <c r="A1243" s="84" t="n">
        <v>45620</v>
      </c>
      <c r="B1243" s="85" t="n">
        <v>0</v>
      </c>
    </row>
    <row r="1244" customFormat="false" ht="15" hidden="false" customHeight="false" outlineLevel="0" collapsed="false">
      <c r="A1244" s="84" t="n">
        <v>45621</v>
      </c>
      <c r="B1244" s="85" t="n">
        <v>0</v>
      </c>
    </row>
    <row r="1245" customFormat="false" ht="15" hidden="false" customHeight="false" outlineLevel="0" collapsed="false">
      <c r="A1245" s="84" t="n">
        <v>45622</v>
      </c>
      <c r="B1245" s="85" t="n">
        <v>0</v>
      </c>
    </row>
    <row r="1246" customFormat="false" ht="15" hidden="false" customHeight="false" outlineLevel="0" collapsed="false">
      <c r="A1246" s="84" t="n">
        <v>45623</v>
      </c>
      <c r="B1246" s="85" t="n">
        <v>0</v>
      </c>
    </row>
    <row r="1247" customFormat="false" ht="15" hidden="false" customHeight="false" outlineLevel="0" collapsed="false">
      <c r="A1247" s="84" t="n">
        <v>45624</v>
      </c>
      <c r="B1247" s="85" t="n">
        <v>0</v>
      </c>
    </row>
    <row r="1248" customFormat="false" ht="15" hidden="false" customHeight="false" outlineLevel="0" collapsed="false">
      <c r="A1248" s="84" t="n">
        <v>45625</v>
      </c>
      <c r="B1248" s="85" t="n">
        <v>0</v>
      </c>
    </row>
    <row r="1249" customFormat="false" ht="15" hidden="false" customHeight="false" outlineLevel="0" collapsed="false">
      <c r="A1249" s="84" t="n">
        <v>45626</v>
      </c>
      <c r="B1249" s="85" t="n">
        <v>0</v>
      </c>
    </row>
    <row r="1250" customFormat="false" ht="15" hidden="false" customHeight="false" outlineLevel="0" collapsed="false">
      <c r="A1250" s="84" t="n">
        <v>45627</v>
      </c>
      <c r="B1250" s="85" t="n">
        <v>1</v>
      </c>
    </row>
    <row r="1251" customFormat="false" ht="15" hidden="false" customHeight="false" outlineLevel="0" collapsed="false">
      <c r="A1251" s="84" t="n">
        <v>45628</v>
      </c>
      <c r="B1251" s="85" t="n">
        <v>0</v>
      </c>
    </row>
    <row r="1252" customFormat="false" ht="15" hidden="false" customHeight="false" outlineLevel="0" collapsed="false">
      <c r="A1252" s="84" t="n">
        <v>45629</v>
      </c>
      <c r="B1252" s="85" t="n">
        <v>0</v>
      </c>
    </row>
    <row r="1253" customFormat="false" ht="15" hidden="false" customHeight="false" outlineLevel="0" collapsed="false">
      <c r="A1253" s="84" t="n">
        <v>45630</v>
      </c>
      <c r="B1253" s="85" t="n">
        <v>0</v>
      </c>
    </row>
    <row r="1254" customFormat="false" ht="15" hidden="false" customHeight="false" outlineLevel="0" collapsed="false">
      <c r="A1254" s="84" t="n">
        <v>45631</v>
      </c>
      <c r="B1254" s="85" t="n">
        <v>1</v>
      </c>
    </row>
    <row r="1255" customFormat="false" ht="15" hidden="false" customHeight="false" outlineLevel="0" collapsed="false">
      <c r="A1255" s="84" t="n">
        <v>45632</v>
      </c>
      <c r="B1255" s="85" t="n">
        <v>1</v>
      </c>
    </row>
    <row r="1256" customFormat="false" ht="15" hidden="false" customHeight="false" outlineLevel="0" collapsed="false">
      <c r="A1256" s="84" t="n">
        <v>45633</v>
      </c>
      <c r="B1256" s="85" t="n">
        <v>0</v>
      </c>
    </row>
    <row r="1257" customFormat="false" ht="15" hidden="false" customHeight="false" outlineLevel="0" collapsed="false">
      <c r="A1257" s="84" t="n">
        <v>45634</v>
      </c>
      <c r="B1257" s="85" t="n">
        <v>1</v>
      </c>
    </row>
    <row r="1258" customFormat="false" ht="15" hidden="false" customHeight="false" outlineLevel="0" collapsed="false">
      <c r="A1258" s="84" t="n">
        <v>45635</v>
      </c>
      <c r="B1258" s="85" t="n">
        <v>0</v>
      </c>
    </row>
    <row r="1259" customFormat="false" ht="15" hidden="false" customHeight="false" outlineLevel="0" collapsed="false">
      <c r="A1259" s="84" t="n">
        <v>45636</v>
      </c>
      <c r="B1259" s="85" t="n">
        <v>0</v>
      </c>
    </row>
    <row r="1260" customFormat="false" ht="15" hidden="false" customHeight="false" outlineLevel="0" collapsed="false">
      <c r="A1260" s="84" t="n">
        <v>45637</v>
      </c>
      <c r="B1260" s="85" t="n">
        <v>0</v>
      </c>
    </row>
    <row r="1261" customFormat="false" ht="15" hidden="false" customHeight="false" outlineLevel="0" collapsed="false">
      <c r="A1261" s="84" t="n">
        <v>45638</v>
      </c>
      <c r="B1261" s="85" t="n">
        <v>0</v>
      </c>
    </row>
    <row r="1262" customFormat="false" ht="15" hidden="false" customHeight="false" outlineLevel="0" collapsed="false">
      <c r="A1262" s="84" t="n">
        <v>45639</v>
      </c>
      <c r="B1262" s="85" t="n">
        <v>0</v>
      </c>
    </row>
    <row r="1263" customFormat="false" ht="15" hidden="false" customHeight="false" outlineLevel="0" collapsed="false">
      <c r="A1263" s="84" t="n">
        <v>45640</v>
      </c>
      <c r="B1263" s="85" t="n">
        <v>0</v>
      </c>
    </row>
    <row r="1264" customFormat="false" ht="15" hidden="false" customHeight="false" outlineLevel="0" collapsed="false">
      <c r="A1264" s="84" t="n">
        <v>45641</v>
      </c>
      <c r="B1264" s="85" t="n">
        <v>0</v>
      </c>
    </row>
    <row r="1265" customFormat="false" ht="15" hidden="false" customHeight="false" outlineLevel="0" collapsed="false">
      <c r="A1265" s="84" t="n">
        <v>45642</v>
      </c>
      <c r="B1265" s="85" t="n">
        <v>0</v>
      </c>
    </row>
    <row r="1266" customFormat="false" ht="15" hidden="false" customHeight="false" outlineLevel="0" collapsed="false">
      <c r="A1266" s="84" t="n">
        <v>45643</v>
      </c>
      <c r="B1266" s="85" t="n">
        <v>0</v>
      </c>
    </row>
    <row r="1267" customFormat="false" ht="15" hidden="false" customHeight="false" outlineLevel="0" collapsed="false">
      <c r="A1267" s="84" t="n">
        <v>45644</v>
      </c>
      <c r="B1267" s="85" t="n">
        <v>0</v>
      </c>
    </row>
    <row r="1268" customFormat="false" ht="15" hidden="false" customHeight="false" outlineLevel="0" collapsed="false">
      <c r="A1268" s="84" t="n">
        <v>45645</v>
      </c>
      <c r="B1268" s="85" t="n">
        <v>0</v>
      </c>
    </row>
    <row r="1269" customFormat="false" ht="15" hidden="false" customHeight="false" outlineLevel="0" collapsed="false">
      <c r="A1269" s="84" t="n">
        <v>45646</v>
      </c>
      <c r="B1269" s="85" t="n">
        <v>0</v>
      </c>
    </row>
    <row r="1270" customFormat="false" ht="15" hidden="false" customHeight="false" outlineLevel="0" collapsed="false">
      <c r="A1270" s="84" t="n">
        <v>45647</v>
      </c>
      <c r="B1270" s="85" t="n">
        <v>0</v>
      </c>
    </row>
    <row r="1271" customFormat="false" ht="15" hidden="false" customHeight="false" outlineLevel="0" collapsed="false">
      <c r="A1271" s="84" t="n">
        <v>45648</v>
      </c>
      <c r="B1271" s="85" t="n">
        <v>0</v>
      </c>
    </row>
    <row r="1272" customFormat="false" ht="15" hidden="false" customHeight="false" outlineLevel="0" collapsed="false">
      <c r="A1272" s="84" t="n">
        <v>45649</v>
      </c>
      <c r="B1272" s="85" t="n">
        <v>0</v>
      </c>
    </row>
    <row r="1273" customFormat="false" ht="15" hidden="false" customHeight="false" outlineLevel="0" collapsed="false">
      <c r="A1273" s="84" t="n">
        <v>45650</v>
      </c>
      <c r="B1273" s="85" t="n">
        <v>0</v>
      </c>
    </row>
    <row r="1274" customFormat="false" ht="15" hidden="false" customHeight="false" outlineLevel="0" collapsed="false">
      <c r="A1274" s="84" t="n">
        <v>45651</v>
      </c>
      <c r="B1274" s="85" t="n">
        <v>0</v>
      </c>
    </row>
    <row r="1275" customFormat="false" ht="15" hidden="false" customHeight="false" outlineLevel="0" collapsed="false">
      <c r="A1275" s="84" t="n">
        <v>45652</v>
      </c>
      <c r="B1275" s="85" t="n">
        <v>4</v>
      </c>
    </row>
    <row r="1276" customFormat="false" ht="15" hidden="false" customHeight="false" outlineLevel="0" collapsed="false">
      <c r="A1276" s="84" t="n">
        <v>45653</v>
      </c>
      <c r="B1276" s="85" t="n">
        <v>0</v>
      </c>
    </row>
    <row r="1277" customFormat="false" ht="15" hidden="false" customHeight="false" outlineLevel="0" collapsed="false">
      <c r="A1277" s="84" t="n">
        <v>45654</v>
      </c>
      <c r="B1277" s="85" t="n">
        <v>1</v>
      </c>
    </row>
    <row r="1278" customFormat="false" ht="15" hidden="false" customHeight="false" outlineLevel="0" collapsed="false">
      <c r="A1278" s="84" t="n">
        <v>45655</v>
      </c>
      <c r="B1278" s="85" t="n">
        <v>0</v>
      </c>
    </row>
    <row r="1279" customFormat="false" ht="15" hidden="false" customHeight="false" outlineLevel="0" collapsed="false">
      <c r="A1279" s="84" t="n">
        <v>45656</v>
      </c>
      <c r="B1279" s="85" t="n">
        <v>0</v>
      </c>
    </row>
    <row r="1280" customFormat="false" ht="15" hidden="false" customHeight="false" outlineLevel="0" collapsed="false">
      <c r="A1280" s="84" t="n">
        <v>45657</v>
      </c>
      <c r="B1280" s="85" t="n">
        <v>0</v>
      </c>
    </row>
    <row r="1281" customFormat="false" ht="15" hidden="false" customHeight="false" outlineLevel="0" collapsed="false">
      <c r="A1281" s="84" t="n">
        <v>45658</v>
      </c>
      <c r="B1281" s="85" t="n">
        <v>0</v>
      </c>
    </row>
    <row r="1282" customFormat="false" ht="15" hidden="false" customHeight="false" outlineLevel="0" collapsed="false">
      <c r="A1282" s="84" t="n">
        <v>45659</v>
      </c>
      <c r="B1282" s="85" t="n">
        <v>0</v>
      </c>
    </row>
    <row r="1283" customFormat="false" ht="15" hidden="false" customHeight="false" outlineLevel="0" collapsed="false">
      <c r="A1283" s="84" t="n">
        <v>45660</v>
      </c>
      <c r="B1283" s="85" t="n">
        <v>0</v>
      </c>
    </row>
    <row r="1284" customFormat="false" ht="15" hidden="false" customHeight="false" outlineLevel="0" collapsed="false">
      <c r="A1284" s="84" t="n">
        <v>45661</v>
      </c>
      <c r="B1284" s="85" t="n">
        <v>0</v>
      </c>
    </row>
    <row r="1285" customFormat="false" ht="15" hidden="false" customHeight="false" outlineLevel="0" collapsed="false">
      <c r="A1285" s="84" t="n">
        <v>45662</v>
      </c>
      <c r="B1285" s="85" t="n">
        <v>1</v>
      </c>
    </row>
    <row r="1286" customFormat="false" ht="15" hidden="false" customHeight="false" outlineLevel="0" collapsed="false">
      <c r="A1286" s="84" t="n">
        <v>45663</v>
      </c>
      <c r="B1286" s="85" t="n">
        <v>0</v>
      </c>
    </row>
    <row r="1287" customFormat="false" ht="15" hidden="false" customHeight="false" outlineLevel="0" collapsed="false">
      <c r="A1287" s="84" t="n">
        <v>45664</v>
      </c>
      <c r="B1287" s="85" t="n">
        <v>0</v>
      </c>
    </row>
    <row r="1288" customFormat="false" ht="15" hidden="false" customHeight="false" outlineLevel="0" collapsed="false">
      <c r="A1288" s="84" t="n">
        <v>45665</v>
      </c>
      <c r="B1288" s="85" t="n">
        <v>0</v>
      </c>
    </row>
    <row r="1289" customFormat="false" ht="15" hidden="false" customHeight="false" outlineLevel="0" collapsed="false">
      <c r="A1289" s="84" t="n">
        <v>45666</v>
      </c>
      <c r="B1289" s="85" t="n">
        <v>0</v>
      </c>
    </row>
    <row r="1290" customFormat="false" ht="15" hidden="false" customHeight="false" outlineLevel="0" collapsed="false">
      <c r="A1290" s="84" t="n">
        <v>45667</v>
      </c>
      <c r="B1290" s="85" t="n">
        <v>1</v>
      </c>
    </row>
    <row r="1291" customFormat="false" ht="15" hidden="false" customHeight="false" outlineLevel="0" collapsed="false">
      <c r="A1291" s="84" t="n">
        <v>45668</v>
      </c>
      <c r="B1291" s="85" t="n">
        <v>0</v>
      </c>
    </row>
    <row r="1292" customFormat="false" ht="15" hidden="false" customHeight="false" outlineLevel="0" collapsed="false">
      <c r="A1292" s="84" t="n">
        <v>45669</v>
      </c>
      <c r="B1292" s="85" t="n">
        <v>1</v>
      </c>
    </row>
    <row r="1293" customFormat="false" ht="15" hidden="false" customHeight="false" outlineLevel="0" collapsed="false">
      <c r="A1293" s="84" t="n">
        <v>45670</v>
      </c>
      <c r="B1293" s="85" t="n">
        <v>1</v>
      </c>
    </row>
    <row r="1294" customFormat="false" ht="15" hidden="false" customHeight="false" outlineLevel="0" collapsed="false">
      <c r="A1294" s="84" t="n">
        <v>45671</v>
      </c>
      <c r="B1294" s="85" t="n">
        <v>0</v>
      </c>
    </row>
    <row r="1295" customFormat="false" ht="15" hidden="false" customHeight="false" outlineLevel="0" collapsed="false">
      <c r="A1295" s="84" t="n">
        <v>45672</v>
      </c>
      <c r="B1295" s="85" t="n">
        <v>0</v>
      </c>
    </row>
    <row r="1296" customFormat="false" ht="15" hidden="false" customHeight="false" outlineLevel="0" collapsed="false">
      <c r="A1296" s="84" t="n">
        <v>45673</v>
      </c>
      <c r="B1296" s="85" t="n">
        <v>0</v>
      </c>
    </row>
    <row r="1297" customFormat="false" ht="15" hidden="false" customHeight="false" outlineLevel="0" collapsed="false">
      <c r="A1297" s="84" t="n">
        <v>45674</v>
      </c>
      <c r="B1297" s="85" t="n">
        <v>0</v>
      </c>
    </row>
    <row r="1298" customFormat="false" ht="15" hidden="false" customHeight="false" outlineLevel="0" collapsed="false">
      <c r="A1298" s="84" t="n">
        <v>45675</v>
      </c>
      <c r="B1298" s="85" t="n">
        <v>1</v>
      </c>
    </row>
    <row r="1299" customFormat="false" ht="15" hidden="false" customHeight="false" outlineLevel="0" collapsed="false">
      <c r="A1299" s="84" t="n">
        <v>45676</v>
      </c>
      <c r="B1299" s="85" t="n">
        <v>0</v>
      </c>
    </row>
    <row r="1300" customFormat="false" ht="15" hidden="false" customHeight="false" outlineLevel="0" collapsed="false">
      <c r="A1300" s="84" t="n">
        <v>45677</v>
      </c>
      <c r="B1300" s="85" t="n">
        <v>0</v>
      </c>
    </row>
    <row r="1301" customFormat="false" ht="15" hidden="false" customHeight="false" outlineLevel="0" collapsed="false">
      <c r="A1301" s="84" t="n">
        <v>45678</v>
      </c>
      <c r="B1301" s="85" t="n">
        <v>0</v>
      </c>
    </row>
    <row r="1302" customFormat="false" ht="15" hidden="false" customHeight="false" outlineLevel="0" collapsed="false">
      <c r="A1302" s="84" t="n">
        <v>45679</v>
      </c>
      <c r="B1302" s="85" t="n">
        <v>0</v>
      </c>
    </row>
    <row r="1303" customFormat="false" ht="15" hidden="false" customHeight="false" outlineLevel="0" collapsed="false">
      <c r="A1303" s="84" t="n">
        <v>45680</v>
      </c>
      <c r="B1303" s="85" t="n">
        <v>0</v>
      </c>
    </row>
    <row r="1304" customFormat="false" ht="15" hidden="false" customHeight="false" outlineLevel="0" collapsed="false">
      <c r="A1304" s="84" t="n">
        <v>45681</v>
      </c>
      <c r="B1304" s="85" t="n">
        <v>0</v>
      </c>
    </row>
    <row r="1305" customFormat="false" ht="15" hidden="false" customHeight="false" outlineLevel="0" collapsed="false">
      <c r="A1305" s="84" t="n">
        <v>45682</v>
      </c>
      <c r="B1305" s="85" t="n">
        <v>0</v>
      </c>
    </row>
    <row r="1306" customFormat="false" ht="15" hidden="false" customHeight="false" outlineLevel="0" collapsed="false">
      <c r="A1306" s="84" t="n">
        <v>45683</v>
      </c>
      <c r="B1306" s="85" t="n">
        <v>0</v>
      </c>
    </row>
    <row r="1307" customFormat="false" ht="15" hidden="false" customHeight="false" outlineLevel="0" collapsed="false">
      <c r="A1307" s="84" t="n">
        <v>45684</v>
      </c>
      <c r="B1307" s="85" t="n">
        <v>0</v>
      </c>
    </row>
    <row r="1308" customFormat="false" ht="15" hidden="false" customHeight="false" outlineLevel="0" collapsed="false">
      <c r="A1308" s="84" t="n">
        <v>45685</v>
      </c>
      <c r="B1308" s="85" t="n">
        <v>1</v>
      </c>
    </row>
    <row r="1309" customFormat="false" ht="15" hidden="false" customHeight="false" outlineLevel="0" collapsed="false">
      <c r="A1309" s="84" t="n">
        <v>45686</v>
      </c>
      <c r="B1309" s="85" t="n">
        <v>0</v>
      </c>
    </row>
    <row r="1310" customFormat="false" ht="15" hidden="false" customHeight="false" outlineLevel="0" collapsed="false">
      <c r="A1310" s="84" t="n">
        <v>45687</v>
      </c>
      <c r="B1310" s="85" t="n">
        <v>0</v>
      </c>
    </row>
    <row r="1311" customFormat="false" ht="15" hidden="false" customHeight="false" outlineLevel="0" collapsed="false">
      <c r="A1311" s="84" t="n">
        <v>45688</v>
      </c>
      <c r="B1311" s="85" t="n">
        <v>0</v>
      </c>
    </row>
    <row r="1312" customFormat="false" ht="15" hidden="false" customHeight="false" outlineLevel="0" collapsed="false">
      <c r="A1312" s="84" t="n">
        <v>45689</v>
      </c>
      <c r="B1312" s="85" t="n">
        <v>0</v>
      </c>
    </row>
    <row r="1313" customFormat="false" ht="15" hidden="false" customHeight="false" outlineLevel="0" collapsed="false">
      <c r="A1313" s="84" t="n">
        <v>45690</v>
      </c>
      <c r="B1313" s="85" t="n">
        <v>1</v>
      </c>
    </row>
    <row r="1314" customFormat="false" ht="15" hidden="false" customHeight="false" outlineLevel="0" collapsed="false">
      <c r="A1314" s="84" t="n">
        <v>45691</v>
      </c>
      <c r="B1314" s="85" t="n">
        <v>0</v>
      </c>
    </row>
    <row r="1315" customFormat="false" ht="15" hidden="false" customHeight="false" outlineLevel="0" collapsed="false">
      <c r="A1315" s="84" t="n">
        <v>45692</v>
      </c>
      <c r="B1315" s="85" t="n">
        <v>0</v>
      </c>
    </row>
    <row r="1316" customFormat="false" ht="15" hidden="false" customHeight="false" outlineLevel="0" collapsed="false">
      <c r="A1316" s="84" t="n">
        <v>45693</v>
      </c>
      <c r="B1316" s="85" t="n">
        <v>0</v>
      </c>
    </row>
    <row r="1317" customFormat="false" ht="15" hidden="false" customHeight="false" outlineLevel="0" collapsed="false">
      <c r="A1317" s="84" t="n">
        <v>45694</v>
      </c>
      <c r="B1317" s="85" t="n">
        <v>0</v>
      </c>
    </row>
    <row r="1318" customFormat="false" ht="15" hidden="false" customHeight="false" outlineLevel="0" collapsed="false">
      <c r="A1318" s="84" t="n">
        <v>45695</v>
      </c>
      <c r="B1318" s="85" t="n">
        <v>0</v>
      </c>
    </row>
    <row r="1319" customFormat="false" ht="15" hidden="false" customHeight="false" outlineLevel="0" collapsed="false">
      <c r="A1319" s="84" t="n">
        <v>45696</v>
      </c>
      <c r="B1319" s="85" t="n">
        <v>0</v>
      </c>
    </row>
    <row r="1320" customFormat="false" ht="15" hidden="false" customHeight="false" outlineLevel="0" collapsed="false">
      <c r="A1320" s="84" t="n">
        <v>45697</v>
      </c>
      <c r="B1320" s="85" t="n">
        <v>1</v>
      </c>
    </row>
    <row r="1321" customFormat="false" ht="15" hidden="false" customHeight="false" outlineLevel="0" collapsed="false">
      <c r="A1321" s="84" t="n">
        <v>45698</v>
      </c>
      <c r="B1321" s="85" t="n">
        <v>0</v>
      </c>
    </row>
    <row r="1322" customFormat="false" ht="15" hidden="false" customHeight="false" outlineLevel="0" collapsed="false">
      <c r="A1322" s="84" t="n">
        <v>45699</v>
      </c>
      <c r="B1322" s="85" t="n">
        <v>1</v>
      </c>
    </row>
    <row r="1323" customFormat="false" ht="15" hidden="false" customHeight="false" outlineLevel="0" collapsed="false">
      <c r="A1323" s="84" t="n">
        <v>45700</v>
      </c>
      <c r="B1323" s="85" t="n">
        <v>0</v>
      </c>
    </row>
    <row r="1324" customFormat="false" ht="15" hidden="false" customHeight="false" outlineLevel="0" collapsed="false">
      <c r="A1324" s="84" t="n">
        <v>45701</v>
      </c>
      <c r="B1324" s="85" t="n">
        <v>0</v>
      </c>
    </row>
    <row r="1325" customFormat="false" ht="15" hidden="false" customHeight="false" outlineLevel="0" collapsed="false">
      <c r="A1325" s="84" t="n">
        <v>45702</v>
      </c>
      <c r="B1325" s="85" t="n">
        <v>1</v>
      </c>
    </row>
    <row r="1326" customFormat="false" ht="15" hidden="false" customHeight="false" outlineLevel="0" collapsed="false">
      <c r="A1326" s="84" t="n">
        <v>45703</v>
      </c>
      <c r="B1326" s="85" t="n">
        <v>0</v>
      </c>
    </row>
    <row r="1327" customFormat="false" ht="15" hidden="false" customHeight="false" outlineLevel="0" collapsed="false">
      <c r="A1327" s="84" t="n">
        <v>45704</v>
      </c>
      <c r="B1327" s="85" t="n">
        <v>0</v>
      </c>
    </row>
    <row r="1328" customFormat="false" ht="15" hidden="false" customHeight="false" outlineLevel="0" collapsed="false">
      <c r="A1328" s="84" t="n">
        <v>45705</v>
      </c>
      <c r="B1328" s="85" t="n">
        <v>0</v>
      </c>
    </row>
    <row r="1329" customFormat="false" ht="15" hidden="false" customHeight="false" outlineLevel="0" collapsed="false">
      <c r="A1329" s="84" t="n">
        <v>45706</v>
      </c>
      <c r="B1329" s="85" t="n">
        <v>0</v>
      </c>
    </row>
    <row r="1330" customFormat="false" ht="15" hidden="false" customHeight="false" outlineLevel="0" collapsed="false">
      <c r="A1330" s="84" t="n">
        <v>45707</v>
      </c>
      <c r="B1330" s="85" t="n">
        <v>0</v>
      </c>
    </row>
    <row r="1331" customFormat="false" ht="15" hidden="false" customHeight="false" outlineLevel="0" collapsed="false">
      <c r="A1331" s="84" t="n">
        <v>45708</v>
      </c>
      <c r="B1331" s="85" t="n">
        <v>0</v>
      </c>
    </row>
    <row r="1332" customFormat="false" ht="15" hidden="false" customHeight="false" outlineLevel="0" collapsed="false">
      <c r="A1332" s="84" t="n">
        <v>45709</v>
      </c>
      <c r="B1332" s="85" t="n">
        <v>0</v>
      </c>
    </row>
    <row r="1333" customFormat="false" ht="15" hidden="false" customHeight="false" outlineLevel="0" collapsed="false">
      <c r="A1333" s="84" t="n">
        <v>45710</v>
      </c>
      <c r="B1333" s="85" t="n">
        <v>0</v>
      </c>
    </row>
    <row r="1334" customFormat="false" ht="15" hidden="false" customHeight="false" outlineLevel="0" collapsed="false">
      <c r="A1334" s="84" t="n">
        <v>45711</v>
      </c>
      <c r="B1334" s="85" t="n">
        <v>0</v>
      </c>
    </row>
    <row r="1335" customFormat="false" ht="15" hidden="false" customHeight="false" outlineLevel="0" collapsed="false">
      <c r="A1335" s="84" t="n">
        <v>45712</v>
      </c>
      <c r="B1335" s="85" t="n">
        <v>0</v>
      </c>
    </row>
    <row r="1336" customFormat="false" ht="15" hidden="false" customHeight="false" outlineLevel="0" collapsed="false">
      <c r="A1336" s="84" t="n">
        <v>45713</v>
      </c>
      <c r="B1336" s="85" t="n">
        <v>0</v>
      </c>
    </row>
    <row r="1337" customFormat="false" ht="15" hidden="false" customHeight="false" outlineLevel="0" collapsed="false">
      <c r="A1337" s="84" t="n">
        <v>45714</v>
      </c>
      <c r="B1337" s="85" t="n">
        <v>0</v>
      </c>
    </row>
    <row r="1338" customFormat="false" ht="15" hidden="false" customHeight="false" outlineLevel="0" collapsed="false">
      <c r="A1338" s="84" t="n">
        <v>45715</v>
      </c>
      <c r="B1338" s="85" t="n">
        <v>0</v>
      </c>
    </row>
    <row r="1339" customFormat="false" ht="15" hidden="false" customHeight="false" outlineLevel="0" collapsed="false">
      <c r="A1339" s="84" t="n">
        <v>45716</v>
      </c>
      <c r="B1339" s="85" t="n">
        <v>0</v>
      </c>
    </row>
    <row r="1340" customFormat="false" ht="15" hidden="false" customHeight="false" outlineLevel="0" collapsed="false">
      <c r="A1340" s="84" t="n">
        <v>45717</v>
      </c>
      <c r="B1340" s="85" t="n">
        <v>0</v>
      </c>
    </row>
    <row r="1341" customFormat="false" ht="15" hidden="false" customHeight="false" outlineLevel="0" collapsed="false">
      <c r="A1341" s="84" t="n">
        <v>45718</v>
      </c>
      <c r="B1341" s="85" t="n">
        <v>0</v>
      </c>
    </row>
    <row r="1342" customFormat="false" ht="15" hidden="false" customHeight="false" outlineLevel="0" collapsed="false">
      <c r="A1342" s="84" t="n">
        <v>45719</v>
      </c>
      <c r="B1342" s="85" t="n">
        <v>0</v>
      </c>
    </row>
    <row r="1343" customFormat="false" ht="15" hidden="false" customHeight="false" outlineLevel="0" collapsed="false">
      <c r="A1343" s="84" t="n">
        <v>45720</v>
      </c>
      <c r="B1343" s="85" t="n">
        <v>0</v>
      </c>
    </row>
    <row r="1344" customFormat="false" ht="15" hidden="false" customHeight="false" outlineLevel="0" collapsed="false">
      <c r="A1344" s="84" t="n">
        <v>45721</v>
      </c>
      <c r="B1344" s="85" t="n">
        <v>0</v>
      </c>
    </row>
    <row r="1345" customFormat="false" ht="15" hidden="false" customHeight="false" outlineLevel="0" collapsed="false">
      <c r="A1345" s="84" t="n">
        <v>45722</v>
      </c>
      <c r="B1345" s="85" t="n">
        <v>0</v>
      </c>
    </row>
    <row r="1346" customFormat="false" ht="15" hidden="false" customHeight="false" outlineLevel="0" collapsed="false">
      <c r="A1346" s="84" t="n">
        <v>45723</v>
      </c>
      <c r="B1346" s="85" t="n">
        <v>0</v>
      </c>
    </row>
    <row r="1347" customFormat="false" ht="15" hidden="false" customHeight="false" outlineLevel="0" collapsed="false">
      <c r="A1347" s="84" t="n">
        <v>45724</v>
      </c>
      <c r="B1347" s="85" t="n">
        <v>0</v>
      </c>
    </row>
    <row r="1348" customFormat="false" ht="15" hidden="false" customHeight="false" outlineLevel="0" collapsed="false">
      <c r="A1348" s="84" t="n">
        <v>45725</v>
      </c>
      <c r="B1348" s="85" t="n">
        <v>1</v>
      </c>
    </row>
    <row r="1349" customFormat="false" ht="15" hidden="false" customHeight="false" outlineLevel="0" collapsed="false">
      <c r="A1349" s="84" t="n">
        <v>45726</v>
      </c>
      <c r="B1349" s="85" t="n">
        <v>2</v>
      </c>
    </row>
    <row r="1350" customFormat="false" ht="15" hidden="false" customHeight="false" outlineLevel="0" collapsed="false">
      <c r="A1350" s="84" t="n">
        <v>45727</v>
      </c>
      <c r="B1350" s="85" t="n">
        <v>0</v>
      </c>
    </row>
    <row r="1351" customFormat="false" ht="15" hidden="false" customHeight="false" outlineLevel="0" collapsed="false">
      <c r="A1351" s="84" t="n">
        <v>45728</v>
      </c>
      <c r="B1351" s="85" t="n">
        <v>0</v>
      </c>
    </row>
    <row r="1352" customFormat="false" ht="15" hidden="false" customHeight="false" outlineLevel="0" collapsed="false">
      <c r="A1352" s="84" t="n">
        <v>45729</v>
      </c>
      <c r="B1352" s="85" t="n">
        <v>1</v>
      </c>
    </row>
    <row r="1353" customFormat="false" ht="15" hidden="false" customHeight="false" outlineLevel="0" collapsed="false">
      <c r="A1353" s="84" t="n">
        <v>45730</v>
      </c>
      <c r="B1353" s="85" t="n">
        <v>1</v>
      </c>
    </row>
    <row r="1354" customFormat="false" ht="15" hidden="false" customHeight="false" outlineLevel="0" collapsed="false">
      <c r="A1354" s="84" t="n">
        <v>45731</v>
      </c>
      <c r="B1354" s="85" t="n">
        <v>0</v>
      </c>
    </row>
    <row r="1355" customFormat="false" ht="15" hidden="false" customHeight="false" outlineLevel="0" collapsed="false">
      <c r="A1355" s="84" t="n">
        <v>45732</v>
      </c>
      <c r="B1355" s="85" t="n">
        <v>0</v>
      </c>
    </row>
    <row r="1356" customFormat="false" ht="15" hidden="false" customHeight="false" outlineLevel="0" collapsed="false">
      <c r="A1356" s="84" t="n">
        <v>45733</v>
      </c>
      <c r="B1356" s="85" t="n">
        <v>0</v>
      </c>
    </row>
    <row r="1357" customFormat="false" ht="15" hidden="false" customHeight="false" outlineLevel="0" collapsed="false">
      <c r="A1357" s="84" t="n">
        <v>45734</v>
      </c>
      <c r="B1357" s="85" t="n">
        <v>0</v>
      </c>
    </row>
    <row r="1358" customFormat="false" ht="15" hidden="false" customHeight="false" outlineLevel="0" collapsed="false">
      <c r="A1358" s="84" t="n">
        <v>45735</v>
      </c>
      <c r="B1358" s="85" t="n">
        <v>0</v>
      </c>
    </row>
    <row r="1359" customFormat="false" ht="15" hidden="false" customHeight="false" outlineLevel="0" collapsed="false">
      <c r="A1359" s="84" t="n">
        <v>45736</v>
      </c>
      <c r="B1359" s="85" t="n">
        <v>1</v>
      </c>
    </row>
    <row r="1360" customFormat="false" ht="15" hidden="false" customHeight="false" outlineLevel="0" collapsed="false">
      <c r="A1360" s="84" t="n">
        <v>45737</v>
      </c>
      <c r="B1360" s="85" t="n">
        <v>0</v>
      </c>
    </row>
    <row r="1361" customFormat="false" ht="15" hidden="false" customHeight="false" outlineLevel="0" collapsed="false">
      <c r="A1361" s="84" t="n">
        <v>45738</v>
      </c>
      <c r="B1361" s="85" t="n">
        <v>0</v>
      </c>
    </row>
    <row r="1362" customFormat="false" ht="15" hidden="false" customHeight="false" outlineLevel="0" collapsed="false">
      <c r="A1362" s="84" t="n">
        <v>45739</v>
      </c>
      <c r="B1362" s="85" t="n">
        <v>2</v>
      </c>
    </row>
    <row r="1363" customFormat="false" ht="15" hidden="false" customHeight="false" outlineLevel="0" collapsed="false">
      <c r="A1363" s="84" t="n">
        <v>45740</v>
      </c>
      <c r="B1363" s="85" t="n">
        <v>2</v>
      </c>
    </row>
    <row r="1364" customFormat="false" ht="15" hidden="false" customHeight="false" outlineLevel="0" collapsed="false">
      <c r="A1364" s="84" t="n">
        <v>45741</v>
      </c>
      <c r="B1364" s="85" t="n">
        <v>0</v>
      </c>
    </row>
    <row r="1365" customFormat="false" ht="15" hidden="false" customHeight="false" outlineLevel="0" collapsed="false">
      <c r="A1365" s="84" t="n">
        <v>45742</v>
      </c>
      <c r="B1365" s="85" t="n">
        <v>0</v>
      </c>
    </row>
    <row r="1366" customFormat="false" ht="15" hidden="false" customHeight="false" outlineLevel="0" collapsed="false">
      <c r="A1366" s="84" t="n">
        <v>45743</v>
      </c>
      <c r="B1366" s="85" t="n">
        <v>0</v>
      </c>
    </row>
    <row r="1367" customFormat="false" ht="15" hidden="false" customHeight="false" outlineLevel="0" collapsed="false">
      <c r="A1367" s="84" t="n">
        <v>45744</v>
      </c>
      <c r="B1367" s="85" t="n">
        <v>0</v>
      </c>
    </row>
    <row r="1368" customFormat="false" ht="15" hidden="false" customHeight="false" outlineLevel="0" collapsed="false">
      <c r="A1368" s="84" t="n">
        <v>45745</v>
      </c>
      <c r="B1368" s="85" t="n">
        <v>0</v>
      </c>
    </row>
    <row r="1369" customFormat="false" ht="15" hidden="false" customHeight="false" outlineLevel="0" collapsed="false">
      <c r="A1369" s="84" t="n">
        <v>45746</v>
      </c>
      <c r="B1369" s="85" t="n">
        <v>0</v>
      </c>
    </row>
    <row r="1370" customFormat="false" ht="15" hidden="false" customHeight="false" outlineLevel="0" collapsed="false">
      <c r="A1370" s="84" t="n">
        <v>45747</v>
      </c>
      <c r="B1370" s="85" t="n">
        <v>0</v>
      </c>
    </row>
    <row r="1371" customFormat="false" ht="15" hidden="false" customHeight="false" outlineLevel="0" collapsed="false">
      <c r="A1371" s="84" t="n">
        <v>45748</v>
      </c>
      <c r="B1371" s="85" t="n">
        <v>0</v>
      </c>
    </row>
    <row r="1372" customFormat="false" ht="15" hidden="false" customHeight="false" outlineLevel="0" collapsed="false">
      <c r="A1372" s="84" t="n">
        <v>45749</v>
      </c>
      <c r="B1372" s="85" t="n">
        <v>0</v>
      </c>
    </row>
    <row r="1373" customFormat="false" ht="15" hidden="false" customHeight="false" outlineLevel="0" collapsed="false">
      <c r="A1373" s="84" t="n">
        <v>45750</v>
      </c>
      <c r="B1373" s="85" t="n">
        <v>0</v>
      </c>
    </row>
    <row r="1374" customFormat="false" ht="15" hidden="false" customHeight="false" outlineLevel="0" collapsed="false">
      <c r="A1374" s="84" t="n">
        <v>45751</v>
      </c>
      <c r="B1374" s="85" t="n">
        <v>1</v>
      </c>
    </row>
    <row r="1375" customFormat="false" ht="15" hidden="false" customHeight="false" outlineLevel="0" collapsed="false">
      <c r="A1375" s="84" t="n">
        <v>45752</v>
      </c>
      <c r="B1375" s="85" t="n">
        <v>0</v>
      </c>
    </row>
    <row r="1376" customFormat="false" ht="15" hidden="false" customHeight="false" outlineLevel="0" collapsed="false">
      <c r="A1376" s="84" t="n">
        <v>45753</v>
      </c>
      <c r="B1376" s="85" t="n">
        <v>0</v>
      </c>
    </row>
    <row r="1377" customFormat="false" ht="15" hidden="false" customHeight="false" outlineLevel="0" collapsed="false">
      <c r="A1377" s="84" t="n">
        <v>45754</v>
      </c>
      <c r="B1377" s="85" t="n">
        <v>0</v>
      </c>
    </row>
    <row r="1378" customFormat="false" ht="15" hidden="false" customHeight="false" outlineLevel="0" collapsed="false">
      <c r="A1378" s="84" t="n">
        <v>45755</v>
      </c>
      <c r="B1378" s="85" t="n">
        <v>0</v>
      </c>
    </row>
    <row r="1379" customFormat="false" ht="15" hidden="false" customHeight="false" outlineLevel="0" collapsed="false">
      <c r="A1379" s="84" t="n">
        <v>45756</v>
      </c>
      <c r="B1379" s="85" t="n">
        <v>0</v>
      </c>
    </row>
    <row r="1380" customFormat="false" ht="15" hidden="false" customHeight="false" outlineLevel="0" collapsed="false">
      <c r="A1380" s="84" t="n">
        <v>45757</v>
      </c>
      <c r="B1380" s="85" t="n">
        <v>0</v>
      </c>
    </row>
    <row r="1381" customFormat="false" ht="15" hidden="false" customHeight="false" outlineLevel="0" collapsed="false">
      <c r="A1381" s="84" t="n">
        <v>45758</v>
      </c>
      <c r="B1381" s="85" t="n">
        <v>0</v>
      </c>
    </row>
    <row r="1382" customFormat="false" ht="15" hidden="false" customHeight="false" outlineLevel="0" collapsed="false">
      <c r="A1382" s="84" t="n">
        <v>45759</v>
      </c>
      <c r="B1382" s="85" t="n">
        <v>0</v>
      </c>
    </row>
    <row r="1383" customFormat="false" ht="15" hidden="false" customHeight="false" outlineLevel="0" collapsed="false">
      <c r="A1383" s="84" t="n">
        <v>45760</v>
      </c>
      <c r="B1383" s="85" t="n">
        <v>0</v>
      </c>
    </row>
    <row r="1384" customFormat="false" ht="15" hidden="false" customHeight="false" outlineLevel="0" collapsed="false">
      <c r="A1384" s="84" t="n">
        <v>45761</v>
      </c>
      <c r="B1384" s="85" t="n">
        <v>0</v>
      </c>
    </row>
    <row r="1385" customFormat="false" ht="15" hidden="false" customHeight="false" outlineLevel="0" collapsed="false">
      <c r="A1385" s="84" t="n">
        <v>45762</v>
      </c>
      <c r="B1385" s="85" t="n">
        <v>0</v>
      </c>
    </row>
    <row r="1386" customFormat="false" ht="15" hidden="false" customHeight="false" outlineLevel="0" collapsed="false">
      <c r="A1386" s="84" t="n">
        <v>45763</v>
      </c>
      <c r="B1386" s="85" t="n">
        <v>0</v>
      </c>
    </row>
    <row r="1387" customFormat="false" ht="15" hidden="false" customHeight="false" outlineLevel="0" collapsed="false">
      <c r="A1387" s="84" t="n">
        <v>45764</v>
      </c>
      <c r="B1387" s="85" t="n">
        <v>0</v>
      </c>
    </row>
    <row r="1388" customFormat="false" ht="15" hidden="false" customHeight="false" outlineLevel="0" collapsed="false">
      <c r="A1388" s="84" t="n">
        <v>45765</v>
      </c>
      <c r="B1388" s="85" t="n">
        <v>0</v>
      </c>
    </row>
    <row r="1389" customFormat="false" ht="15" hidden="false" customHeight="false" outlineLevel="0" collapsed="false">
      <c r="A1389" s="84" t="n">
        <v>45766</v>
      </c>
      <c r="B1389" s="85" t="n">
        <v>0</v>
      </c>
    </row>
    <row r="1390" customFormat="false" ht="15" hidden="false" customHeight="false" outlineLevel="0" collapsed="false">
      <c r="A1390" s="84" t="n">
        <v>45767</v>
      </c>
      <c r="B1390" s="85" t="n">
        <v>0</v>
      </c>
    </row>
    <row r="1391" customFormat="false" ht="15" hidden="false" customHeight="false" outlineLevel="0" collapsed="false">
      <c r="A1391" s="84" t="n">
        <v>45768</v>
      </c>
      <c r="B1391" s="85" t="n">
        <v>0</v>
      </c>
    </row>
    <row r="1392" customFormat="false" ht="15" hidden="false" customHeight="false" outlineLevel="0" collapsed="false">
      <c r="A1392" s="84" t="n">
        <v>45769</v>
      </c>
      <c r="B1392" s="85" t="n">
        <v>0</v>
      </c>
    </row>
    <row r="1393" customFormat="false" ht="15" hidden="false" customHeight="false" outlineLevel="0" collapsed="false">
      <c r="A1393" s="84" t="n">
        <v>45770</v>
      </c>
      <c r="B1393" s="85" t="n">
        <v>1</v>
      </c>
    </row>
    <row r="1394" customFormat="false" ht="15" hidden="false" customHeight="false" outlineLevel="0" collapsed="false">
      <c r="A1394" s="84" t="n">
        <v>45771</v>
      </c>
      <c r="B1394" s="85" t="n">
        <v>0</v>
      </c>
    </row>
    <row r="1395" customFormat="false" ht="15" hidden="false" customHeight="false" outlineLevel="0" collapsed="false">
      <c r="A1395" s="84" t="n">
        <v>45772</v>
      </c>
      <c r="B1395" s="85" t="n">
        <v>0</v>
      </c>
    </row>
    <row r="1396" customFormat="false" ht="15" hidden="false" customHeight="false" outlineLevel="0" collapsed="false">
      <c r="A1396" s="84" t="n">
        <v>45773</v>
      </c>
      <c r="B1396" s="85" t="n">
        <v>0</v>
      </c>
    </row>
    <row r="1397" customFormat="false" ht="15" hidden="false" customHeight="false" outlineLevel="0" collapsed="false">
      <c r="A1397" s="84" t="n">
        <v>45774</v>
      </c>
      <c r="B1397" s="85" t="n">
        <v>0</v>
      </c>
    </row>
    <row r="1398" customFormat="false" ht="15" hidden="false" customHeight="false" outlineLevel="0" collapsed="false">
      <c r="A1398" s="84" t="n">
        <v>45775</v>
      </c>
      <c r="B1398" s="85" t="n">
        <v>0</v>
      </c>
    </row>
    <row r="1399" customFormat="false" ht="15" hidden="false" customHeight="false" outlineLevel="0" collapsed="false">
      <c r="A1399" s="84" t="n">
        <v>45776</v>
      </c>
      <c r="B1399" s="85" t="n">
        <v>0</v>
      </c>
    </row>
    <row r="1400" customFormat="false" ht="15" hidden="false" customHeight="false" outlineLevel="0" collapsed="false">
      <c r="A1400" s="84" t="n">
        <v>45777</v>
      </c>
      <c r="B1400" s="85" t="n">
        <v>0</v>
      </c>
    </row>
    <row r="1401" customFormat="false" ht="15" hidden="false" customHeight="false" outlineLevel="0" collapsed="false">
      <c r="A1401" s="84" t="n">
        <v>45778</v>
      </c>
      <c r="B1401" s="85" t="n">
        <v>0</v>
      </c>
    </row>
    <row r="1402" customFormat="false" ht="15" hidden="false" customHeight="false" outlineLevel="0" collapsed="false">
      <c r="A1402" s="84" t="n">
        <v>45779</v>
      </c>
      <c r="B1402" s="85" t="n">
        <v>0</v>
      </c>
    </row>
    <row r="1403" customFormat="false" ht="15" hidden="false" customHeight="false" outlineLevel="0" collapsed="false">
      <c r="A1403" s="84" t="n">
        <v>45780</v>
      </c>
      <c r="B1403" s="85" t="n">
        <v>0</v>
      </c>
    </row>
    <row r="1404" customFormat="false" ht="15" hidden="false" customHeight="false" outlineLevel="0" collapsed="false">
      <c r="A1404" s="84" t="n">
        <v>45781</v>
      </c>
      <c r="B1404" s="85" t="n">
        <v>0</v>
      </c>
    </row>
    <row r="1405" customFormat="false" ht="15" hidden="false" customHeight="false" outlineLevel="0" collapsed="false">
      <c r="A1405" s="84" t="n">
        <v>45782</v>
      </c>
      <c r="B1405" s="85" t="n">
        <v>0</v>
      </c>
    </row>
    <row r="1406" customFormat="false" ht="15" hidden="false" customHeight="false" outlineLevel="0" collapsed="false">
      <c r="A1406" s="84" t="n">
        <v>45783</v>
      </c>
      <c r="B1406" s="85" t="n">
        <v>0</v>
      </c>
    </row>
    <row r="1407" customFormat="false" ht="15" hidden="false" customHeight="false" outlineLevel="0" collapsed="false">
      <c r="A1407" s="84" t="n">
        <v>45784</v>
      </c>
      <c r="B1407" s="85" t="n">
        <v>0</v>
      </c>
    </row>
    <row r="1408" customFormat="false" ht="15" hidden="false" customHeight="false" outlineLevel="0" collapsed="false">
      <c r="A1408" s="84" t="n">
        <v>45785</v>
      </c>
      <c r="B1408" s="85" t="n">
        <v>0</v>
      </c>
    </row>
    <row r="1409" customFormat="false" ht="15" hidden="false" customHeight="false" outlineLevel="0" collapsed="false">
      <c r="A1409" s="84" t="n">
        <v>45786</v>
      </c>
      <c r="B1409" s="85" t="n">
        <v>0</v>
      </c>
    </row>
    <row r="1410" customFormat="false" ht="15" hidden="false" customHeight="false" outlineLevel="0" collapsed="false">
      <c r="A1410" s="84" t="n">
        <v>45787</v>
      </c>
      <c r="B1410" s="85" t="n">
        <v>0</v>
      </c>
    </row>
    <row r="1411" customFormat="false" ht="15" hidden="false" customHeight="false" outlineLevel="0" collapsed="false">
      <c r="A1411" s="84" t="n">
        <v>45788</v>
      </c>
      <c r="B1411" s="85" t="n">
        <v>0</v>
      </c>
    </row>
    <row r="1412" customFormat="false" ht="15" hidden="false" customHeight="false" outlineLevel="0" collapsed="false">
      <c r="A1412" s="84" t="n">
        <v>45789</v>
      </c>
      <c r="B1412" s="85" t="n">
        <v>0</v>
      </c>
    </row>
    <row r="1413" customFormat="false" ht="15" hidden="false" customHeight="false" outlineLevel="0" collapsed="false">
      <c r="A1413" s="84" t="n">
        <v>45790</v>
      </c>
      <c r="B1413" s="85" t="n">
        <v>0</v>
      </c>
    </row>
    <row r="1414" customFormat="false" ht="15" hidden="false" customHeight="false" outlineLevel="0" collapsed="false">
      <c r="A1414" s="84" t="n">
        <v>45791</v>
      </c>
      <c r="B1414" s="85" t="n">
        <v>0</v>
      </c>
    </row>
    <row r="1415" customFormat="false" ht="15" hidden="false" customHeight="false" outlineLevel="0" collapsed="false">
      <c r="A1415" s="84" t="n">
        <v>45792</v>
      </c>
      <c r="B1415" s="85" t="n">
        <v>0</v>
      </c>
    </row>
    <row r="1416" customFormat="false" ht="15" hidden="false" customHeight="false" outlineLevel="0" collapsed="false">
      <c r="A1416" s="84" t="n">
        <v>45793</v>
      </c>
      <c r="B1416" s="85" t="n">
        <v>2</v>
      </c>
    </row>
    <row r="1417" customFormat="false" ht="15" hidden="false" customHeight="false" outlineLevel="0" collapsed="false">
      <c r="A1417" s="84" t="n">
        <v>45794</v>
      </c>
      <c r="B1417" s="85" t="n">
        <v>0</v>
      </c>
    </row>
    <row r="1418" customFormat="false" ht="15" hidden="false" customHeight="false" outlineLevel="0" collapsed="false">
      <c r="A1418" s="84" t="n">
        <v>45795</v>
      </c>
      <c r="B1418" s="85" t="n">
        <v>0</v>
      </c>
    </row>
    <row r="1419" customFormat="false" ht="15" hidden="false" customHeight="false" outlineLevel="0" collapsed="false">
      <c r="A1419" s="84" t="n">
        <v>45796</v>
      </c>
      <c r="B1419" s="85" t="n">
        <v>0</v>
      </c>
    </row>
    <row r="1420" customFormat="false" ht="15" hidden="false" customHeight="false" outlineLevel="0" collapsed="false">
      <c r="A1420" s="84" t="n">
        <v>45797</v>
      </c>
      <c r="B1420" s="85" t="n">
        <v>0</v>
      </c>
    </row>
    <row r="1421" customFormat="false" ht="15" hidden="false" customHeight="false" outlineLevel="0" collapsed="false">
      <c r="A1421" s="84" t="n">
        <v>45798</v>
      </c>
      <c r="B1421" s="85" t="n">
        <v>0</v>
      </c>
    </row>
    <row r="1422" customFormat="false" ht="15" hidden="false" customHeight="false" outlineLevel="0" collapsed="false">
      <c r="A1422" s="84" t="n">
        <v>45799</v>
      </c>
      <c r="B1422" s="85" t="n">
        <v>0</v>
      </c>
    </row>
    <row r="1423" customFormat="false" ht="15" hidden="false" customHeight="false" outlineLevel="0" collapsed="false">
      <c r="A1423" s="84" t="n">
        <v>45800</v>
      </c>
      <c r="B1423" s="85" t="n">
        <v>0</v>
      </c>
    </row>
    <row r="1424" customFormat="false" ht="15" hidden="false" customHeight="false" outlineLevel="0" collapsed="false">
      <c r="A1424" s="84" t="n">
        <v>45801</v>
      </c>
      <c r="B1424" s="85" t="n">
        <v>0</v>
      </c>
    </row>
    <row r="1425" customFormat="false" ht="15" hidden="false" customHeight="false" outlineLevel="0" collapsed="false">
      <c r="A1425" s="84" t="n">
        <v>45802</v>
      </c>
      <c r="B1425" s="85" t="n">
        <v>0</v>
      </c>
    </row>
    <row r="1426" customFormat="false" ht="15" hidden="false" customHeight="false" outlineLevel="0" collapsed="false">
      <c r="A1426" s="84" t="n">
        <v>45803</v>
      </c>
      <c r="B1426" s="85" t="n">
        <v>0</v>
      </c>
    </row>
    <row r="1427" customFormat="false" ht="15" hidden="false" customHeight="false" outlineLevel="0" collapsed="false">
      <c r="A1427" s="84" t="n">
        <v>45804</v>
      </c>
      <c r="B1427" s="85" t="n">
        <v>0</v>
      </c>
    </row>
    <row r="1428" customFormat="false" ht="15" hidden="false" customHeight="false" outlineLevel="0" collapsed="false">
      <c r="A1428" s="84" t="n">
        <v>45805</v>
      </c>
      <c r="B1428" s="85" t="n">
        <v>0</v>
      </c>
    </row>
    <row r="1429" customFormat="false" ht="15" hidden="false" customHeight="false" outlineLevel="0" collapsed="false">
      <c r="A1429" s="84" t="n">
        <v>45806</v>
      </c>
      <c r="B1429" s="85" t="n">
        <v>0</v>
      </c>
    </row>
    <row r="1430" customFormat="false" ht="15" hidden="false" customHeight="false" outlineLevel="0" collapsed="false">
      <c r="A1430" s="84" t="n">
        <v>45807</v>
      </c>
      <c r="B1430" s="85" t="n">
        <v>0</v>
      </c>
    </row>
    <row r="1431" customFormat="false" ht="15" hidden="false" customHeight="false" outlineLevel="0" collapsed="false">
      <c r="A1431" s="84" t="n">
        <v>45808</v>
      </c>
      <c r="B1431" s="85" t="n">
        <v>0</v>
      </c>
    </row>
    <row r="1432" customFormat="false" ht="15" hidden="false" customHeight="false" outlineLevel="0" collapsed="false">
      <c r="A1432" s="84" t="n">
        <v>45809</v>
      </c>
      <c r="B1432" s="85" t="n">
        <v>0</v>
      </c>
    </row>
    <row r="1433" customFormat="false" ht="15" hidden="false" customHeight="false" outlineLevel="0" collapsed="false">
      <c r="A1433" s="84" t="n">
        <v>45810</v>
      </c>
      <c r="B1433" s="85" t="n">
        <v>0</v>
      </c>
    </row>
    <row r="1434" customFormat="false" ht="15" hidden="false" customHeight="false" outlineLevel="0" collapsed="false">
      <c r="A1434" s="84" t="n">
        <v>45811</v>
      </c>
      <c r="B1434" s="85" t="n">
        <v>0</v>
      </c>
    </row>
    <row r="1435" customFormat="false" ht="15" hidden="false" customHeight="false" outlineLevel="0" collapsed="false">
      <c r="A1435" s="84" t="n">
        <v>45812</v>
      </c>
      <c r="B1435" s="85" t="n">
        <v>0</v>
      </c>
    </row>
    <row r="1436" customFormat="false" ht="15" hidden="false" customHeight="false" outlineLevel="0" collapsed="false">
      <c r="A1436" s="84" t="n">
        <v>45813</v>
      </c>
      <c r="B1436" s="85" t="n">
        <v>0</v>
      </c>
    </row>
    <row r="1437" customFormat="false" ht="15" hidden="false" customHeight="false" outlineLevel="0" collapsed="false">
      <c r="A1437" s="84" t="n">
        <v>45814</v>
      </c>
      <c r="B1437" s="85" t="n">
        <v>0</v>
      </c>
    </row>
    <row r="1438" customFormat="false" ht="15" hidden="false" customHeight="false" outlineLevel="0" collapsed="false">
      <c r="A1438" s="84" t="n">
        <v>45815</v>
      </c>
      <c r="B1438" s="85" t="n">
        <v>0</v>
      </c>
    </row>
    <row r="1439" customFormat="false" ht="15" hidden="false" customHeight="false" outlineLevel="0" collapsed="false">
      <c r="A1439" s="84" t="n">
        <v>45816</v>
      </c>
      <c r="B1439" s="85" t="n">
        <v>0</v>
      </c>
    </row>
    <row r="1440" customFormat="false" ht="15" hidden="false" customHeight="false" outlineLevel="0" collapsed="false">
      <c r="A1440" s="84" t="n">
        <v>45817</v>
      </c>
      <c r="B1440" s="85" t="n">
        <v>0</v>
      </c>
    </row>
    <row r="1441" customFormat="false" ht="15" hidden="false" customHeight="false" outlineLevel="0" collapsed="false">
      <c r="A1441" s="84" t="n">
        <v>45818</v>
      </c>
      <c r="B1441" s="85" t="n">
        <v>0</v>
      </c>
    </row>
    <row r="1442" customFormat="false" ht="15" hidden="false" customHeight="false" outlineLevel="0" collapsed="false">
      <c r="A1442" s="84" t="n">
        <v>45819</v>
      </c>
      <c r="B1442" s="85" t="n">
        <v>0</v>
      </c>
    </row>
    <row r="1443" customFormat="false" ht="15" hidden="false" customHeight="false" outlineLevel="0" collapsed="false">
      <c r="A1443" s="84" t="n">
        <v>45820</v>
      </c>
      <c r="B1443" s="85" t="n">
        <v>0</v>
      </c>
    </row>
    <row r="1444" customFormat="false" ht="15" hidden="false" customHeight="false" outlineLevel="0" collapsed="false">
      <c r="A1444" s="84" t="n">
        <v>45821</v>
      </c>
      <c r="B1444" s="85" t="n">
        <v>0</v>
      </c>
    </row>
    <row r="1445" customFormat="false" ht="15" hidden="false" customHeight="false" outlineLevel="0" collapsed="false">
      <c r="A1445" s="84" t="n">
        <v>45822</v>
      </c>
      <c r="B1445" s="85" t="n">
        <v>0</v>
      </c>
    </row>
    <row r="1446" customFormat="false" ht="15" hidden="false" customHeight="false" outlineLevel="0" collapsed="false">
      <c r="A1446" s="84" t="n">
        <v>45823</v>
      </c>
      <c r="B1446" s="85" t="n">
        <v>0</v>
      </c>
    </row>
    <row r="1447" customFormat="false" ht="15" hidden="false" customHeight="false" outlineLevel="0" collapsed="false">
      <c r="A1447" s="84" t="n">
        <v>45824</v>
      </c>
      <c r="B1447" s="85" t="n">
        <v>0</v>
      </c>
    </row>
    <row r="1448" customFormat="false" ht="15" hidden="false" customHeight="false" outlineLevel="0" collapsed="false">
      <c r="A1448" s="84" t="n">
        <v>45825</v>
      </c>
      <c r="B1448" s="85" t="n">
        <v>0</v>
      </c>
    </row>
    <row r="1449" customFormat="false" ht="15" hidden="false" customHeight="false" outlineLevel="0" collapsed="false">
      <c r="A1449" s="84" t="n">
        <v>45826</v>
      </c>
      <c r="B1449" s="85" t="n">
        <v>0</v>
      </c>
    </row>
    <row r="1450" customFormat="false" ht="15" hidden="false" customHeight="false" outlineLevel="0" collapsed="false">
      <c r="A1450" s="84" t="n">
        <v>45827</v>
      </c>
      <c r="B1450" s="85" t="n">
        <v>0</v>
      </c>
    </row>
    <row r="1451" customFormat="false" ht="15" hidden="false" customHeight="false" outlineLevel="0" collapsed="false">
      <c r="A1451" s="84" t="n">
        <v>45828</v>
      </c>
      <c r="B1451" s="85" t="n">
        <v>1</v>
      </c>
    </row>
    <row r="1452" customFormat="false" ht="15" hidden="false" customHeight="false" outlineLevel="0" collapsed="false">
      <c r="A1452" s="84" t="n">
        <v>45829</v>
      </c>
      <c r="B1452" s="85" t="n">
        <v>0</v>
      </c>
    </row>
    <row r="1453" customFormat="false" ht="15" hidden="false" customHeight="false" outlineLevel="0" collapsed="false">
      <c r="A1453" s="84" t="n">
        <v>45830</v>
      </c>
      <c r="B1453" s="85" t="n">
        <v>0</v>
      </c>
    </row>
    <row r="1454" customFormat="false" ht="15" hidden="false" customHeight="false" outlineLevel="0" collapsed="false">
      <c r="A1454" s="84" t="n">
        <v>45831</v>
      </c>
      <c r="B1454" s="85" t="n">
        <v>0</v>
      </c>
    </row>
    <row r="1455" customFormat="false" ht="15" hidden="false" customHeight="false" outlineLevel="0" collapsed="false">
      <c r="A1455" s="84" t="n">
        <v>45832</v>
      </c>
      <c r="B1455" s="85" t="n">
        <v>1</v>
      </c>
    </row>
    <row r="1456" customFormat="false" ht="15" hidden="false" customHeight="false" outlineLevel="0" collapsed="false">
      <c r="A1456" s="84" t="n">
        <v>45833</v>
      </c>
      <c r="B1456" s="85" t="n">
        <v>1</v>
      </c>
    </row>
    <row r="1457" customFormat="false" ht="15" hidden="false" customHeight="false" outlineLevel="0" collapsed="false">
      <c r="A1457" s="84" t="n">
        <v>45834</v>
      </c>
      <c r="B1457" s="85" t="n">
        <v>0</v>
      </c>
    </row>
    <row r="1458" customFormat="false" ht="15" hidden="false" customHeight="false" outlineLevel="0" collapsed="false">
      <c r="A1458" s="84" t="n">
        <v>45835</v>
      </c>
      <c r="B1458" s="85" t="n">
        <v>0</v>
      </c>
    </row>
    <row r="1459" customFormat="false" ht="15" hidden="false" customHeight="false" outlineLevel="0" collapsed="false">
      <c r="A1459" s="84" t="n">
        <v>45836</v>
      </c>
      <c r="B1459" s="85" t="n">
        <v>0</v>
      </c>
    </row>
    <row r="1460" customFormat="false" ht="15" hidden="false" customHeight="false" outlineLevel="0" collapsed="false">
      <c r="A1460" s="84" t="n">
        <v>45837</v>
      </c>
      <c r="B1460" s="85" t="n">
        <v>0</v>
      </c>
    </row>
    <row r="1461" customFormat="false" ht="15" hidden="false" customHeight="false" outlineLevel="0" collapsed="false">
      <c r="A1461" s="84" t="n">
        <v>45838</v>
      </c>
      <c r="B1461" s="85" t="n">
        <v>0</v>
      </c>
    </row>
    <row r="1462" customFormat="false" ht="15" hidden="false" customHeight="false" outlineLevel="0" collapsed="false">
      <c r="A1462" s="84" t="n">
        <v>45839</v>
      </c>
      <c r="B1462" s="85" t="n">
        <v>0</v>
      </c>
    </row>
    <row r="1463" customFormat="false" ht="15" hidden="false" customHeight="false" outlineLevel="0" collapsed="false">
      <c r="A1463" s="84" t="n">
        <v>45840</v>
      </c>
      <c r="B1463" s="85" t="n">
        <v>0</v>
      </c>
    </row>
    <row r="1464" customFormat="false" ht="15" hidden="false" customHeight="false" outlineLevel="0" collapsed="false">
      <c r="A1464" s="84" t="n">
        <v>45841</v>
      </c>
      <c r="B1464" s="85" t="n">
        <v>0</v>
      </c>
    </row>
    <row r="1465" customFormat="false" ht="15" hidden="false" customHeight="false" outlineLevel="0" collapsed="false">
      <c r="A1465" s="84" t="n">
        <v>45842</v>
      </c>
      <c r="B1465" s="85" t="n">
        <v>0</v>
      </c>
    </row>
    <row r="1466" customFormat="false" ht="15" hidden="false" customHeight="false" outlineLevel="0" collapsed="false">
      <c r="A1466" s="84" t="n">
        <v>45843</v>
      </c>
      <c r="B1466" s="85" t="n">
        <v>0</v>
      </c>
    </row>
    <row r="1467" customFormat="false" ht="15" hidden="false" customHeight="false" outlineLevel="0" collapsed="false">
      <c r="A1467" s="84" t="n">
        <v>45844</v>
      </c>
      <c r="B1467" s="85" t="n">
        <v>0</v>
      </c>
    </row>
    <row r="1468" customFormat="false" ht="15" hidden="false" customHeight="false" outlineLevel="0" collapsed="false">
      <c r="A1468" s="84" t="n">
        <v>45845</v>
      </c>
      <c r="B1468" s="85" t="n">
        <v>0</v>
      </c>
    </row>
    <row r="1469" customFormat="false" ht="15" hidden="false" customHeight="false" outlineLevel="0" collapsed="false">
      <c r="A1469" s="84" t="n">
        <v>45846</v>
      </c>
      <c r="B1469" s="85" t="n">
        <v>0</v>
      </c>
    </row>
    <row r="1470" customFormat="false" ht="15" hidden="false" customHeight="false" outlineLevel="0" collapsed="false">
      <c r="A1470" s="84" t="n">
        <v>45847</v>
      </c>
      <c r="B1470" s="85" t="n">
        <v>0</v>
      </c>
    </row>
    <row r="1471" customFormat="false" ht="15" hidden="false" customHeight="false" outlineLevel="0" collapsed="false">
      <c r="A1471" s="84" t="n">
        <v>45848</v>
      </c>
      <c r="B1471" s="85" t="n">
        <v>0</v>
      </c>
    </row>
    <row r="1472" customFormat="false" ht="15" hidden="false" customHeight="false" outlineLevel="0" collapsed="false">
      <c r="A1472" s="84" t="n">
        <v>45849</v>
      </c>
      <c r="B1472" s="85" t="n">
        <v>0</v>
      </c>
    </row>
    <row r="1473" customFormat="false" ht="15" hidden="false" customHeight="false" outlineLevel="0" collapsed="false">
      <c r="A1473" s="84" t="n">
        <v>45850</v>
      </c>
      <c r="B1473" s="85" t="n">
        <v>2</v>
      </c>
    </row>
    <row r="1474" customFormat="false" ht="15" hidden="false" customHeight="false" outlineLevel="0" collapsed="false">
      <c r="A1474" s="84" t="n">
        <v>45851</v>
      </c>
      <c r="B1474" s="85" t="n">
        <v>0</v>
      </c>
    </row>
    <row r="1475" customFormat="false" ht="15" hidden="false" customHeight="false" outlineLevel="0" collapsed="false">
      <c r="A1475" s="84" t="n">
        <v>45852</v>
      </c>
      <c r="B1475" s="85" t="n">
        <v>0</v>
      </c>
    </row>
    <row r="1476" customFormat="false" ht="15" hidden="false" customHeight="false" outlineLevel="0" collapsed="false">
      <c r="A1476" s="84" t="n">
        <v>45853</v>
      </c>
      <c r="B1476" s="85" t="n">
        <v>1</v>
      </c>
    </row>
    <row r="1477" customFormat="false" ht="15" hidden="false" customHeight="false" outlineLevel="0" collapsed="false">
      <c r="A1477" s="84" t="n">
        <v>45854</v>
      </c>
      <c r="B1477" s="85" t="n">
        <v>0</v>
      </c>
    </row>
    <row r="1478" customFormat="false" ht="15" hidden="false" customHeight="false" outlineLevel="0" collapsed="false">
      <c r="A1478" s="84" t="n">
        <v>45855</v>
      </c>
      <c r="B1478" s="85" t="n">
        <v>0</v>
      </c>
    </row>
    <row r="1479" customFormat="false" ht="15" hidden="false" customHeight="false" outlineLevel="0" collapsed="false">
      <c r="A1479" s="84" t="n">
        <v>45856</v>
      </c>
      <c r="B1479" s="85" t="n">
        <v>0</v>
      </c>
    </row>
    <row r="1480" customFormat="false" ht="15" hidden="false" customHeight="false" outlineLevel="0" collapsed="false">
      <c r="A1480" s="84" t="n">
        <v>45857</v>
      </c>
      <c r="B1480" s="85" t="n">
        <v>0</v>
      </c>
    </row>
    <row r="1481" customFormat="false" ht="15" hidden="false" customHeight="false" outlineLevel="0" collapsed="false">
      <c r="A1481" s="84" t="n">
        <v>45858</v>
      </c>
      <c r="B1481" s="85" t="n">
        <v>0</v>
      </c>
    </row>
    <row r="1482" customFormat="false" ht="15" hidden="false" customHeight="false" outlineLevel="0" collapsed="false">
      <c r="A1482" s="84" t="n">
        <v>45859</v>
      </c>
      <c r="B1482" s="85" t="n">
        <v>0</v>
      </c>
    </row>
    <row r="1483" customFormat="false" ht="15" hidden="false" customHeight="false" outlineLevel="0" collapsed="false">
      <c r="A1483" s="84" t="n">
        <v>45860</v>
      </c>
      <c r="B1483" s="85" t="n">
        <v>3</v>
      </c>
    </row>
    <row r="1484" customFormat="false" ht="15" hidden="false" customHeight="false" outlineLevel="0" collapsed="false">
      <c r="A1484" s="84" t="n">
        <v>45861</v>
      </c>
      <c r="B1484" s="85" t="n">
        <v>0</v>
      </c>
    </row>
    <row r="1485" customFormat="false" ht="15" hidden="false" customHeight="false" outlineLevel="0" collapsed="false">
      <c r="A1485" s="84" t="n">
        <v>45862</v>
      </c>
      <c r="B1485" s="85" t="n">
        <v>0</v>
      </c>
    </row>
    <row r="1486" customFormat="false" ht="15" hidden="false" customHeight="false" outlineLevel="0" collapsed="false">
      <c r="A1486" s="84" t="n">
        <v>45863</v>
      </c>
      <c r="B1486" s="85" t="n">
        <v>0</v>
      </c>
    </row>
    <row r="1487" customFormat="false" ht="15" hidden="false" customHeight="false" outlineLevel="0" collapsed="false">
      <c r="A1487" s="84" t="n">
        <v>45864</v>
      </c>
      <c r="B1487" s="85" t="n">
        <v>0</v>
      </c>
    </row>
    <row r="1488" customFormat="false" ht="15" hidden="false" customHeight="false" outlineLevel="0" collapsed="false">
      <c r="A1488" s="84" t="n">
        <v>45865</v>
      </c>
      <c r="B1488" s="85" t="n">
        <v>1</v>
      </c>
    </row>
    <row r="1489" customFormat="false" ht="15" hidden="false" customHeight="false" outlineLevel="0" collapsed="false">
      <c r="A1489" s="84" t="n">
        <v>45866</v>
      </c>
      <c r="B1489" s="85" t="n">
        <v>0</v>
      </c>
    </row>
    <row r="1490" customFormat="false" ht="15" hidden="false" customHeight="false" outlineLevel="0" collapsed="false">
      <c r="A1490" s="84" t="n">
        <v>45867</v>
      </c>
      <c r="B1490" s="85" t="n">
        <v>0</v>
      </c>
    </row>
    <row r="1491" customFormat="false" ht="15" hidden="false" customHeight="false" outlineLevel="0" collapsed="false">
      <c r="A1491" s="84" t="n">
        <v>45868</v>
      </c>
      <c r="B1491" s="85" t="n">
        <v>0</v>
      </c>
    </row>
    <row r="1492" customFormat="false" ht="15" hidden="false" customHeight="false" outlineLevel="0" collapsed="false">
      <c r="A1492" s="84" t="n">
        <v>45869</v>
      </c>
      <c r="B1492" s="85" t="n">
        <v>0</v>
      </c>
    </row>
    <row r="1493" customFormat="false" ht="15" hidden="false" customHeight="false" outlineLevel="0" collapsed="false">
      <c r="A1493" s="84" t="n">
        <v>45870</v>
      </c>
      <c r="B1493" s="85" t="n">
        <v>0</v>
      </c>
    </row>
    <row r="1494" customFormat="false" ht="15" hidden="false" customHeight="false" outlineLevel="0" collapsed="false">
      <c r="A1494" s="84" t="n">
        <v>45871</v>
      </c>
      <c r="B1494" s="85" t="n">
        <v>0</v>
      </c>
    </row>
    <row r="1495" customFormat="false" ht="15" hidden="false" customHeight="false" outlineLevel="0" collapsed="false">
      <c r="A1495" s="84" t="n">
        <v>45872</v>
      </c>
      <c r="B1495" s="85" t="n">
        <v>0</v>
      </c>
    </row>
    <row r="1496" customFormat="false" ht="15" hidden="false" customHeight="false" outlineLevel="0" collapsed="false">
      <c r="A1496" s="84" t="n">
        <v>45873</v>
      </c>
      <c r="B1496" s="85" t="n">
        <v>0</v>
      </c>
    </row>
    <row r="1497" customFormat="false" ht="15" hidden="false" customHeight="false" outlineLevel="0" collapsed="false">
      <c r="A1497" s="84" t="n">
        <v>45874</v>
      </c>
      <c r="B1497" s="85" t="n">
        <v>0</v>
      </c>
    </row>
    <row r="1498" customFormat="false" ht="15" hidden="false" customHeight="false" outlineLevel="0" collapsed="false">
      <c r="A1498" s="84" t="n">
        <v>45875</v>
      </c>
      <c r="B1498" s="85" t="n">
        <v>0</v>
      </c>
    </row>
    <row r="1499" customFormat="false" ht="15" hidden="false" customHeight="false" outlineLevel="0" collapsed="false">
      <c r="A1499" s="84" t="n">
        <v>45876</v>
      </c>
      <c r="B1499" s="85" t="n">
        <v>0</v>
      </c>
    </row>
    <row r="1500" customFormat="false" ht="15" hidden="false" customHeight="false" outlineLevel="0" collapsed="false">
      <c r="A1500" s="84" t="n">
        <v>45877</v>
      </c>
      <c r="B1500" s="85" t="n">
        <v>0</v>
      </c>
    </row>
    <row r="1501" customFormat="false" ht="15" hidden="false" customHeight="false" outlineLevel="0" collapsed="false">
      <c r="A1501" s="84" t="n">
        <v>45878</v>
      </c>
      <c r="B1501" s="85" t="n">
        <v>0</v>
      </c>
    </row>
    <row r="1502" customFormat="false" ht="15" hidden="false" customHeight="false" outlineLevel="0" collapsed="false">
      <c r="A1502" s="84" t="n">
        <v>45879</v>
      </c>
      <c r="B1502" s="85" t="n">
        <v>0</v>
      </c>
    </row>
    <row r="1503" customFormat="false" ht="15" hidden="false" customHeight="false" outlineLevel="0" collapsed="false">
      <c r="A1503" s="84" t="n">
        <v>45880</v>
      </c>
      <c r="B1503" s="85" t="n">
        <v>0</v>
      </c>
    </row>
    <row r="1504" customFormat="false" ht="15" hidden="false" customHeight="false" outlineLevel="0" collapsed="false">
      <c r="A1504" s="84" t="n">
        <v>45881</v>
      </c>
      <c r="B1504" s="85" t="n">
        <v>0</v>
      </c>
    </row>
    <row r="1505" customFormat="false" ht="15" hidden="false" customHeight="false" outlineLevel="0" collapsed="false">
      <c r="A1505" s="84" t="n">
        <v>45882</v>
      </c>
      <c r="B1505" s="85" t="n">
        <v>0</v>
      </c>
    </row>
    <row r="1506" customFormat="false" ht="15" hidden="false" customHeight="false" outlineLevel="0" collapsed="false">
      <c r="A1506" s="84" t="n">
        <v>45883</v>
      </c>
      <c r="B1506" s="85" t="n">
        <v>0</v>
      </c>
    </row>
    <row r="1507" customFormat="false" ht="15" hidden="false" customHeight="false" outlineLevel="0" collapsed="false">
      <c r="A1507" s="84" t="n">
        <v>45884</v>
      </c>
      <c r="B1507" s="85" t="n">
        <v>0</v>
      </c>
    </row>
    <row r="1508" customFormat="false" ht="15" hidden="false" customHeight="false" outlineLevel="0" collapsed="false">
      <c r="A1508" s="84" t="n">
        <v>45885</v>
      </c>
      <c r="B1508" s="85" t="n">
        <v>0</v>
      </c>
    </row>
    <row r="1509" customFormat="false" ht="15" hidden="false" customHeight="false" outlineLevel="0" collapsed="false">
      <c r="A1509" s="84" t="n">
        <v>45886</v>
      </c>
      <c r="B1509" s="85" t="n">
        <v>0</v>
      </c>
    </row>
    <row r="1510" customFormat="false" ht="15" hidden="false" customHeight="false" outlineLevel="0" collapsed="false">
      <c r="A1510" s="84" t="n">
        <v>45887</v>
      </c>
      <c r="B1510" s="85" t="n">
        <v>1</v>
      </c>
    </row>
    <row r="1511" customFormat="false" ht="15" hidden="false" customHeight="false" outlineLevel="0" collapsed="false">
      <c r="A1511" s="84" t="n">
        <v>45888</v>
      </c>
      <c r="B1511" s="85" t="n">
        <v>0</v>
      </c>
    </row>
    <row r="1512" customFormat="false" ht="15" hidden="false" customHeight="false" outlineLevel="0" collapsed="false">
      <c r="A1512" s="84" t="n">
        <v>45889</v>
      </c>
      <c r="B1512" s="85" t="n">
        <v>0</v>
      </c>
    </row>
    <row r="1513" customFormat="false" ht="15" hidden="false" customHeight="false" outlineLevel="0" collapsed="false">
      <c r="A1513" s="84" t="n">
        <v>45890</v>
      </c>
      <c r="B1513" s="85" t="n">
        <v>0</v>
      </c>
    </row>
    <row r="1514" customFormat="false" ht="15" hidden="false" customHeight="false" outlineLevel="0" collapsed="false">
      <c r="A1514" s="84" t="n">
        <v>45891</v>
      </c>
      <c r="B1514" s="85" t="n">
        <v>0</v>
      </c>
    </row>
    <row r="1515" customFormat="false" ht="15" hidden="false" customHeight="false" outlineLevel="0" collapsed="false">
      <c r="A1515" s="84" t="n">
        <v>45892</v>
      </c>
      <c r="B1515" s="85" t="n">
        <v>0</v>
      </c>
    </row>
    <row r="1516" customFormat="false" ht="15" hidden="false" customHeight="false" outlineLevel="0" collapsed="false">
      <c r="A1516" s="84" t="n">
        <v>45893</v>
      </c>
      <c r="B1516" s="85" t="n">
        <v>0</v>
      </c>
    </row>
    <row r="1517" customFormat="false" ht="15" hidden="false" customHeight="false" outlineLevel="0" collapsed="false">
      <c r="A1517" s="84" t="n">
        <v>45894</v>
      </c>
      <c r="B1517" s="85" t="n">
        <v>1</v>
      </c>
    </row>
    <row r="1518" customFormat="false" ht="15" hidden="false" customHeight="false" outlineLevel="0" collapsed="false">
      <c r="A1518" s="84" t="n">
        <v>45895</v>
      </c>
      <c r="B1518" s="85" t="n">
        <v>0</v>
      </c>
    </row>
    <row r="1519" customFormat="false" ht="15" hidden="false" customHeight="false" outlineLevel="0" collapsed="false">
      <c r="A1519" s="84" t="n">
        <v>45896</v>
      </c>
      <c r="B1519" s="85" t="n">
        <v>0</v>
      </c>
    </row>
    <row r="1520" customFormat="false" ht="15" hidden="false" customHeight="false" outlineLevel="0" collapsed="false">
      <c r="A1520" s="84" t="n">
        <v>45897</v>
      </c>
      <c r="B1520" s="85" t="n">
        <v>0</v>
      </c>
    </row>
    <row r="1521" customFormat="false" ht="15" hidden="false" customHeight="false" outlineLevel="0" collapsed="false">
      <c r="A1521" s="84" t="n">
        <v>45898</v>
      </c>
      <c r="B1521" s="85" t="n">
        <v>0</v>
      </c>
    </row>
    <row r="1522" customFormat="false" ht="15" hidden="false" customHeight="false" outlineLevel="0" collapsed="false">
      <c r="A1522" s="84" t="n">
        <v>45899</v>
      </c>
      <c r="B1522" s="85" t="n">
        <v>1</v>
      </c>
    </row>
    <row r="1523" customFormat="false" ht="15" hidden="false" customHeight="false" outlineLevel="0" collapsed="false">
      <c r="A1523" s="84" t="n">
        <v>45900</v>
      </c>
      <c r="B1523" s="85" t="n">
        <v>0</v>
      </c>
    </row>
    <row r="1524" customFormat="false" ht="15" hidden="false" customHeight="false" outlineLevel="0" collapsed="false">
      <c r="A1524" s="84" t="n">
        <v>45901</v>
      </c>
      <c r="B1524" s="85" t="n">
        <v>0</v>
      </c>
    </row>
    <row r="1525" customFormat="false" ht="15" hidden="false" customHeight="false" outlineLevel="0" collapsed="false">
      <c r="A1525" s="84" t="n">
        <v>45902</v>
      </c>
      <c r="B1525" s="85" t="n">
        <v>0</v>
      </c>
    </row>
    <row r="1526" customFormat="false" ht="15" hidden="false" customHeight="false" outlineLevel="0" collapsed="false">
      <c r="A1526" s="84" t="n">
        <v>45903</v>
      </c>
      <c r="B1526" s="85" t="n">
        <v>0</v>
      </c>
    </row>
    <row r="1527" customFormat="false" ht="15" hidden="false" customHeight="false" outlineLevel="0" collapsed="false">
      <c r="A1527" s="84" t="n">
        <v>45904</v>
      </c>
      <c r="B1527" s="85" t="n">
        <v>1</v>
      </c>
    </row>
    <row r="1528" customFormat="false" ht="15" hidden="false" customHeight="false" outlineLevel="0" collapsed="false">
      <c r="A1528" s="84" t="n">
        <v>45905</v>
      </c>
      <c r="B1528" s="85" t="n">
        <v>0</v>
      </c>
    </row>
    <row r="1529" customFormat="false" ht="15" hidden="false" customHeight="false" outlineLevel="0" collapsed="false">
      <c r="A1529" s="84" t="n">
        <v>45906</v>
      </c>
      <c r="B1529" s="85" t="n">
        <v>0</v>
      </c>
    </row>
    <row r="1530" customFormat="false" ht="15" hidden="false" customHeight="false" outlineLevel="0" collapsed="false">
      <c r="A1530" s="84" t="n">
        <v>45907</v>
      </c>
      <c r="B1530" s="85" t="n">
        <v>0</v>
      </c>
    </row>
    <row r="1531" customFormat="false" ht="15" hidden="false" customHeight="false" outlineLevel="0" collapsed="false">
      <c r="A1531" s="84" t="n">
        <v>45908</v>
      </c>
      <c r="B1531" s="85" t="n">
        <v>0</v>
      </c>
    </row>
    <row r="1532" customFormat="false" ht="15" hidden="false" customHeight="false" outlineLevel="0" collapsed="false">
      <c r="A1532" s="84" t="n">
        <v>45909</v>
      </c>
      <c r="B1532" s="85" t="n">
        <v>0</v>
      </c>
    </row>
    <row r="1533" customFormat="false" ht="15" hidden="false" customHeight="false" outlineLevel="0" collapsed="false">
      <c r="A1533" s="84" t="n">
        <v>45910</v>
      </c>
      <c r="B1533" s="85" t="n">
        <v>0</v>
      </c>
    </row>
    <row r="1534" customFormat="false" ht="15" hidden="false" customHeight="false" outlineLevel="0" collapsed="false">
      <c r="A1534" s="84" t="n">
        <v>45911</v>
      </c>
      <c r="B1534" s="85" t="n">
        <v>0</v>
      </c>
    </row>
    <row r="1535" customFormat="false" ht="15" hidden="false" customHeight="false" outlineLevel="0" collapsed="false">
      <c r="A1535" s="84" t="n">
        <v>45912</v>
      </c>
      <c r="B1535" s="85" t="n">
        <v>0</v>
      </c>
    </row>
    <row r="1536" customFormat="false" ht="15" hidden="false" customHeight="false" outlineLevel="0" collapsed="false">
      <c r="A1536" s="84" t="n">
        <v>45913</v>
      </c>
      <c r="B1536" s="85" t="n">
        <v>0</v>
      </c>
    </row>
    <row r="1537" customFormat="false" ht="15" hidden="false" customHeight="false" outlineLevel="0" collapsed="false">
      <c r="A1537" s="84" t="n">
        <v>45914</v>
      </c>
      <c r="B1537" s="85" t="n">
        <v>4</v>
      </c>
    </row>
    <row r="1538" customFormat="false" ht="15" hidden="false" customHeight="false" outlineLevel="0" collapsed="false">
      <c r="A1538" s="84" t="n">
        <v>45915</v>
      </c>
      <c r="B1538" s="85" t="n">
        <v>1</v>
      </c>
    </row>
    <row r="1539" customFormat="false" ht="15" hidden="false" customHeight="false" outlineLevel="0" collapsed="false">
      <c r="A1539" s="84" t="n">
        <v>45916</v>
      </c>
      <c r="B1539" s="85" t="n">
        <v>0</v>
      </c>
    </row>
    <row r="1540" customFormat="false" ht="15" hidden="false" customHeight="false" outlineLevel="0" collapsed="false">
      <c r="A1540" s="84" t="n">
        <v>45917</v>
      </c>
      <c r="B1540" s="85" t="n">
        <v>0</v>
      </c>
    </row>
    <row r="1541" customFormat="false" ht="15" hidden="false" customHeight="false" outlineLevel="0" collapsed="false">
      <c r="A1541" s="84" t="n">
        <v>45918</v>
      </c>
      <c r="B1541" s="85" t="n">
        <v>0</v>
      </c>
    </row>
    <row r="1542" customFormat="false" ht="15" hidden="false" customHeight="false" outlineLevel="0" collapsed="false">
      <c r="A1542" s="84" t="n">
        <v>45919</v>
      </c>
      <c r="B1542" s="85" t="n">
        <v>0</v>
      </c>
    </row>
    <row r="1543" customFormat="false" ht="15" hidden="false" customHeight="false" outlineLevel="0" collapsed="false">
      <c r="A1543" s="84" t="n">
        <v>45920</v>
      </c>
      <c r="B1543" s="85" t="n">
        <v>0</v>
      </c>
    </row>
    <row r="1544" customFormat="false" ht="15" hidden="false" customHeight="false" outlineLevel="0" collapsed="false">
      <c r="A1544" s="84" t="n">
        <v>45921</v>
      </c>
      <c r="B1544" s="85" t="n">
        <v>0</v>
      </c>
    </row>
    <row r="1545" customFormat="false" ht="15" hidden="false" customHeight="false" outlineLevel="0" collapsed="false">
      <c r="A1545" s="84" t="n">
        <v>45922</v>
      </c>
      <c r="B1545" s="85" t="n">
        <v>0</v>
      </c>
    </row>
    <row r="1546" customFormat="false" ht="15" hidden="false" customHeight="false" outlineLevel="0" collapsed="false">
      <c r="A1546" s="84" t="n">
        <v>45923</v>
      </c>
      <c r="B1546" s="85" t="n">
        <v>0</v>
      </c>
    </row>
    <row r="1547" customFormat="false" ht="15" hidden="false" customHeight="false" outlineLevel="0" collapsed="false">
      <c r="A1547" s="84" t="n">
        <v>45924</v>
      </c>
      <c r="B1547" s="85" t="n">
        <v>0</v>
      </c>
    </row>
    <row r="1548" customFormat="false" ht="15" hidden="false" customHeight="false" outlineLevel="0" collapsed="false">
      <c r="A1548" s="84" t="n">
        <v>45925</v>
      </c>
      <c r="B1548" s="85" t="n">
        <v>0</v>
      </c>
    </row>
    <row r="1549" customFormat="false" ht="15" hidden="false" customHeight="false" outlineLevel="0" collapsed="false">
      <c r="A1549" s="84" t="n">
        <v>45926</v>
      </c>
      <c r="B1549" s="85" t="n">
        <v>0</v>
      </c>
    </row>
    <row r="1550" customFormat="false" ht="15" hidden="false" customHeight="false" outlineLevel="0" collapsed="false">
      <c r="A1550" s="84" t="n">
        <v>45927</v>
      </c>
      <c r="B1550" s="85" t="n">
        <v>0</v>
      </c>
    </row>
    <row r="1551" customFormat="false" ht="15" hidden="false" customHeight="false" outlineLevel="0" collapsed="false">
      <c r="A1551" s="84" t="n">
        <v>45928</v>
      </c>
      <c r="B1551" s="85" t="n">
        <v>0</v>
      </c>
    </row>
    <row r="1552" customFormat="false" ht="15" hidden="false" customHeight="false" outlineLevel="0" collapsed="false">
      <c r="A1552" s="84" t="n">
        <v>45929</v>
      </c>
      <c r="B1552" s="85" t="n">
        <v>0</v>
      </c>
    </row>
    <row r="1553" customFormat="false" ht="15" hidden="false" customHeight="false" outlineLevel="0" collapsed="false">
      <c r="A1553" s="84" t="n">
        <v>45930</v>
      </c>
      <c r="B1553" s="85" t="n">
        <v>0</v>
      </c>
    </row>
    <row r="1554" customFormat="false" ht="15" hidden="false" customHeight="false" outlineLevel="0" collapsed="false">
      <c r="A1554" s="84" t="n">
        <v>45931</v>
      </c>
      <c r="B1554" s="85" t="n">
        <v>0</v>
      </c>
    </row>
    <row r="1555" customFormat="false" ht="15" hidden="false" customHeight="false" outlineLevel="0" collapsed="false">
      <c r="A1555" s="84" t="n">
        <v>45932</v>
      </c>
      <c r="B1555" s="85" t="n">
        <v>0</v>
      </c>
    </row>
    <row r="1556" customFormat="false" ht="15" hidden="false" customHeight="false" outlineLevel="0" collapsed="false">
      <c r="A1556" s="84" t="n">
        <v>45933</v>
      </c>
      <c r="B1556" s="85" t="n">
        <v>0</v>
      </c>
    </row>
    <row r="1557" customFormat="false" ht="15" hidden="false" customHeight="false" outlineLevel="0" collapsed="false">
      <c r="A1557" s="84" t="n">
        <v>45934</v>
      </c>
      <c r="B1557" s="85" t="n">
        <v>0</v>
      </c>
    </row>
    <row r="1558" customFormat="false" ht="15" hidden="false" customHeight="false" outlineLevel="0" collapsed="false">
      <c r="A1558" s="84" t="n">
        <v>45935</v>
      </c>
      <c r="B1558" s="85" t="n">
        <v>0</v>
      </c>
    </row>
    <row r="1559" customFormat="false" ht="15" hidden="false" customHeight="false" outlineLevel="0" collapsed="false">
      <c r="A1559" s="84" t="n">
        <v>45936</v>
      </c>
      <c r="B1559" s="85" t="n">
        <v>0</v>
      </c>
    </row>
    <row r="1560" customFormat="false" ht="15" hidden="false" customHeight="false" outlineLevel="0" collapsed="false">
      <c r="A1560" s="84" t="n">
        <v>45937</v>
      </c>
      <c r="B1560" s="85" t="n">
        <v>0</v>
      </c>
    </row>
    <row r="1561" customFormat="false" ht="15" hidden="false" customHeight="false" outlineLevel="0" collapsed="false">
      <c r="A1561" s="84" t="n">
        <v>45938</v>
      </c>
      <c r="B1561" s="85" t="n">
        <v>0</v>
      </c>
    </row>
    <row r="1562" customFormat="false" ht="15" hidden="false" customHeight="false" outlineLevel="0" collapsed="false">
      <c r="A1562" s="84" t="n">
        <v>45939</v>
      </c>
      <c r="B1562" s="85" t="n">
        <v>0</v>
      </c>
    </row>
    <row r="1563" customFormat="false" ht="15" hidden="false" customHeight="false" outlineLevel="0" collapsed="false">
      <c r="A1563" s="84" t="n">
        <v>45940</v>
      </c>
      <c r="B1563" s="85" t="n">
        <v>0</v>
      </c>
    </row>
    <row r="1564" customFormat="false" ht="15" hidden="false" customHeight="false" outlineLevel="0" collapsed="false">
      <c r="A1564" s="84" t="n">
        <v>45941</v>
      </c>
      <c r="B1564" s="85" t="n">
        <v>0</v>
      </c>
    </row>
    <row r="1565" customFormat="false" ht="15" hidden="false" customHeight="false" outlineLevel="0" collapsed="false">
      <c r="A1565" s="84" t="n">
        <v>45942</v>
      </c>
      <c r="B1565" s="85" t="n">
        <v>0</v>
      </c>
    </row>
    <row r="1566" customFormat="false" ht="15" hidden="false" customHeight="false" outlineLevel="0" collapsed="false">
      <c r="A1566" s="84" t="n">
        <v>45943</v>
      </c>
      <c r="B1566" s="85" t="n">
        <v>0</v>
      </c>
    </row>
    <row r="1567" customFormat="false" ht="15" hidden="false" customHeight="false" outlineLevel="0" collapsed="false">
      <c r="A1567" s="84" t="n">
        <v>45944</v>
      </c>
      <c r="B1567" s="85" t="n">
        <v>0</v>
      </c>
    </row>
    <row r="1568" customFormat="false" ht="15" hidden="false" customHeight="false" outlineLevel="0" collapsed="false">
      <c r="A1568" s="84" t="n">
        <v>45945</v>
      </c>
      <c r="B1568" s="85" t="n">
        <v>0</v>
      </c>
    </row>
    <row r="1569" customFormat="false" ht="15" hidden="false" customHeight="false" outlineLevel="0" collapsed="false">
      <c r="A1569" s="84" t="n">
        <v>45946</v>
      </c>
      <c r="B1569" s="85" t="n">
        <v>0</v>
      </c>
    </row>
    <row r="1570" customFormat="false" ht="15" hidden="false" customHeight="false" outlineLevel="0" collapsed="false">
      <c r="A1570" s="84" t="n">
        <v>45947</v>
      </c>
      <c r="B1570" s="85" t="n">
        <v>0</v>
      </c>
    </row>
    <row r="1571" customFormat="false" ht="15" hidden="false" customHeight="false" outlineLevel="0" collapsed="false">
      <c r="A1571" s="84" t="n">
        <v>45948</v>
      </c>
      <c r="B1571" s="85" t="n">
        <v>0</v>
      </c>
    </row>
    <row r="1572" customFormat="false" ht="15" hidden="false" customHeight="false" outlineLevel="0" collapsed="false">
      <c r="A1572" s="84" t="n">
        <v>45949</v>
      </c>
      <c r="B1572" s="85" t="n">
        <v>0</v>
      </c>
    </row>
    <row r="1573" customFormat="false" ht="15" hidden="false" customHeight="false" outlineLevel="0" collapsed="false">
      <c r="A1573" s="84" t="n">
        <v>45950</v>
      </c>
      <c r="B1573" s="85" t="n">
        <v>0</v>
      </c>
    </row>
    <row r="1574" customFormat="false" ht="15" hidden="false" customHeight="false" outlineLevel="0" collapsed="false">
      <c r="A1574" s="84" t="n">
        <v>45951</v>
      </c>
      <c r="B1574" s="85" t="n">
        <v>14</v>
      </c>
    </row>
    <row r="1575" customFormat="false" ht="15" hidden="false" customHeight="false" outlineLevel="0" collapsed="false">
      <c r="A1575" s="84" t="n">
        <v>45952</v>
      </c>
      <c r="B1575" s="85" t="n">
        <v>0</v>
      </c>
    </row>
    <row r="1576" customFormat="false" ht="15" hidden="false" customHeight="false" outlineLevel="0" collapsed="false">
      <c r="A1576" s="84" t="n">
        <v>45953</v>
      </c>
      <c r="B1576" s="85" t="n">
        <v>0</v>
      </c>
    </row>
    <row r="1577" customFormat="false" ht="15" hidden="false" customHeight="false" outlineLevel="0" collapsed="false">
      <c r="A1577" s="84" t="n">
        <v>45954</v>
      </c>
      <c r="B1577" s="85" t="n">
        <v>0</v>
      </c>
    </row>
    <row r="1578" customFormat="false" ht="15" hidden="false" customHeight="false" outlineLevel="0" collapsed="false">
      <c r="A1578" s="84" t="n">
        <v>45955</v>
      </c>
      <c r="B1578" s="85" t="n">
        <v>0</v>
      </c>
    </row>
    <row r="1579" customFormat="false" ht="15" hidden="false" customHeight="false" outlineLevel="0" collapsed="false">
      <c r="A1579" s="84" t="n">
        <v>45956</v>
      </c>
      <c r="B1579" s="85" t="n">
        <v>0</v>
      </c>
    </row>
    <row r="1580" customFormat="false" ht="15" hidden="false" customHeight="false" outlineLevel="0" collapsed="false">
      <c r="A1580" s="84" t="n">
        <v>45957</v>
      </c>
      <c r="B1580" s="85" t="n">
        <v>0</v>
      </c>
    </row>
    <row r="1581" customFormat="false" ht="15" hidden="false" customHeight="false" outlineLevel="0" collapsed="false">
      <c r="A1581" s="84" t="n">
        <v>45958</v>
      </c>
      <c r="B1581" s="85" t="n">
        <v>0</v>
      </c>
    </row>
    <row r="1582" customFormat="false" ht="15" hidden="false" customHeight="false" outlineLevel="0" collapsed="false">
      <c r="A1582" s="84" t="n">
        <v>45959</v>
      </c>
      <c r="B1582" s="85" t="n">
        <v>0</v>
      </c>
    </row>
    <row r="1583" customFormat="false" ht="15" hidden="false" customHeight="false" outlineLevel="0" collapsed="false">
      <c r="A1583" s="84" t="n">
        <v>45960</v>
      </c>
      <c r="B1583" s="85" t="n">
        <v>0</v>
      </c>
    </row>
    <row r="1584" customFormat="false" ht="15" hidden="false" customHeight="false" outlineLevel="0" collapsed="false">
      <c r="A1584" s="84" t="n">
        <v>45961</v>
      </c>
      <c r="B1584" s="85" t="n">
        <v>0</v>
      </c>
    </row>
    <row r="1585" customFormat="false" ht="15" hidden="false" customHeight="false" outlineLevel="0" collapsed="false">
      <c r="A1585" s="84" t="n">
        <v>45962</v>
      </c>
      <c r="B1585" s="85" t="n">
        <v>0</v>
      </c>
    </row>
    <row r="1586" customFormat="false" ht="15" hidden="false" customHeight="false" outlineLevel="0" collapsed="false">
      <c r="A1586" s="84" t="n">
        <v>45963</v>
      </c>
      <c r="B1586" s="85" t="n">
        <v>115</v>
      </c>
    </row>
    <row r="1587" customFormat="false" ht="15" hidden="false" customHeight="false" outlineLevel="0" collapsed="false">
      <c r="A1587" s="84" t="n">
        <v>45964</v>
      </c>
      <c r="B1587" s="85" t="n">
        <v>1</v>
      </c>
    </row>
    <row r="1588" customFormat="false" ht="15" hidden="false" customHeight="false" outlineLevel="0" collapsed="false">
      <c r="A1588" s="84" t="n">
        <v>45965</v>
      </c>
      <c r="B1588" s="85" t="n">
        <v>6</v>
      </c>
    </row>
    <row r="1589" customFormat="false" ht="15" hidden="false" customHeight="false" outlineLevel="0" collapsed="false">
      <c r="A1589" s="84" t="n">
        <v>45966</v>
      </c>
      <c r="B1589" s="85" t="n">
        <v>3</v>
      </c>
    </row>
    <row r="1590" customFormat="false" ht="15" hidden="false" customHeight="false" outlineLevel="0" collapsed="false">
      <c r="A1590" s="84" t="n">
        <v>45967</v>
      </c>
      <c r="B1590" s="85" t="n">
        <v>0</v>
      </c>
    </row>
    <row r="1591" customFormat="false" ht="15" hidden="false" customHeight="false" outlineLevel="0" collapsed="false">
      <c r="A1591" s="84" t="n">
        <v>45968</v>
      </c>
      <c r="B1591" s="85" t="n">
        <v>14</v>
      </c>
    </row>
    <row r="1592" customFormat="false" ht="15" hidden="false" customHeight="false" outlineLevel="0" collapsed="false">
      <c r="A1592" s="84" t="n">
        <v>45969</v>
      </c>
      <c r="B1592" s="85" t="n">
        <v>4</v>
      </c>
    </row>
    <row r="1593" customFormat="false" ht="15" hidden="false" customHeight="false" outlineLevel="0" collapsed="false">
      <c r="A1593" s="84" t="n">
        <v>45970</v>
      </c>
      <c r="B1593" s="85" t="n">
        <v>203</v>
      </c>
    </row>
    <row r="1594" customFormat="false" ht="15" hidden="false" customHeight="false" outlineLevel="0" collapsed="false">
      <c r="A1594" s="84" t="n">
        <v>45971</v>
      </c>
      <c r="B1594" s="85" t="n">
        <v>748</v>
      </c>
    </row>
    <row r="1595" customFormat="false" ht="15" hidden="false" customHeight="false" outlineLevel="0" collapsed="false">
      <c r="A1595" s="84" t="n">
        <v>45972</v>
      </c>
      <c r="B1595" s="85" t="n">
        <v>343</v>
      </c>
    </row>
    <row r="1596" customFormat="false" ht="15" hidden="false" customHeight="false" outlineLevel="0" collapsed="false">
      <c r="A1596" s="84" t="n">
        <v>45973</v>
      </c>
      <c r="B1596" s="85" t="n">
        <v>576</v>
      </c>
    </row>
    <row r="1597" customFormat="false" ht="15" hidden="false" customHeight="false" outlineLevel="0" collapsed="false">
      <c r="A1597" s="84" t="n">
        <v>45974</v>
      </c>
      <c r="B1597" s="85" t="n">
        <v>0</v>
      </c>
    </row>
    <row r="1598" customFormat="false" ht="15" hidden="false" customHeight="false" outlineLevel="0" collapsed="false">
      <c r="A1598" s="84" t="n">
        <v>45975</v>
      </c>
      <c r="B1598" s="85" t="n">
        <v>48</v>
      </c>
    </row>
    <row r="1599" customFormat="false" ht="15" hidden="false" customHeight="false" outlineLevel="0" collapsed="false">
      <c r="A1599" s="84" t="n">
        <v>45976</v>
      </c>
      <c r="B1599" s="85" t="n">
        <v>0</v>
      </c>
    </row>
    <row r="1600" customFormat="false" ht="15" hidden="false" customHeight="false" outlineLevel="0" collapsed="false">
      <c r="A1600" s="84" t="n">
        <v>45977</v>
      </c>
      <c r="B1600" s="85" t="n">
        <v>248</v>
      </c>
    </row>
    <row r="1601" customFormat="false" ht="15" hidden="false" customHeight="false" outlineLevel="0" collapsed="false">
      <c r="A1601" s="84" t="n">
        <v>45978</v>
      </c>
      <c r="B1601" s="85" t="n">
        <v>0</v>
      </c>
    </row>
    <row r="1602" customFormat="false" ht="15" hidden="false" customHeight="false" outlineLevel="0" collapsed="false">
      <c r="A1602" s="84" t="n">
        <v>45979</v>
      </c>
      <c r="B1602" s="85" t="n">
        <v>224</v>
      </c>
    </row>
    <row r="1603" customFormat="false" ht="15" hidden="false" customHeight="false" outlineLevel="0" collapsed="false">
      <c r="A1603" s="84" t="n">
        <v>45980</v>
      </c>
      <c r="B1603" s="85" t="n">
        <v>0</v>
      </c>
    </row>
    <row r="1604" customFormat="false" ht="15" hidden="false" customHeight="false" outlineLevel="0" collapsed="false">
      <c r="A1604" s="84" t="n">
        <v>45981</v>
      </c>
      <c r="B1604" s="85" t="n">
        <v>0</v>
      </c>
    </row>
    <row r="1605" customFormat="false" ht="15" hidden="false" customHeight="false" outlineLevel="0" collapsed="false">
      <c r="A1605" s="84" t="n">
        <v>45982</v>
      </c>
      <c r="B1605" s="85" t="n">
        <v>263</v>
      </c>
    </row>
    <row r="1606" customFormat="false" ht="15" hidden="false" customHeight="false" outlineLevel="0" collapsed="false">
      <c r="A1606" s="84" t="n">
        <v>45983</v>
      </c>
      <c r="B1606" s="85" t="n">
        <v>0</v>
      </c>
    </row>
    <row r="1607" customFormat="false" ht="15" hidden="false" customHeight="false" outlineLevel="0" collapsed="false">
      <c r="A1607" s="84" t="n">
        <v>45984</v>
      </c>
      <c r="B1607" s="85" t="n">
        <v>118</v>
      </c>
    </row>
    <row r="1608" customFormat="false" ht="15" hidden="false" customHeight="false" outlineLevel="0" collapsed="false">
      <c r="A1608" s="84" t="n">
        <v>45985</v>
      </c>
      <c r="B1608" s="85" t="n">
        <v>0</v>
      </c>
    </row>
    <row r="1609" customFormat="false" ht="15" hidden="false" customHeight="false" outlineLevel="0" collapsed="false">
      <c r="A1609" s="84" t="n">
        <v>45986</v>
      </c>
      <c r="B1609" s="85" t="n">
        <v>0</v>
      </c>
    </row>
    <row r="1610" customFormat="false" ht="15" hidden="false" customHeight="false" outlineLevel="0" collapsed="false">
      <c r="A1610" s="84" t="n">
        <v>45987</v>
      </c>
      <c r="B1610" s="85" t="n">
        <v>1</v>
      </c>
    </row>
    <row r="1611" customFormat="false" ht="15" hidden="false" customHeight="false" outlineLevel="0" collapsed="false">
      <c r="A1611" s="84" t="n">
        <v>45988</v>
      </c>
      <c r="B1611" s="85" t="n">
        <v>0</v>
      </c>
    </row>
    <row r="1612" customFormat="false" ht="15" hidden="false" customHeight="false" outlineLevel="0" collapsed="false">
      <c r="A1612" s="84" t="n">
        <v>45989</v>
      </c>
      <c r="B1612" s="85" t="n">
        <v>332</v>
      </c>
    </row>
    <row r="1613" customFormat="false" ht="15" hidden="false" customHeight="false" outlineLevel="0" collapsed="false">
      <c r="A1613" s="84" t="n">
        <v>45990</v>
      </c>
      <c r="B1613" s="85" t="n">
        <v>1068</v>
      </c>
    </row>
    <row r="1614" customFormat="false" ht="15" hidden="false" customHeight="false" outlineLevel="0" collapsed="false">
      <c r="A1614" s="84" t="n">
        <v>45991</v>
      </c>
      <c r="B1614" s="85" t="n">
        <v>466</v>
      </c>
    </row>
    <row r="1615" customFormat="false" ht="15" hidden="false" customHeight="false" outlineLevel="0" collapsed="false">
      <c r="A1615" s="84" t="n">
        <v>45992</v>
      </c>
      <c r="B1615" s="85" t="n">
        <v>153</v>
      </c>
    </row>
    <row r="1616" customFormat="false" ht="15" hidden="false" customHeight="false" outlineLevel="0" collapsed="false">
      <c r="A1616" s="84" t="n">
        <v>45993</v>
      </c>
      <c r="B1616" s="85" t="n">
        <v>44</v>
      </c>
    </row>
    <row r="1617" customFormat="false" ht="15" hidden="false" customHeight="false" outlineLevel="0" collapsed="false">
      <c r="A1617" s="84" t="n">
        <v>45994</v>
      </c>
      <c r="B1617" s="85" t="n">
        <v>0</v>
      </c>
    </row>
    <row r="1618" customFormat="false" ht="15" hidden="false" customHeight="false" outlineLevel="0" collapsed="false">
      <c r="A1618" s="84" t="n">
        <v>45995</v>
      </c>
      <c r="B1618" s="85" t="n">
        <v>0</v>
      </c>
    </row>
    <row r="1619" customFormat="false" ht="15" hidden="false" customHeight="false" outlineLevel="0" collapsed="false">
      <c r="A1619" s="84" t="n">
        <v>45996</v>
      </c>
      <c r="B1619" s="85" t="n">
        <v>0</v>
      </c>
    </row>
    <row r="1620" customFormat="false" ht="15" hidden="false" customHeight="false" outlineLevel="0" collapsed="false">
      <c r="A1620" s="84" t="n">
        <v>45997</v>
      </c>
      <c r="B1620" s="85" t="n">
        <v>0</v>
      </c>
    </row>
    <row r="1621" customFormat="false" ht="15" hidden="false" customHeight="false" outlineLevel="0" collapsed="false">
      <c r="A1621" s="84" t="n">
        <v>45998</v>
      </c>
      <c r="B1621" s="85" t="n">
        <v>0</v>
      </c>
    </row>
    <row r="1622" customFormat="false" ht="15" hidden="false" customHeight="false" outlineLevel="0" collapsed="false">
      <c r="A1622" s="84" t="n">
        <v>45999</v>
      </c>
      <c r="B1622" s="85" t="n">
        <v>0</v>
      </c>
    </row>
    <row r="1623" customFormat="false" ht="15" hidden="false" customHeight="false" outlineLevel="0" collapsed="false">
      <c r="A1623" s="84" t="n">
        <v>46000</v>
      </c>
      <c r="B1623" s="85" t="n">
        <v>0</v>
      </c>
    </row>
    <row r="1624" customFormat="false" ht="15" hidden="false" customHeight="false" outlineLevel="0" collapsed="false">
      <c r="A1624" s="84" t="n">
        <v>46001</v>
      </c>
      <c r="B1624" s="85" t="n">
        <v>0</v>
      </c>
    </row>
    <row r="1625" customFormat="false" ht="15" hidden="false" customHeight="false" outlineLevel="0" collapsed="false">
      <c r="A1625" s="84" t="n">
        <v>46002</v>
      </c>
      <c r="B1625" s="85" t="n">
        <v>0</v>
      </c>
    </row>
    <row r="1626" customFormat="false" ht="15" hidden="false" customHeight="false" outlineLevel="0" collapsed="false">
      <c r="A1626" s="84" t="n">
        <v>46003</v>
      </c>
      <c r="B1626" s="85" t="n">
        <v>0</v>
      </c>
    </row>
    <row r="1627" customFormat="false" ht="15" hidden="false" customHeight="false" outlineLevel="0" collapsed="false">
      <c r="A1627" s="84" t="n">
        <v>46004</v>
      </c>
      <c r="B1627" s="85" t="n">
        <v>0</v>
      </c>
    </row>
    <row r="1628" customFormat="false" ht="15" hidden="false" customHeight="false" outlineLevel="0" collapsed="false">
      <c r="A1628" s="84" t="n">
        <v>46005</v>
      </c>
      <c r="B1628" s="85" t="n">
        <v>0</v>
      </c>
    </row>
    <row r="1629" customFormat="false" ht="15" hidden="false" customHeight="false" outlineLevel="0" collapsed="false">
      <c r="A1629" s="84" t="n">
        <v>46006</v>
      </c>
      <c r="B1629" s="85" t="n">
        <v>0</v>
      </c>
    </row>
    <row r="1630" customFormat="false" ht="15" hidden="false" customHeight="false" outlineLevel="0" collapsed="false">
      <c r="A1630" s="84" t="n">
        <v>46007</v>
      </c>
      <c r="B1630" s="85" t="n">
        <v>0</v>
      </c>
    </row>
    <row r="1631" customFormat="false" ht="15" hidden="false" customHeight="false" outlineLevel="0" collapsed="false">
      <c r="A1631" s="84" t="n">
        <v>46008</v>
      </c>
      <c r="B1631" s="85" t="n">
        <v>0</v>
      </c>
    </row>
    <row r="1632" customFormat="false" ht="15" hidden="false" customHeight="false" outlineLevel="0" collapsed="false">
      <c r="A1632" s="84" t="n">
        <v>46009</v>
      </c>
      <c r="B1632" s="85" t="n">
        <v>0</v>
      </c>
    </row>
    <row r="1633" customFormat="false" ht="15" hidden="false" customHeight="false" outlineLevel="0" collapsed="false">
      <c r="A1633" s="84" t="n">
        <v>46010</v>
      </c>
      <c r="B1633" s="85" t="n">
        <v>2</v>
      </c>
    </row>
    <row r="1634" customFormat="false" ht="15" hidden="false" customHeight="false" outlineLevel="0" collapsed="false">
      <c r="A1634" s="84" t="n">
        <v>46011</v>
      </c>
      <c r="B1634" s="85" t="n">
        <v>0</v>
      </c>
    </row>
    <row r="1635" customFormat="false" ht="15" hidden="false" customHeight="false" outlineLevel="0" collapsed="false">
      <c r="A1635" s="84" t="n">
        <v>46012</v>
      </c>
      <c r="B1635" s="85" t="n">
        <v>0</v>
      </c>
    </row>
    <row r="1636" customFormat="false" ht="15" hidden="false" customHeight="false" outlineLevel="0" collapsed="false">
      <c r="A1636" s="84" t="n">
        <v>46013</v>
      </c>
      <c r="B1636" s="85" t="n">
        <v>0</v>
      </c>
    </row>
    <row r="1637" customFormat="false" ht="15" hidden="false" customHeight="false" outlineLevel="0" collapsed="false">
      <c r="A1637" s="84" t="n">
        <v>46014</v>
      </c>
      <c r="B1637" s="85" t="n">
        <v>0</v>
      </c>
    </row>
    <row r="1638" customFormat="false" ht="15" hidden="false" customHeight="false" outlineLevel="0" collapsed="false">
      <c r="A1638" s="84" t="n">
        <v>46015</v>
      </c>
      <c r="B1638" s="85" t="n">
        <v>0</v>
      </c>
    </row>
    <row r="1639" customFormat="false" ht="15" hidden="false" customHeight="false" outlineLevel="0" collapsed="false">
      <c r="A1639" s="84" t="n">
        <v>46016</v>
      </c>
      <c r="B1639" s="85" t="n">
        <v>0</v>
      </c>
    </row>
    <row r="1640" customFormat="false" ht="15" hidden="false" customHeight="false" outlineLevel="0" collapsed="false">
      <c r="A1640" s="84" t="n">
        <v>46017</v>
      </c>
      <c r="B1640" s="85" t="n">
        <v>0</v>
      </c>
    </row>
    <row r="1641" customFormat="false" ht="15" hidden="false" customHeight="false" outlineLevel="0" collapsed="false">
      <c r="A1641" s="84" t="n">
        <v>46018</v>
      </c>
      <c r="B1641" s="85" t="n">
        <v>2</v>
      </c>
    </row>
    <row r="1642" customFormat="false" ht="15" hidden="false" customHeight="false" outlineLevel="0" collapsed="false">
      <c r="A1642" s="84" t="n">
        <v>46019</v>
      </c>
      <c r="B1642" s="85" t="n">
        <v>0</v>
      </c>
    </row>
    <row r="1643" customFormat="false" ht="15" hidden="false" customHeight="false" outlineLevel="0" collapsed="false">
      <c r="A1643" s="84" t="n">
        <v>46020</v>
      </c>
      <c r="B1643" s="85" t="n">
        <v>0</v>
      </c>
    </row>
    <row r="1644" customFormat="false" ht="15" hidden="false" customHeight="false" outlineLevel="0" collapsed="false">
      <c r="A1644" s="84" t="n">
        <v>46021</v>
      </c>
      <c r="B1644" s="85" t="n">
        <v>0</v>
      </c>
    </row>
    <row r="1645" customFormat="false" ht="15" hidden="false" customHeight="false" outlineLevel="0" collapsed="false">
      <c r="A1645" s="84" t="n">
        <v>46022</v>
      </c>
      <c r="B1645" s="85" t="n">
        <v>0</v>
      </c>
    </row>
    <row r="1646" customFormat="false" ht="15" hidden="false" customHeight="false" outlineLevel="0" collapsed="false">
      <c r="A1646" s="84" t="n">
        <v>46023</v>
      </c>
      <c r="B1646" s="85" t="n">
        <v>1</v>
      </c>
    </row>
    <row r="1647" customFormat="false" ht="15" hidden="false" customHeight="false" outlineLevel="0" collapsed="false">
      <c r="A1647" s="84" t="n">
        <v>46024</v>
      </c>
      <c r="B1647" s="85" t="n">
        <v>0</v>
      </c>
    </row>
    <row r="1648" customFormat="false" ht="15" hidden="false" customHeight="false" outlineLevel="0" collapsed="false">
      <c r="A1648" s="84" t="n">
        <v>46025</v>
      </c>
      <c r="B1648" s="85" t="n">
        <v>0</v>
      </c>
    </row>
    <row r="1649" customFormat="false" ht="15" hidden="false" customHeight="false" outlineLevel="0" collapsed="false">
      <c r="A1649" s="84" t="n">
        <v>46026</v>
      </c>
      <c r="B1649" s="85" t="n">
        <v>0</v>
      </c>
    </row>
    <row r="1650" customFormat="false" ht="15" hidden="false" customHeight="false" outlineLevel="0" collapsed="false">
      <c r="A1650" s="84" t="n">
        <v>46027</v>
      </c>
      <c r="B1650" s="85" t="n">
        <v>0</v>
      </c>
    </row>
    <row r="1651" customFormat="false" ht="15" hidden="false" customHeight="false" outlineLevel="0" collapsed="false">
      <c r="A1651" s="84" t="n">
        <v>46028</v>
      </c>
      <c r="B1651" s="85" t="n">
        <v>0</v>
      </c>
    </row>
    <row r="1652" customFormat="false" ht="15" hidden="false" customHeight="false" outlineLevel="0" collapsed="false">
      <c r="A1652" s="84" t="n">
        <v>46029</v>
      </c>
      <c r="B1652" s="85" t="n">
        <v>0</v>
      </c>
    </row>
    <row r="1653" customFormat="false" ht="15" hidden="false" customHeight="false" outlineLevel="0" collapsed="false">
      <c r="A1653" s="84" t="n">
        <v>46030</v>
      </c>
      <c r="B1653" s="85" t="n">
        <v>6</v>
      </c>
    </row>
    <row r="1654" customFormat="false" ht="15" hidden="false" customHeight="false" outlineLevel="0" collapsed="false">
      <c r="A1654" s="84" t="n">
        <v>46031</v>
      </c>
      <c r="B1654" s="85" t="n">
        <v>0</v>
      </c>
    </row>
    <row r="1655" customFormat="false" ht="15" hidden="false" customHeight="false" outlineLevel="0" collapsed="false">
      <c r="A1655" s="84" t="n">
        <v>46032</v>
      </c>
      <c r="B1655" s="85" t="n">
        <v>0</v>
      </c>
    </row>
    <row r="1656" customFormat="false" ht="15" hidden="false" customHeight="false" outlineLevel="0" collapsed="false">
      <c r="A1656" s="84" t="n">
        <v>46033</v>
      </c>
      <c r="B1656" s="85" t="n">
        <v>0</v>
      </c>
    </row>
    <row r="1657" customFormat="false" ht="15" hidden="false" customHeight="false" outlineLevel="0" collapsed="false">
      <c r="A1657" s="84" t="n">
        <v>46034</v>
      </c>
      <c r="B1657" s="85" t="n">
        <v>0</v>
      </c>
    </row>
    <row r="1658" customFormat="false" ht="15" hidden="false" customHeight="false" outlineLevel="0" collapsed="false">
      <c r="A1658" s="84" t="n">
        <v>46035</v>
      </c>
      <c r="B1658" s="85" t="n">
        <v>0</v>
      </c>
    </row>
    <row r="1659" customFormat="false" ht="15" hidden="false" customHeight="false" outlineLevel="0" collapsed="false">
      <c r="A1659" s="84" t="n">
        <v>46036</v>
      </c>
      <c r="B1659" s="85" t="n">
        <v>1</v>
      </c>
    </row>
    <row r="1660" customFormat="false" ht="15" hidden="false" customHeight="false" outlineLevel="0" collapsed="false">
      <c r="A1660" s="84" t="n">
        <v>46037</v>
      </c>
      <c r="B1660" s="85" t="n">
        <v>0</v>
      </c>
    </row>
    <row r="1661" customFormat="false" ht="15" hidden="false" customHeight="false" outlineLevel="0" collapsed="false">
      <c r="A1661" s="84" t="n">
        <v>46038</v>
      </c>
      <c r="B1661" s="85" t="n">
        <v>1</v>
      </c>
    </row>
    <row r="1662" customFormat="false" ht="15" hidden="false" customHeight="false" outlineLevel="0" collapsed="false">
      <c r="A1662" s="84" t="n">
        <v>46039</v>
      </c>
      <c r="B1662" s="85" t="n">
        <v>0</v>
      </c>
    </row>
    <row r="1663" customFormat="false" ht="15" hidden="false" customHeight="false" outlineLevel="0" collapsed="false">
      <c r="A1663" s="84" t="n">
        <v>46040</v>
      </c>
      <c r="B1663" s="85" t="n">
        <v>0</v>
      </c>
    </row>
    <row r="1664" customFormat="false" ht="15" hidden="false" customHeight="false" outlineLevel="0" collapsed="false">
      <c r="A1664" s="84" t="n">
        <v>46041</v>
      </c>
      <c r="B1664" s="85" t="n">
        <v>0</v>
      </c>
    </row>
    <row r="1665" customFormat="false" ht="15" hidden="false" customHeight="false" outlineLevel="0" collapsed="false">
      <c r="A1665" s="84" t="n">
        <v>46042</v>
      </c>
      <c r="B1665" s="85" t="n">
        <v>0</v>
      </c>
    </row>
    <row r="1666" customFormat="false" ht="15" hidden="false" customHeight="false" outlineLevel="0" collapsed="false">
      <c r="A1666" s="84" t="n">
        <v>46043</v>
      </c>
      <c r="B1666" s="85" t="n">
        <v>0</v>
      </c>
    </row>
    <row r="1667" customFormat="false" ht="15" hidden="false" customHeight="false" outlineLevel="0" collapsed="false">
      <c r="A1667" s="84" t="n">
        <v>46044</v>
      </c>
      <c r="B1667" s="85" t="n">
        <v>0</v>
      </c>
    </row>
    <row r="1668" customFormat="false" ht="15" hidden="false" customHeight="false" outlineLevel="0" collapsed="false">
      <c r="A1668" s="84" t="n">
        <v>46045</v>
      </c>
      <c r="B1668" s="85" t="n">
        <v>0</v>
      </c>
    </row>
    <row r="1669" customFormat="false" ht="15" hidden="false" customHeight="false" outlineLevel="0" collapsed="false">
      <c r="A1669" s="84" t="n">
        <v>46046</v>
      </c>
      <c r="B1669" s="85" t="n">
        <v>0</v>
      </c>
    </row>
    <row r="1670" customFormat="false" ht="15" hidden="false" customHeight="false" outlineLevel="0" collapsed="false">
      <c r="A1670" s="84" t="n">
        <v>46047</v>
      </c>
      <c r="B1670" s="85" t="n">
        <v>0</v>
      </c>
    </row>
    <row r="1671" customFormat="false" ht="15" hidden="false" customHeight="false" outlineLevel="0" collapsed="false">
      <c r="A1671" s="84" t="n">
        <v>46048</v>
      </c>
      <c r="B1671" s="85" t="n">
        <v>1</v>
      </c>
    </row>
    <row r="1672" customFormat="false" ht="15" hidden="false" customHeight="false" outlineLevel="0" collapsed="false">
      <c r="A1672" s="84" t="n">
        <v>46049</v>
      </c>
      <c r="B1672" s="85" t="n">
        <v>4</v>
      </c>
    </row>
    <row r="1673" customFormat="false" ht="15" hidden="false" customHeight="false" outlineLevel="0" collapsed="false">
      <c r="A1673" s="84" t="n">
        <v>46050</v>
      </c>
      <c r="B1673" s="85" t="n">
        <v>0</v>
      </c>
    </row>
    <row r="1674" customFormat="false" ht="15" hidden="false" customHeight="false" outlineLevel="0" collapsed="false">
      <c r="A1674" s="84" t="n">
        <v>46051</v>
      </c>
      <c r="B1674" s="85" t="n">
        <v>0</v>
      </c>
    </row>
    <row r="1675" customFormat="false" ht="15" hidden="false" customHeight="false" outlineLevel="0" collapsed="false">
      <c r="A1675" s="84" t="n">
        <v>46052</v>
      </c>
      <c r="B1675" s="85" t="n">
        <v>0</v>
      </c>
    </row>
    <row r="1676" customFormat="false" ht="15" hidden="false" customHeight="false" outlineLevel="0" collapsed="false">
      <c r="A1676" s="84" t="n">
        <v>46053</v>
      </c>
      <c r="B1676" s="85" t="n">
        <v>0</v>
      </c>
    </row>
    <row r="1677" customFormat="false" ht="15" hidden="false" customHeight="false" outlineLevel="0" collapsed="false">
      <c r="A1677" s="84" t="n">
        <v>46054</v>
      </c>
      <c r="B1677" s="85" t="n">
        <v>1</v>
      </c>
    </row>
    <row r="1678" customFormat="false" ht="15" hidden="false" customHeight="false" outlineLevel="0" collapsed="false">
      <c r="A1678" s="84" t="n">
        <v>46055</v>
      </c>
      <c r="B1678" s="85" t="n">
        <v>0</v>
      </c>
    </row>
    <row r="1679" customFormat="false" ht="15" hidden="false" customHeight="false" outlineLevel="0" collapsed="false">
      <c r="A1679" s="84" t="n">
        <v>46056</v>
      </c>
      <c r="B1679" s="85" t="n">
        <v>1</v>
      </c>
    </row>
    <row r="1680" customFormat="false" ht="15" hidden="false" customHeight="false" outlineLevel="0" collapsed="false">
      <c r="A1680" s="84" t="n">
        <v>46057</v>
      </c>
      <c r="B1680" s="85" t="n">
        <v>0</v>
      </c>
    </row>
    <row r="1681" customFormat="false" ht="15" hidden="false" customHeight="false" outlineLevel="0" collapsed="false">
      <c r="A1681" s="84" t="n">
        <v>46058</v>
      </c>
      <c r="B1681" s="85" t="n">
        <v>0</v>
      </c>
    </row>
    <row r="1682" customFormat="false" ht="15" hidden="false" customHeight="false" outlineLevel="0" collapsed="false">
      <c r="A1682" s="84" t="n">
        <v>46059</v>
      </c>
      <c r="B1682" s="85" t="n">
        <v>1</v>
      </c>
    </row>
    <row r="1683" customFormat="false" ht="15" hidden="false" customHeight="false" outlineLevel="0" collapsed="false">
      <c r="A1683" s="84" t="n">
        <v>46060</v>
      </c>
      <c r="B1683" s="85" t="n">
        <v>0</v>
      </c>
    </row>
    <row r="1684" customFormat="false" ht="15" hidden="false" customHeight="false" outlineLevel="0" collapsed="false">
      <c r="A1684" s="84" t="n">
        <v>46061</v>
      </c>
      <c r="B1684" s="85" t="n">
        <v>0</v>
      </c>
    </row>
    <row r="1685" customFormat="false" ht="15" hidden="false" customHeight="false" outlineLevel="0" collapsed="false">
      <c r="A1685" s="84" t="n">
        <v>46062</v>
      </c>
      <c r="B1685" s="85" t="n">
        <v>1</v>
      </c>
    </row>
    <row r="1686" customFormat="false" ht="15" hidden="false" customHeight="false" outlineLevel="0" collapsed="false">
      <c r="A1686" s="84" t="n">
        <v>46063</v>
      </c>
      <c r="B1686" s="85" t="n">
        <v>1</v>
      </c>
    </row>
    <row r="1687" customFormat="false" ht="15" hidden="false" customHeight="false" outlineLevel="0" collapsed="false">
      <c r="A1687" s="84" t="n">
        <v>46064</v>
      </c>
      <c r="B1687" s="85" t="n">
        <v>0</v>
      </c>
    </row>
    <row r="1688" customFormat="false" ht="15" hidden="false" customHeight="false" outlineLevel="0" collapsed="false">
      <c r="A1688" s="84" t="n">
        <v>46065</v>
      </c>
      <c r="B1688" s="85" t="n">
        <v>1</v>
      </c>
    </row>
    <row r="1689" customFormat="false" ht="15" hidden="false" customHeight="false" outlineLevel="0" collapsed="false">
      <c r="A1689" s="84" t="n">
        <v>46066</v>
      </c>
      <c r="B1689" s="85" t="n">
        <v>0</v>
      </c>
    </row>
    <row r="1690" customFormat="false" ht="15" hidden="false" customHeight="false" outlineLevel="0" collapsed="false">
      <c r="A1690" s="84" t="n">
        <v>46067</v>
      </c>
      <c r="B1690" s="85" t="n">
        <v>0</v>
      </c>
    </row>
    <row r="1691" customFormat="false" ht="15" hidden="false" customHeight="false" outlineLevel="0" collapsed="false">
      <c r="A1691" s="84" t="n">
        <v>46068</v>
      </c>
      <c r="B1691" s="85" t="n">
        <v>0</v>
      </c>
    </row>
    <row r="1692" customFormat="false" ht="15" hidden="false" customHeight="false" outlineLevel="0" collapsed="false">
      <c r="A1692" s="84" t="n">
        <v>46069</v>
      </c>
      <c r="B1692" s="85" t="n">
        <v>0</v>
      </c>
    </row>
    <row r="1693" customFormat="false" ht="15" hidden="false" customHeight="false" outlineLevel="0" collapsed="false">
      <c r="A1693" s="84" t="n">
        <v>46070</v>
      </c>
      <c r="B1693" s="85" t="n">
        <v>0</v>
      </c>
    </row>
    <row r="1694" customFormat="false" ht="15" hidden="false" customHeight="false" outlineLevel="0" collapsed="false">
      <c r="A1694" s="84" t="n">
        <v>46071</v>
      </c>
      <c r="B1694" s="85" t="n">
        <v>0</v>
      </c>
    </row>
    <row r="1695" customFormat="false" ht="15" hidden="false" customHeight="false" outlineLevel="0" collapsed="false">
      <c r="A1695" s="84" t="n">
        <v>46072</v>
      </c>
      <c r="B1695" s="85" t="n">
        <v>0</v>
      </c>
    </row>
    <row r="1696" customFormat="false" ht="15" hidden="false" customHeight="false" outlineLevel="0" collapsed="false">
      <c r="A1696" s="84" t="n">
        <v>46073</v>
      </c>
      <c r="B1696" s="85" t="n">
        <v>0</v>
      </c>
    </row>
    <row r="1697" customFormat="false" ht="15" hidden="false" customHeight="false" outlineLevel="0" collapsed="false">
      <c r="A1697" s="84" t="n">
        <v>46074</v>
      </c>
      <c r="B1697" s="85" t="n">
        <v>1</v>
      </c>
    </row>
    <row r="1698" customFormat="false" ht="15" hidden="false" customHeight="false" outlineLevel="0" collapsed="false">
      <c r="A1698" s="84" t="n">
        <v>46075</v>
      </c>
      <c r="B1698" s="85" t="n">
        <v>0</v>
      </c>
    </row>
    <row r="1699" customFormat="false" ht="15" hidden="false" customHeight="false" outlineLevel="0" collapsed="false">
      <c r="A1699" s="84" t="n">
        <v>46076</v>
      </c>
      <c r="B1699" s="85" t="n">
        <v>0</v>
      </c>
    </row>
    <row r="1700" customFormat="false" ht="15" hidden="false" customHeight="false" outlineLevel="0" collapsed="false">
      <c r="A1700" s="84" t="n">
        <v>46077</v>
      </c>
      <c r="B1700" s="85" t="n">
        <v>0</v>
      </c>
    </row>
    <row r="1701" customFormat="false" ht="15" hidden="false" customHeight="false" outlineLevel="0" collapsed="false">
      <c r="A1701" s="84" t="n">
        <v>46078</v>
      </c>
      <c r="B1701" s="85" t="n">
        <v>0</v>
      </c>
    </row>
    <row r="1702" customFormat="false" ht="15" hidden="false" customHeight="false" outlineLevel="0" collapsed="false">
      <c r="A1702" s="84" t="n">
        <v>46079</v>
      </c>
      <c r="B1702" s="85" t="n">
        <v>0</v>
      </c>
    </row>
    <row r="1703" customFormat="false" ht="15" hidden="false" customHeight="false" outlineLevel="0" collapsed="false">
      <c r="A1703" s="84" t="n">
        <v>46080</v>
      </c>
      <c r="B1703" s="85" t="n">
        <v>0</v>
      </c>
    </row>
    <row r="1704" customFormat="false" ht="15" hidden="false" customHeight="false" outlineLevel="0" collapsed="false">
      <c r="A1704" s="84" t="n">
        <v>46081</v>
      </c>
      <c r="B1704" s="85" t="n">
        <v>0</v>
      </c>
    </row>
    <row r="1705" customFormat="false" ht="15" hidden="false" customHeight="false" outlineLevel="0" collapsed="false">
      <c r="A1705" s="84" t="n">
        <v>46082</v>
      </c>
      <c r="B1705" s="85" t="n">
        <v>0</v>
      </c>
    </row>
    <row r="1706" customFormat="false" ht="15" hidden="false" customHeight="false" outlineLevel="0" collapsed="false">
      <c r="A1706" s="84" t="n">
        <v>46083</v>
      </c>
      <c r="B1706" s="85" t="n">
        <v>0</v>
      </c>
    </row>
    <row r="1707" customFormat="false" ht="15" hidden="false" customHeight="false" outlineLevel="0" collapsed="false">
      <c r="A1707" s="84" t="n">
        <v>46084</v>
      </c>
      <c r="B1707" s="85" t="n">
        <v>0</v>
      </c>
    </row>
    <row r="1708" customFormat="false" ht="15" hidden="false" customHeight="false" outlineLevel="0" collapsed="false">
      <c r="A1708" s="84" t="n">
        <v>46085</v>
      </c>
      <c r="B1708" s="85" t="n">
        <v>0</v>
      </c>
    </row>
    <row r="1709" customFormat="false" ht="15" hidden="false" customHeight="false" outlineLevel="0" collapsed="false">
      <c r="A1709" s="84" t="n">
        <v>46086</v>
      </c>
      <c r="B1709" s="85" t="n">
        <v>1</v>
      </c>
    </row>
    <row r="1710" customFormat="false" ht="15" hidden="false" customHeight="false" outlineLevel="0" collapsed="false">
      <c r="A1710" s="84" t="n">
        <v>46087</v>
      </c>
      <c r="B1710" s="85" t="n">
        <v>0</v>
      </c>
    </row>
    <row r="1711" customFormat="false" ht="15" hidden="false" customHeight="false" outlineLevel="0" collapsed="false">
      <c r="A1711" s="84" t="n">
        <v>46088</v>
      </c>
      <c r="B1711" s="85" t="n">
        <v>2</v>
      </c>
    </row>
    <row r="1712" customFormat="false" ht="15" hidden="false" customHeight="false" outlineLevel="0" collapsed="false">
      <c r="A1712" s="84" t="n">
        <v>46089</v>
      </c>
      <c r="B1712" s="85" t="n">
        <v>0</v>
      </c>
    </row>
    <row r="1713" customFormat="false" ht="15" hidden="false" customHeight="false" outlineLevel="0" collapsed="false">
      <c r="A1713" s="84" t="n">
        <v>46090</v>
      </c>
      <c r="B1713" s="85" t="n">
        <v>1</v>
      </c>
    </row>
    <row r="1714" customFormat="false" ht="15" hidden="false" customHeight="false" outlineLevel="0" collapsed="false">
      <c r="A1714" s="84" t="n">
        <v>46091</v>
      </c>
      <c r="B1714" s="85" t="n">
        <v>0</v>
      </c>
    </row>
    <row r="1715" customFormat="false" ht="15" hidden="false" customHeight="false" outlineLevel="0" collapsed="false">
      <c r="A1715" s="84" t="n">
        <v>46092</v>
      </c>
      <c r="B1715" s="85" t="n">
        <v>0</v>
      </c>
    </row>
    <row r="1716" customFormat="false" ht="15" hidden="false" customHeight="false" outlineLevel="0" collapsed="false">
      <c r="A1716" s="84" t="n">
        <v>46093</v>
      </c>
      <c r="B1716" s="85" t="n">
        <v>0</v>
      </c>
    </row>
    <row r="1717" customFormat="false" ht="15" hidden="false" customHeight="false" outlineLevel="0" collapsed="false">
      <c r="A1717" s="84" t="n">
        <v>46094</v>
      </c>
      <c r="B1717" s="85" t="n">
        <v>0</v>
      </c>
    </row>
    <row r="1718" customFormat="false" ht="15" hidden="false" customHeight="false" outlineLevel="0" collapsed="false">
      <c r="A1718" s="84" t="n">
        <v>46095</v>
      </c>
      <c r="B1718" s="85" t="n">
        <v>0</v>
      </c>
    </row>
    <row r="1719" customFormat="false" ht="15" hidden="false" customHeight="false" outlineLevel="0" collapsed="false">
      <c r="A1719" s="84" t="n">
        <v>46096</v>
      </c>
      <c r="B1719" s="85" t="n">
        <v>0</v>
      </c>
    </row>
    <row r="1720" customFormat="false" ht="15" hidden="false" customHeight="false" outlineLevel="0" collapsed="false">
      <c r="A1720" s="84" t="n">
        <v>46097</v>
      </c>
      <c r="B1720" s="85" t="n">
        <v>0</v>
      </c>
    </row>
    <row r="1721" customFormat="false" ht="15" hidden="false" customHeight="false" outlineLevel="0" collapsed="false">
      <c r="A1721" s="84" t="n">
        <v>46098</v>
      </c>
      <c r="B1721" s="85" t="n">
        <v>0</v>
      </c>
    </row>
    <row r="1722" customFormat="false" ht="15" hidden="false" customHeight="false" outlineLevel="0" collapsed="false">
      <c r="A1722" s="84" t="n">
        <v>46099</v>
      </c>
      <c r="B1722" s="85" t="n">
        <v>3</v>
      </c>
    </row>
    <row r="1723" customFormat="false" ht="15" hidden="false" customHeight="false" outlineLevel="0" collapsed="false">
      <c r="A1723" s="84" t="n">
        <v>46100</v>
      </c>
      <c r="B1723" s="85" t="n">
        <v>0</v>
      </c>
    </row>
    <row r="1724" customFormat="false" ht="15" hidden="false" customHeight="false" outlineLevel="0" collapsed="false">
      <c r="A1724" s="84" t="n">
        <v>46101</v>
      </c>
      <c r="B1724" s="85" t="n">
        <v>0</v>
      </c>
    </row>
    <row r="1725" customFormat="false" ht="15" hidden="false" customHeight="false" outlineLevel="0" collapsed="false">
      <c r="A1725" s="84" t="n">
        <v>46102</v>
      </c>
      <c r="B1725" s="85" t="n">
        <v>0</v>
      </c>
    </row>
    <row r="1726" customFormat="false" ht="15" hidden="false" customHeight="false" outlineLevel="0" collapsed="false">
      <c r="A1726" s="84" t="n">
        <v>46103</v>
      </c>
      <c r="B1726" s="85" t="n">
        <v>1</v>
      </c>
    </row>
    <row r="1727" customFormat="false" ht="15" hidden="false" customHeight="false" outlineLevel="0" collapsed="false">
      <c r="A1727" s="84" t="n">
        <v>46104</v>
      </c>
      <c r="B1727" s="85" t="n">
        <v>0</v>
      </c>
    </row>
    <row r="1728" customFormat="false" ht="15" hidden="false" customHeight="false" outlineLevel="0" collapsed="false">
      <c r="A1728" s="84" t="n">
        <v>46105</v>
      </c>
      <c r="B1728" s="85" t="n">
        <v>0</v>
      </c>
    </row>
    <row r="1729" customFormat="false" ht="15" hidden="false" customHeight="false" outlineLevel="0" collapsed="false">
      <c r="A1729" s="84" t="n">
        <v>46106</v>
      </c>
      <c r="B1729" s="85" t="n">
        <v>0</v>
      </c>
    </row>
    <row r="1730" customFormat="false" ht="15" hidden="false" customHeight="false" outlineLevel="0" collapsed="false">
      <c r="A1730" s="84" t="n">
        <v>46107</v>
      </c>
      <c r="B1730" s="85" t="n">
        <v>0</v>
      </c>
    </row>
    <row r="1731" customFormat="false" ht="15" hidden="false" customHeight="false" outlineLevel="0" collapsed="false">
      <c r="A1731" s="84" t="n">
        <v>46108</v>
      </c>
      <c r="B1731" s="85" t="n">
        <v>0</v>
      </c>
    </row>
    <row r="1732" customFormat="false" ht="15" hidden="false" customHeight="false" outlineLevel="0" collapsed="false">
      <c r="A1732" s="84" t="n">
        <v>46109</v>
      </c>
      <c r="B1732" s="85" t="n">
        <v>1</v>
      </c>
    </row>
    <row r="1733" customFormat="false" ht="15" hidden="false" customHeight="false" outlineLevel="0" collapsed="false">
      <c r="A1733" s="84" t="n">
        <v>46110</v>
      </c>
      <c r="B1733" s="85" t="n">
        <v>0</v>
      </c>
    </row>
    <row r="1734" customFormat="false" ht="15" hidden="false" customHeight="false" outlineLevel="0" collapsed="false">
      <c r="A1734" s="84" t="n">
        <v>46111</v>
      </c>
      <c r="B1734" s="85" t="n">
        <v>0</v>
      </c>
    </row>
    <row r="1735" customFormat="false" ht="15" hidden="false" customHeight="false" outlineLevel="0" collapsed="false">
      <c r="A1735" s="84" t="n">
        <v>46112</v>
      </c>
      <c r="B1735" s="85" t="n">
        <v>1</v>
      </c>
    </row>
    <row r="1736" customFormat="false" ht="15" hidden="false" customHeight="false" outlineLevel="0" collapsed="false">
      <c r="A1736" s="84" t="n">
        <v>46113</v>
      </c>
      <c r="B1736" s="85" t="n">
        <v>0</v>
      </c>
    </row>
    <row r="1737" customFormat="false" ht="15" hidden="false" customHeight="false" outlineLevel="0" collapsed="false">
      <c r="A1737" s="84" t="n">
        <v>46114</v>
      </c>
      <c r="B1737" s="85" t="n">
        <v>0</v>
      </c>
    </row>
    <row r="1738" customFormat="false" ht="15" hidden="false" customHeight="false" outlineLevel="0" collapsed="false">
      <c r="A1738" s="84" t="n">
        <v>46115</v>
      </c>
      <c r="B1738" s="85" t="n">
        <v>1</v>
      </c>
    </row>
    <row r="1739" customFormat="false" ht="15" hidden="false" customHeight="false" outlineLevel="0" collapsed="false">
      <c r="A1739" s="84" t="n">
        <v>46116</v>
      </c>
      <c r="B1739" s="85" t="n">
        <v>0</v>
      </c>
    </row>
    <row r="1740" customFormat="false" ht="15" hidden="false" customHeight="false" outlineLevel="0" collapsed="false">
      <c r="A1740" s="84" t="n">
        <v>46117</v>
      </c>
      <c r="B1740" s="85" t="n">
        <v>0</v>
      </c>
    </row>
    <row r="1741" customFormat="false" ht="15" hidden="false" customHeight="false" outlineLevel="0" collapsed="false">
      <c r="A1741" s="84" t="n">
        <v>46118</v>
      </c>
      <c r="B1741" s="85" t="n">
        <v>0</v>
      </c>
    </row>
    <row r="1742" customFormat="false" ht="15" hidden="false" customHeight="false" outlineLevel="0" collapsed="false">
      <c r="A1742" s="84" t="n">
        <v>46119</v>
      </c>
      <c r="B1742" s="85" t="n">
        <v>0</v>
      </c>
    </row>
    <row r="1743" customFormat="false" ht="15" hidden="false" customHeight="false" outlineLevel="0" collapsed="false">
      <c r="A1743" s="84" t="n">
        <v>46120</v>
      </c>
      <c r="B1743" s="85" t="n">
        <v>3</v>
      </c>
    </row>
    <row r="1744" customFormat="false" ht="15" hidden="false" customHeight="false" outlineLevel="0" collapsed="false">
      <c r="A1744" s="84" t="n">
        <v>46121</v>
      </c>
      <c r="B1744" s="85" t="n">
        <v>2</v>
      </c>
    </row>
    <row r="1745" customFormat="false" ht="15" hidden="false" customHeight="false" outlineLevel="0" collapsed="false">
      <c r="A1745" s="84" t="n">
        <v>46122</v>
      </c>
      <c r="B1745" s="85" t="n">
        <v>2</v>
      </c>
    </row>
    <row r="1746" customFormat="false" ht="15" hidden="false" customHeight="false" outlineLevel="0" collapsed="false">
      <c r="A1746" s="84" t="n">
        <v>46123</v>
      </c>
      <c r="B1746" s="85" t="n">
        <v>0</v>
      </c>
    </row>
    <row r="1747" customFormat="false" ht="15" hidden="false" customHeight="false" outlineLevel="0" collapsed="false">
      <c r="A1747" s="84" t="n">
        <v>46124</v>
      </c>
      <c r="B1747" s="85" t="n">
        <v>0</v>
      </c>
    </row>
    <row r="1748" customFormat="false" ht="15" hidden="false" customHeight="false" outlineLevel="0" collapsed="false">
      <c r="A1748" s="84" t="n">
        <v>46125</v>
      </c>
      <c r="B1748" s="85" t="n">
        <v>0</v>
      </c>
    </row>
    <row r="1749" customFormat="false" ht="15" hidden="false" customHeight="false" outlineLevel="0" collapsed="false">
      <c r="A1749" s="84" t="n">
        <v>46126</v>
      </c>
      <c r="B1749" s="85" t="n">
        <v>0</v>
      </c>
    </row>
    <row r="1750" customFormat="false" ht="15" hidden="false" customHeight="false" outlineLevel="0" collapsed="false">
      <c r="A1750" s="84" t="n">
        <v>46127</v>
      </c>
      <c r="B1750" s="85" t="n">
        <v>1</v>
      </c>
    </row>
    <row r="1751" customFormat="false" ht="15" hidden="false" customHeight="false" outlineLevel="0" collapsed="false">
      <c r="A1751" s="84" t="n">
        <v>46128</v>
      </c>
      <c r="B1751" s="85" t="n">
        <v>0</v>
      </c>
    </row>
    <row r="1752" customFormat="false" ht="15" hidden="false" customHeight="false" outlineLevel="0" collapsed="false">
      <c r="A1752" s="84" t="n">
        <v>46129</v>
      </c>
      <c r="B1752" s="85" t="n">
        <v>1</v>
      </c>
    </row>
    <row r="1753" customFormat="false" ht="15" hidden="false" customHeight="false" outlineLevel="0" collapsed="false">
      <c r="A1753" s="84" t="n">
        <v>46130</v>
      </c>
      <c r="B1753" s="85" t="n">
        <v>0</v>
      </c>
    </row>
    <row r="1754" customFormat="false" ht="15" hidden="false" customHeight="false" outlineLevel="0" collapsed="false">
      <c r="A1754" s="84" t="n">
        <v>46131</v>
      </c>
      <c r="B1754" s="85" t="n">
        <v>0</v>
      </c>
    </row>
    <row r="1755" customFormat="false" ht="15" hidden="false" customHeight="false" outlineLevel="0" collapsed="false">
      <c r="A1755" s="84" t="n">
        <v>46132</v>
      </c>
      <c r="B1755" s="85" t="n">
        <v>1</v>
      </c>
    </row>
    <row r="1756" customFormat="false" ht="15" hidden="false" customHeight="false" outlineLevel="0" collapsed="false">
      <c r="A1756" s="84" t="n">
        <v>46133</v>
      </c>
      <c r="B1756" s="85" t="n">
        <v>0</v>
      </c>
    </row>
    <row r="1757" customFormat="false" ht="15" hidden="false" customHeight="false" outlineLevel="0" collapsed="false">
      <c r="A1757" s="84" t="n">
        <v>46134</v>
      </c>
      <c r="B1757" s="85" t="n">
        <v>0</v>
      </c>
    </row>
    <row r="1758" customFormat="false" ht="15" hidden="false" customHeight="false" outlineLevel="0" collapsed="false">
      <c r="A1758" s="84" t="n">
        <v>46135</v>
      </c>
      <c r="B1758" s="85" t="n">
        <v>0</v>
      </c>
    </row>
    <row r="1759" customFormat="false" ht="15" hidden="false" customHeight="false" outlineLevel="0" collapsed="false">
      <c r="A1759" s="84" t="n">
        <v>46136</v>
      </c>
      <c r="B1759" s="85" t="n">
        <v>3</v>
      </c>
    </row>
    <row r="1760" customFormat="false" ht="15" hidden="false" customHeight="false" outlineLevel="0" collapsed="false">
      <c r="A1760" s="84" t="n">
        <v>46137</v>
      </c>
      <c r="B1760" s="85" t="n">
        <v>28</v>
      </c>
    </row>
    <row r="1761" customFormat="false" ht="15" hidden="false" customHeight="false" outlineLevel="0" collapsed="false">
      <c r="A1761" s="84" t="n">
        <v>46138</v>
      </c>
      <c r="B1761" s="85" t="n">
        <v>730</v>
      </c>
    </row>
    <row r="1762" customFormat="false" ht="15" hidden="false" customHeight="false" outlineLevel="0" collapsed="false">
      <c r="A1762" s="84" t="n">
        <v>46139</v>
      </c>
      <c r="B1762" s="85" t="n">
        <v>12</v>
      </c>
    </row>
    <row r="1763" customFormat="false" ht="15" hidden="false" customHeight="false" outlineLevel="0" collapsed="false">
      <c r="A1763" s="84" t="n">
        <v>46140</v>
      </c>
      <c r="B1763" s="85" t="n">
        <v>8</v>
      </c>
    </row>
    <row r="1764" customFormat="false" ht="15" hidden="false" customHeight="false" outlineLevel="0" collapsed="false">
      <c r="A1764" s="84" t="n">
        <v>46141</v>
      </c>
      <c r="B1764" s="85" t="n">
        <v>8</v>
      </c>
    </row>
    <row r="1765" customFormat="false" ht="15" hidden="false" customHeight="false" outlineLevel="0" collapsed="false">
      <c r="A1765" s="84" t="n">
        <v>46142</v>
      </c>
      <c r="B1765" s="85" t="n">
        <v>3</v>
      </c>
    </row>
    <row r="1766" customFormat="false" ht="15" hidden="false" customHeight="false" outlineLevel="0" collapsed="false">
      <c r="A1766" s="84" t="n">
        <v>46143</v>
      </c>
      <c r="B1766" s="85" t="n">
        <v>1</v>
      </c>
    </row>
    <row r="1767" customFormat="false" ht="15" hidden="false" customHeight="false" outlineLevel="0" collapsed="false">
      <c r="A1767" s="84" t="n">
        <v>46144</v>
      </c>
      <c r="B1767" s="85" t="n">
        <v>4</v>
      </c>
    </row>
    <row r="1768" customFormat="false" ht="15" hidden="false" customHeight="false" outlineLevel="0" collapsed="false">
      <c r="A1768" s="84" t="n">
        <v>46145</v>
      </c>
      <c r="B1768" s="85" t="n">
        <v>2</v>
      </c>
    </row>
    <row r="1769" customFormat="false" ht="15" hidden="false" customHeight="false" outlineLevel="0" collapsed="false">
      <c r="A1769" s="84" t="n">
        <v>46146</v>
      </c>
      <c r="B1769" s="85" t="n">
        <v>3</v>
      </c>
    </row>
    <row r="1770" customFormat="false" ht="15" hidden="false" customHeight="false" outlineLevel="0" collapsed="false">
      <c r="A1770" s="84" t="n">
        <v>46147</v>
      </c>
      <c r="B1770" s="85" t="n">
        <v>9</v>
      </c>
    </row>
    <row r="1771" customFormat="false" ht="15" hidden="false" customHeight="false" outlineLevel="0" collapsed="false">
      <c r="A1771" s="84" t="n">
        <v>46148</v>
      </c>
      <c r="B1771" s="85" t="n">
        <v>9</v>
      </c>
    </row>
    <row r="1772" customFormat="false" ht="15" hidden="false" customHeight="false" outlineLevel="0" collapsed="false">
      <c r="A1772" s="84" t="n">
        <v>46149</v>
      </c>
      <c r="B1772" s="85" t="n">
        <v>1</v>
      </c>
    </row>
    <row r="1773" customFormat="false" ht="15" hidden="false" customHeight="false" outlineLevel="0" collapsed="false">
      <c r="A1773" s="84" t="n">
        <v>46150</v>
      </c>
      <c r="B1773" s="85" t="n">
        <v>0</v>
      </c>
    </row>
    <row r="1774" customFormat="false" ht="15" hidden="false" customHeight="false" outlineLevel="0" collapsed="false">
      <c r="A1774" s="84" t="n">
        <v>46151</v>
      </c>
      <c r="B1774" s="85" t="n">
        <v>29</v>
      </c>
    </row>
    <row r="1775" customFormat="false" ht="15" hidden="false" customHeight="false" outlineLevel="0" collapsed="false">
      <c r="A1775" s="84" t="n">
        <v>46152</v>
      </c>
      <c r="B1775" s="85" t="n">
        <v>88</v>
      </c>
    </row>
    <row r="1776" customFormat="false" ht="15" hidden="false" customHeight="false" outlineLevel="0" collapsed="false">
      <c r="A1776" s="84" t="n">
        <v>46153</v>
      </c>
      <c r="B1776" s="85" t="n">
        <v>2</v>
      </c>
    </row>
    <row r="1777" customFormat="false" ht="15" hidden="false" customHeight="false" outlineLevel="0" collapsed="false">
      <c r="A1777" s="84" t="n">
        <v>46154</v>
      </c>
      <c r="B1777" s="85" t="n">
        <v>102</v>
      </c>
    </row>
    <row r="1778" customFormat="false" ht="15" hidden="false" customHeight="false" outlineLevel="0" collapsed="false">
      <c r="A1778" s="84" t="n">
        <v>46155</v>
      </c>
      <c r="B1778" s="85" t="n">
        <v>71</v>
      </c>
    </row>
    <row r="1779" customFormat="false" ht="15" hidden="false" customHeight="false" outlineLevel="0" collapsed="false">
      <c r="A1779" s="84" t="n">
        <v>46156</v>
      </c>
      <c r="B1779" s="85" t="n">
        <v>84</v>
      </c>
    </row>
    <row r="1780" customFormat="false" ht="15" hidden="false" customHeight="false" outlineLevel="0" collapsed="false">
      <c r="A1780" s="84" t="n">
        <v>46157</v>
      </c>
      <c r="B1780" s="85" t="n">
        <v>1</v>
      </c>
    </row>
    <row r="1781" customFormat="false" ht="15" hidden="false" customHeight="false" outlineLevel="0" collapsed="false">
      <c r="A1781" s="84" t="n">
        <v>46158</v>
      </c>
      <c r="B1781" s="85" t="n">
        <v>40</v>
      </c>
    </row>
    <row r="1782" customFormat="false" ht="15" hidden="false" customHeight="false" outlineLevel="0" collapsed="false">
      <c r="A1782" s="84" t="n">
        <v>46159</v>
      </c>
      <c r="B1782" s="85" t="n">
        <v>128</v>
      </c>
    </row>
    <row r="1783" customFormat="false" ht="15" hidden="false" customHeight="false" outlineLevel="0" collapsed="false">
      <c r="A1783" s="84" t="n">
        <v>46160</v>
      </c>
      <c r="B1783" s="85" t="n">
        <v>83</v>
      </c>
    </row>
    <row r="1784" customFormat="false" ht="15" hidden="false" customHeight="false" outlineLevel="0" collapsed="false">
      <c r="A1784" s="84" t="n">
        <v>46161</v>
      </c>
      <c r="B1784" s="85" t="n">
        <v>82</v>
      </c>
    </row>
    <row r="1785" customFormat="false" ht="15" hidden="false" customHeight="false" outlineLevel="0" collapsed="false">
      <c r="A1785" s="84" t="n">
        <v>46162</v>
      </c>
      <c r="B1785" s="85" t="n">
        <v>94</v>
      </c>
    </row>
    <row r="1786" customFormat="false" ht="15" hidden="false" customHeight="false" outlineLevel="0" collapsed="false">
      <c r="A1786" s="84" t="n">
        <v>46163</v>
      </c>
      <c r="B1786" s="85" t="n">
        <v>101</v>
      </c>
    </row>
    <row r="1787" customFormat="false" ht="15" hidden="false" customHeight="false" outlineLevel="0" collapsed="false">
      <c r="A1787" s="84" t="n">
        <v>46164</v>
      </c>
      <c r="B1787" s="85" t="n">
        <v>73</v>
      </c>
    </row>
    <row r="1788" customFormat="false" ht="15" hidden="false" customHeight="false" outlineLevel="0" collapsed="false">
      <c r="A1788" s="84" t="n">
        <v>46165</v>
      </c>
      <c r="B1788" s="85" t="n">
        <v>5</v>
      </c>
    </row>
    <row r="1789" customFormat="false" ht="15" hidden="false" customHeight="false" outlineLevel="0" collapsed="false">
      <c r="A1789" s="84" t="n">
        <v>46166</v>
      </c>
      <c r="B1789" s="85" t="n">
        <v>102</v>
      </c>
    </row>
    <row r="1790" customFormat="false" ht="15" hidden="false" customHeight="false" outlineLevel="0" collapsed="false">
      <c r="A1790" s="84" t="n">
        <v>46167</v>
      </c>
      <c r="B1790" s="85" t="n">
        <v>3</v>
      </c>
    </row>
    <row r="1791" customFormat="false" ht="15" hidden="false" customHeight="false" outlineLevel="0" collapsed="false">
      <c r="A1791" s="84" t="n">
        <v>46168</v>
      </c>
      <c r="B1791" s="85" t="n">
        <v>140</v>
      </c>
    </row>
    <row r="1792" customFormat="false" ht="15" hidden="false" customHeight="false" outlineLevel="0" collapsed="false">
      <c r="A1792" s="84" t="n">
        <v>46169</v>
      </c>
      <c r="B1792" s="85" t="n">
        <v>121</v>
      </c>
    </row>
    <row r="1793" customFormat="false" ht="15" hidden="false" customHeight="false" outlineLevel="0" collapsed="false">
      <c r="A1793" s="84" t="n">
        <v>46170</v>
      </c>
      <c r="B1793" s="85" t="n">
        <v>30</v>
      </c>
    </row>
    <row r="1794" customFormat="false" ht="15" hidden="false" customHeight="false" outlineLevel="0" collapsed="false">
      <c r="A1794" s="84" t="n">
        <v>46171</v>
      </c>
      <c r="B1794" s="85" t="n">
        <v>6</v>
      </c>
    </row>
    <row r="1795" customFormat="false" ht="15" hidden="false" customHeight="false" outlineLevel="0" collapsed="false">
      <c r="A1795" s="84" t="n">
        <v>46172</v>
      </c>
      <c r="B1795" s="85" t="n">
        <v>49</v>
      </c>
    </row>
    <row r="1796" customFormat="false" ht="15" hidden="false" customHeight="false" outlineLevel="0" collapsed="false">
      <c r="A1796" s="84" t="n">
        <v>46173</v>
      </c>
      <c r="B1796" s="85" t="n">
        <v>165</v>
      </c>
    </row>
    <row r="1797" customFormat="false" ht="15" hidden="false" customHeight="false" outlineLevel="0" collapsed="false">
      <c r="A1797" s="84" t="n">
        <v>46174</v>
      </c>
      <c r="B1797" s="85" t="n">
        <v>188</v>
      </c>
    </row>
    <row r="1798" customFormat="false" ht="15" hidden="false" customHeight="false" outlineLevel="0" collapsed="false">
      <c r="A1798" s="84" t="n">
        <v>46175</v>
      </c>
      <c r="B1798" s="85" t="n">
        <v>3</v>
      </c>
    </row>
    <row r="1799" customFormat="false" ht="15" hidden="false" customHeight="false" outlineLevel="0" collapsed="false">
      <c r="A1799" s="84" t="n">
        <v>46176</v>
      </c>
      <c r="B1799" s="85" t="n">
        <v>12</v>
      </c>
    </row>
    <row r="1800" customFormat="false" ht="15" hidden="false" customHeight="false" outlineLevel="0" collapsed="false">
      <c r="A1800" s="84" t="n">
        <v>46177</v>
      </c>
      <c r="B1800" s="85" t="n">
        <v>5</v>
      </c>
    </row>
    <row r="1801" customFormat="false" ht="15" hidden="false" customHeight="false" outlineLevel="0" collapsed="false">
      <c r="A1801" s="84" t="n">
        <v>46178</v>
      </c>
      <c r="B1801" s="85" t="n">
        <v>16</v>
      </c>
    </row>
    <row r="1802" customFormat="false" ht="15" hidden="false" customHeight="false" outlineLevel="0" collapsed="false">
      <c r="A1802" s="84" t="n">
        <v>46179</v>
      </c>
      <c r="B1802" s="85" t="n">
        <v>6</v>
      </c>
    </row>
    <row r="1803" customFormat="false" ht="15" hidden="false" customHeight="false" outlineLevel="0" collapsed="false">
      <c r="A1803" s="84" t="n">
        <v>46180</v>
      </c>
      <c r="B1803" s="85" t="n">
        <v>351</v>
      </c>
    </row>
    <row r="1804" customFormat="false" ht="15" hidden="false" customHeight="false" outlineLevel="0" collapsed="false">
      <c r="A1804" s="84" t="n">
        <v>46181</v>
      </c>
      <c r="B1804" s="85" t="n">
        <v>1</v>
      </c>
    </row>
    <row r="1805" customFormat="false" ht="15" hidden="false" customHeight="false" outlineLevel="0" collapsed="false">
      <c r="A1805" s="84" t="n">
        <v>46182</v>
      </c>
      <c r="B1805" s="85" t="n">
        <v>3</v>
      </c>
    </row>
    <row r="1806" customFormat="false" ht="15" hidden="false" customHeight="false" outlineLevel="0" collapsed="false">
      <c r="A1806" s="84" t="n">
        <v>46183</v>
      </c>
      <c r="B1806" s="85" t="n">
        <v>1</v>
      </c>
    </row>
    <row r="1807" customFormat="false" ht="15" hidden="false" customHeight="false" outlineLevel="0" collapsed="false">
      <c r="A1807" s="84" t="n">
        <v>46184</v>
      </c>
      <c r="B1807" s="85" t="n">
        <v>1</v>
      </c>
    </row>
    <row r="1808" customFormat="false" ht="15" hidden="false" customHeight="false" outlineLevel="0" collapsed="false">
      <c r="A1808" s="84" t="n">
        <v>46185</v>
      </c>
      <c r="B1808" s="85" t="n">
        <v>0</v>
      </c>
    </row>
    <row r="1809" customFormat="false" ht="15" hidden="false" customHeight="false" outlineLevel="0" collapsed="false">
      <c r="A1809" s="84" t="n">
        <v>46186</v>
      </c>
      <c r="B1809" s="85" t="n">
        <v>2</v>
      </c>
    </row>
    <row r="1810" customFormat="false" ht="15" hidden="false" customHeight="false" outlineLevel="0" collapsed="false">
      <c r="A1810" s="84" t="n">
        <v>46187</v>
      </c>
      <c r="B1810" s="85" t="n">
        <v>914</v>
      </c>
    </row>
    <row r="1811" customFormat="false" ht="15" hidden="false" customHeight="false" outlineLevel="0" collapsed="false">
      <c r="A1811" s="84" t="n">
        <v>46188</v>
      </c>
      <c r="B1811" s="85" t="n">
        <v>563</v>
      </c>
    </row>
    <row r="1812" customFormat="false" ht="15" hidden="false" customHeight="false" outlineLevel="0" collapsed="false">
      <c r="A1812" s="84" t="n">
        <v>46189</v>
      </c>
      <c r="B1812" s="85" t="n">
        <v>48</v>
      </c>
    </row>
    <row r="1813" customFormat="false" ht="15" hidden="false" customHeight="false" outlineLevel="0" collapsed="false">
      <c r="A1813" s="84" t="n">
        <v>46190</v>
      </c>
      <c r="B1813" s="85" t="n">
        <v>0</v>
      </c>
    </row>
    <row r="1814" customFormat="false" ht="15" hidden="false" customHeight="false" outlineLevel="0" collapsed="false">
      <c r="A1814" s="84" t="n">
        <v>46191</v>
      </c>
      <c r="B1814" s="85" t="n">
        <v>1</v>
      </c>
    </row>
    <row r="1815" customFormat="false" ht="15" hidden="false" customHeight="false" outlineLevel="0" collapsed="false">
      <c r="A1815" s="84" t="n">
        <v>46192</v>
      </c>
      <c r="B1815" s="85" t="n">
        <v>0</v>
      </c>
    </row>
    <row r="1816" customFormat="false" ht="15" hidden="false" customHeight="false" outlineLevel="0" collapsed="false">
      <c r="A1816" s="84" t="n">
        <v>46193</v>
      </c>
      <c r="B1816" s="85" t="n">
        <v>0</v>
      </c>
    </row>
    <row r="1817" customFormat="false" ht="15" hidden="false" customHeight="false" outlineLevel="0" collapsed="false">
      <c r="A1817" s="84" t="n">
        <v>46194</v>
      </c>
      <c r="B1817" s="85" t="n">
        <v>147</v>
      </c>
    </row>
    <row r="1818" customFormat="false" ht="15" hidden="false" customHeight="false" outlineLevel="0" collapsed="false">
      <c r="A1818" s="84" t="n">
        <v>46195</v>
      </c>
      <c r="B1818" s="85" t="n">
        <v>1</v>
      </c>
    </row>
    <row r="1819" customFormat="false" ht="15" hidden="false" customHeight="false" outlineLevel="0" collapsed="false">
      <c r="A1819" s="84" t="n">
        <v>46196</v>
      </c>
      <c r="B1819" s="85" t="n">
        <v>1</v>
      </c>
    </row>
    <row r="1820" customFormat="false" ht="15" hidden="false" customHeight="false" outlineLevel="0" collapsed="false">
      <c r="A1820" s="84" t="n">
        <v>46197</v>
      </c>
      <c r="B1820" s="85" t="n">
        <v>0</v>
      </c>
    </row>
    <row r="1821" customFormat="false" ht="15" hidden="false" customHeight="false" outlineLevel="0" collapsed="false">
      <c r="A1821" s="84" t="n">
        <v>46198</v>
      </c>
      <c r="B1821" s="85" t="n">
        <v>0</v>
      </c>
    </row>
    <row r="1822" customFormat="false" ht="15" hidden="false" customHeight="false" outlineLevel="0" collapsed="false">
      <c r="A1822" s="84" t="n">
        <v>46199</v>
      </c>
      <c r="B1822" s="85" t="n">
        <v>6</v>
      </c>
    </row>
    <row r="1823" customFormat="false" ht="15" hidden="false" customHeight="false" outlineLevel="0" collapsed="false">
      <c r="A1823" s="84" t="n">
        <v>46200</v>
      </c>
      <c r="B1823" s="85" t="n">
        <v>4</v>
      </c>
    </row>
    <row r="1824" customFormat="false" ht="15" hidden="false" customHeight="false" outlineLevel="0" collapsed="false">
      <c r="A1824" s="84" t="n">
        <v>46201</v>
      </c>
      <c r="B1824" s="85" t="n">
        <v>48</v>
      </c>
    </row>
    <row r="1825" customFormat="false" ht="15" hidden="false" customHeight="false" outlineLevel="0" collapsed="false">
      <c r="A1825" s="84" t="n">
        <v>46202</v>
      </c>
      <c r="B1825" s="85" t="n">
        <v>35</v>
      </c>
    </row>
    <row r="1826" customFormat="false" ht="15" hidden="false" customHeight="false" outlineLevel="0" collapsed="false">
      <c r="A1826" s="84" t="n">
        <v>46203</v>
      </c>
      <c r="B1826" s="85" t="n">
        <v>1</v>
      </c>
    </row>
    <row r="1827" customFormat="false" ht="15" hidden="false" customHeight="false" outlineLevel="0" collapsed="false">
      <c r="A1827" s="84" t="n">
        <v>46204</v>
      </c>
      <c r="B1827" s="85" t="n">
        <v>1</v>
      </c>
    </row>
    <row r="1828" customFormat="false" ht="15" hidden="false" customHeight="false" outlineLevel="0" collapsed="false">
      <c r="A1828" s="84" t="n">
        <v>46205</v>
      </c>
      <c r="B1828" s="85" t="n">
        <v>0</v>
      </c>
    </row>
    <row r="1829" customFormat="false" ht="15" hidden="false" customHeight="false" outlineLevel="0" collapsed="false">
      <c r="A1829" s="84" t="n">
        <v>46206</v>
      </c>
      <c r="B1829" s="85" t="n">
        <v>1</v>
      </c>
    </row>
    <row r="1830" customFormat="false" ht="15" hidden="false" customHeight="false" outlineLevel="0" collapsed="false">
      <c r="A1830" s="84" t="n">
        <v>46207</v>
      </c>
      <c r="B1830" s="85" t="n">
        <v>1</v>
      </c>
    </row>
    <row r="1831" customFormat="false" ht="15" hidden="false" customHeight="false" outlineLevel="0" collapsed="false">
      <c r="A1831" s="84" t="n">
        <v>46208</v>
      </c>
      <c r="B1831" s="85" t="n">
        <v>1</v>
      </c>
    </row>
    <row r="1832" customFormat="false" ht="15" hidden="false" customHeight="false" outlineLevel="0" collapsed="false">
      <c r="A1832" s="84" t="n">
        <v>46209</v>
      </c>
      <c r="B1832" s="85" t="n">
        <v>2</v>
      </c>
    </row>
    <row r="1833" customFormat="false" ht="15" hidden="false" customHeight="false" outlineLevel="0" collapsed="false">
      <c r="A1833" s="84" t="n">
        <v>46210</v>
      </c>
      <c r="B1833" s="85" t="n">
        <v>0</v>
      </c>
    </row>
    <row r="1834" customFormat="false" ht="15" hidden="false" customHeight="false" outlineLevel="0" collapsed="false">
      <c r="A1834" s="84" t="n">
        <v>46211</v>
      </c>
      <c r="B1834" s="85" t="n">
        <v>0</v>
      </c>
    </row>
    <row r="1835" customFormat="false" ht="15" hidden="false" customHeight="false" outlineLevel="0" collapsed="false">
      <c r="A1835" s="84" t="n">
        <v>46212</v>
      </c>
      <c r="B1835" s="85" t="n">
        <v>0</v>
      </c>
    </row>
    <row r="1836" customFormat="false" ht="15" hidden="false" customHeight="false" outlineLevel="0" collapsed="false">
      <c r="A1836" s="84" t="n">
        <v>46213</v>
      </c>
      <c r="B1836" s="85" t="n">
        <v>1</v>
      </c>
    </row>
    <row r="1837" customFormat="false" ht="15" hidden="false" customHeight="false" outlineLevel="0" collapsed="false">
      <c r="A1837" s="84" t="n">
        <v>46214</v>
      </c>
      <c r="B1837" s="85" t="n">
        <v>0</v>
      </c>
    </row>
    <row r="1838" customFormat="false" ht="15" hidden="false" customHeight="false" outlineLevel="0" collapsed="false">
      <c r="A1838" s="84" t="n">
        <v>46215</v>
      </c>
      <c r="B1838" s="85" t="n">
        <v>0</v>
      </c>
    </row>
    <row r="1839" customFormat="false" ht="15" hidden="false" customHeight="false" outlineLevel="0" collapsed="false">
      <c r="A1839" s="84" t="n">
        <v>46216</v>
      </c>
      <c r="B1839" s="85" t="n">
        <v>2</v>
      </c>
    </row>
    <row r="1840" customFormat="false" ht="15" hidden="false" customHeight="false" outlineLevel="0" collapsed="false">
      <c r="A1840" s="84" t="n">
        <v>46217</v>
      </c>
      <c r="B1840" s="85" t="n">
        <v>2</v>
      </c>
    </row>
    <row r="1841" customFormat="false" ht="15" hidden="false" customHeight="false" outlineLevel="0" collapsed="false">
      <c r="A1841" s="84" t="n">
        <v>46218</v>
      </c>
      <c r="B1841" s="85" t="n">
        <v>8</v>
      </c>
    </row>
    <row r="1842" customFormat="false" ht="15" hidden="false" customHeight="false" outlineLevel="0" collapsed="false">
      <c r="A1842" s="84" t="n">
        <v>46219</v>
      </c>
      <c r="B1842" s="85" t="n">
        <v>0</v>
      </c>
    </row>
    <row r="1843" customFormat="false" ht="15" hidden="false" customHeight="false" outlineLevel="0" collapsed="false">
      <c r="A1843" s="84" t="n">
        <v>46220</v>
      </c>
      <c r="B1843" s="85" t="n">
        <v>0</v>
      </c>
    </row>
    <row r="1844" customFormat="false" ht="15" hidden="false" customHeight="false" outlineLevel="0" collapsed="false">
      <c r="A1844" s="84" t="n">
        <v>46221</v>
      </c>
      <c r="B1844" s="85" t="n">
        <v>0</v>
      </c>
    </row>
    <row r="1845" customFormat="false" ht="15" hidden="false" customHeight="false" outlineLevel="0" collapsed="false">
      <c r="A1845" s="84" t="n">
        <v>46222</v>
      </c>
      <c r="B1845" s="85" t="n">
        <v>0</v>
      </c>
    </row>
    <row r="1846" customFormat="false" ht="15" hidden="false" customHeight="false" outlineLevel="0" collapsed="false">
      <c r="A1846" s="84" t="n">
        <v>46223</v>
      </c>
      <c r="B1846" s="85" t="n">
        <v>1</v>
      </c>
    </row>
    <row r="1847" customFormat="false" ht="15" hidden="false" customHeight="false" outlineLevel="0" collapsed="false">
      <c r="A1847" s="84" t="n">
        <v>46224</v>
      </c>
      <c r="B1847" s="85" t="n">
        <v>1</v>
      </c>
    </row>
    <row r="1848" customFormat="false" ht="15" hidden="false" customHeight="false" outlineLevel="0" collapsed="false">
      <c r="A1848" s="84" t="n">
        <v>46225</v>
      </c>
      <c r="B1848" s="85" t="n">
        <v>0</v>
      </c>
    </row>
    <row r="1849" customFormat="false" ht="15" hidden="false" customHeight="false" outlineLevel="0" collapsed="false">
      <c r="A1849" s="84" t="n">
        <v>46226</v>
      </c>
      <c r="B1849" s="85" t="n">
        <v>3</v>
      </c>
    </row>
    <row r="1850" customFormat="false" ht="15" hidden="false" customHeight="false" outlineLevel="0" collapsed="false">
      <c r="A1850" s="84" t="n">
        <v>46227</v>
      </c>
      <c r="B1850" s="85" t="n">
        <v>2</v>
      </c>
    </row>
    <row r="1851" customFormat="false" ht="15" hidden="false" customHeight="false" outlineLevel="0" collapsed="false">
      <c r="A1851" s="84" t="n">
        <v>46228</v>
      </c>
      <c r="B1851" s="85" t="n">
        <v>4</v>
      </c>
    </row>
    <row r="1852" customFormat="false" ht="15" hidden="false" customHeight="false" outlineLevel="0" collapsed="false">
      <c r="A1852" s="84" t="n">
        <v>46229</v>
      </c>
      <c r="B1852" s="85" t="n">
        <v>2</v>
      </c>
    </row>
    <row r="1853" customFormat="false" ht="15" hidden="false" customHeight="false" outlineLevel="0" collapsed="false">
      <c r="A1853" s="84" t="n">
        <v>46230</v>
      </c>
      <c r="B1853" s="85" t="n">
        <v>0</v>
      </c>
    </row>
    <row r="1854" customFormat="false" ht="15" hidden="false" customHeight="false" outlineLevel="0" collapsed="false">
      <c r="A1854" s="84" t="n">
        <v>46231</v>
      </c>
      <c r="B1854" s="85" t="n">
        <v>0</v>
      </c>
    </row>
    <row r="1855" customFormat="false" ht="15" hidden="false" customHeight="false" outlineLevel="0" collapsed="false">
      <c r="A1855" s="84" t="n">
        <v>46232</v>
      </c>
      <c r="B1855" s="85" t="n">
        <v>0</v>
      </c>
    </row>
    <row r="1856" customFormat="false" ht="15" hidden="false" customHeight="false" outlineLevel="0" collapsed="false">
      <c r="A1856" s="84" t="n">
        <v>46233</v>
      </c>
      <c r="B1856" s="85" t="n">
        <v>0</v>
      </c>
    </row>
    <row r="1857" customFormat="false" ht="15" hidden="false" customHeight="false" outlineLevel="0" collapsed="false">
      <c r="A1857" s="84" t="n">
        <v>46234</v>
      </c>
      <c r="B1857" s="85" t="n">
        <v>0</v>
      </c>
    </row>
    <row r="1858" customFormat="false" ht="15" hidden="false" customHeight="false" outlineLevel="0" collapsed="false">
      <c r="A1858" s="84" t="n">
        <v>46235</v>
      </c>
      <c r="B1858" s="85" t="n">
        <v>1</v>
      </c>
    </row>
    <row r="1859" customFormat="false" ht="15" hidden="false" customHeight="false" outlineLevel="0" collapsed="false">
      <c r="A1859" s="84" t="n">
        <v>46236</v>
      </c>
      <c r="B1859" s="85" t="n">
        <v>1</v>
      </c>
    </row>
    <row r="1860" customFormat="false" ht="15" hidden="false" customHeight="false" outlineLevel="0" collapsed="false">
      <c r="A1860" s="84" t="n">
        <v>46237</v>
      </c>
      <c r="B1860" s="85" t="n">
        <v>1</v>
      </c>
    </row>
    <row r="1861" customFormat="false" ht="15" hidden="false" customHeight="false" outlineLevel="0" collapsed="false">
      <c r="A1861" s="84" t="n">
        <v>46238</v>
      </c>
      <c r="B1861" s="85" t="n">
        <v>1</v>
      </c>
    </row>
    <row r="1862" customFormat="false" ht="15" hidden="false" customHeight="false" outlineLevel="0" collapsed="false">
      <c r="A1862" s="84" t="n">
        <v>46239</v>
      </c>
      <c r="B1862" s="85" t="n">
        <v>2</v>
      </c>
    </row>
    <row r="1863" customFormat="false" ht="15" hidden="false" customHeight="false" outlineLevel="0" collapsed="false">
      <c r="A1863" s="84" t="n">
        <v>46240</v>
      </c>
      <c r="B1863" s="85" t="n">
        <v>0</v>
      </c>
    </row>
    <row r="1864" customFormat="false" ht="15" hidden="false" customHeight="false" outlineLevel="0" collapsed="false">
      <c r="A1864" s="84" t="n">
        <v>46241</v>
      </c>
      <c r="B1864" s="85" t="n">
        <v>2</v>
      </c>
    </row>
    <row r="1865" customFormat="false" ht="15" hidden="false" customHeight="false" outlineLevel="0" collapsed="false">
      <c r="A1865" s="84" t="n">
        <v>46242</v>
      </c>
      <c r="B1865" s="85" t="n">
        <v>0</v>
      </c>
    </row>
    <row r="1866" customFormat="false" ht="15" hidden="false" customHeight="false" outlineLevel="0" collapsed="false">
      <c r="A1866" s="84" t="n">
        <v>46243</v>
      </c>
      <c r="B1866" s="85" t="n">
        <v>2</v>
      </c>
    </row>
    <row r="1867" customFormat="false" ht="15" hidden="false" customHeight="false" outlineLevel="0" collapsed="false">
      <c r="A1867" s="84" t="n">
        <v>46244</v>
      </c>
      <c r="B1867" s="85" t="n">
        <v>1</v>
      </c>
    </row>
    <row r="1868" customFormat="false" ht="15" hidden="false" customHeight="false" outlineLevel="0" collapsed="false">
      <c r="A1868" s="84" t="n">
        <v>46245</v>
      </c>
      <c r="B1868" s="85" t="n">
        <v>0</v>
      </c>
    </row>
    <row r="1869" customFormat="false" ht="15" hidden="false" customHeight="false" outlineLevel="0" collapsed="false">
      <c r="A1869" s="84" t="n">
        <v>46246</v>
      </c>
      <c r="B1869" s="85" t="n">
        <v>0</v>
      </c>
    </row>
    <row r="1870" customFormat="false" ht="15" hidden="false" customHeight="false" outlineLevel="0" collapsed="false">
      <c r="A1870" s="84" t="n">
        <v>46247</v>
      </c>
      <c r="B1870" s="85" t="n">
        <v>0</v>
      </c>
    </row>
    <row r="1871" customFormat="false" ht="15" hidden="false" customHeight="false" outlineLevel="0" collapsed="false">
      <c r="A1871" s="84" t="n">
        <v>46248</v>
      </c>
      <c r="B1871" s="85" t="n">
        <v>0</v>
      </c>
    </row>
    <row r="1872" customFormat="false" ht="15" hidden="false" customHeight="false" outlineLevel="0" collapsed="false">
      <c r="A1872" s="84" t="n">
        <v>46249</v>
      </c>
      <c r="B1872" s="85" t="n">
        <v>1</v>
      </c>
    </row>
    <row r="1873" customFormat="false" ht="15" hidden="false" customHeight="false" outlineLevel="0" collapsed="false">
      <c r="A1873" s="84" t="n">
        <v>46250</v>
      </c>
      <c r="B1873" s="85" t="n">
        <v>0</v>
      </c>
    </row>
    <row r="1874" customFormat="false" ht="15" hidden="false" customHeight="false" outlineLevel="0" collapsed="false">
      <c r="A1874" s="84" t="n">
        <v>46251</v>
      </c>
      <c r="B1874" s="85" t="n">
        <v>0</v>
      </c>
    </row>
    <row r="1875" customFormat="false" ht="15" hidden="false" customHeight="false" outlineLevel="0" collapsed="false">
      <c r="A1875" s="84" t="n">
        <v>46252</v>
      </c>
      <c r="B1875" s="85" t="n">
        <v>1</v>
      </c>
    </row>
    <row r="1876" customFormat="false" ht="15" hidden="false" customHeight="false" outlineLevel="0" collapsed="false">
      <c r="A1876" s="84" t="n">
        <v>46253</v>
      </c>
      <c r="B1876" s="85" t="n">
        <v>1</v>
      </c>
    </row>
    <row r="1877" customFormat="false" ht="15" hidden="false" customHeight="false" outlineLevel="0" collapsed="false">
      <c r="A1877" s="84" t="n">
        <v>46254</v>
      </c>
      <c r="B1877" s="85" t="n">
        <v>0</v>
      </c>
    </row>
    <row r="1878" customFormat="false" ht="15" hidden="false" customHeight="false" outlineLevel="0" collapsed="false">
      <c r="A1878" s="84" t="n">
        <v>46255</v>
      </c>
      <c r="B1878" s="85" t="n">
        <v>0</v>
      </c>
    </row>
    <row r="1879" customFormat="false" ht="15" hidden="false" customHeight="false" outlineLevel="0" collapsed="false">
      <c r="A1879" s="84" t="n">
        <v>46256</v>
      </c>
      <c r="B1879" s="85" t="n">
        <v>0</v>
      </c>
    </row>
    <row r="1880" customFormat="false" ht="15" hidden="false" customHeight="false" outlineLevel="0" collapsed="false">
      <c r="A1880" s="84" t="n">
        <v>46257</v>
      </c>
      <c r="B1880" s="85" t="n">
        <v>0</v>
      </c>
    </row>
    <row r="1881" customFormat="false" ht="15" hidden="false" customHeight="false" outlineLevel="0" collapsed="false">
      <c r="A1881" s="84" t="n">
        <v>46258</v>
      </c>
      <c r="B1881" s="85" t="n">
        <v>0</v>
      </c>
    </row>
    <row r="1882" customFormat="false" ht="15" hidden="false" customHeight="false" outlineLevel="0" collapsed="false">
      <c r="A1882" s="84" t="n">
        <v>46259</v>
      </c>
      <c r="B1882" s="85" t="n">
        <v>0</v>
      </c>
    </row>
    <row r="1883" customFormat="false" ht="15" hidden="false" customHeight="false" outlineLevel="0" collapsed="false">
      <c r="A1883" s="84" t="n">
        <v>46260</v>
      </c>
      <c r="B1883" s="85" t="n">
        <v>0</v>
      </c>
    </row>
    <row r="1884" customFormat="false" ht="15" hidden="false" customHeight="false" outlineLevel="0" collapsed="false">
      <c r="A1884" s="84" t="n">
        <v>46261</v>
      </c>
      <c r="B1884" s="85" t="n">
        <v>2</v>
      </c>
    </row>
    <row r="1885" customFormat="false" ht="15" hidden="false" customHeight="false" outlineLevel="0" collapsed="false">
      <c r="A1885" s="84" t="n">
        <v>46262</v>
      </c>
      <c r="B1885" s="85" t="n">
        <v>0</v>
      </c>
    </row>
    <row r="1886" customFormat="false" ht="15" hidden="false" customHeight="false" outlineLevel="0" collapsed="false">
      <c r="A1886" s="84" t="n">
        <v>46263</v>
      </c>
      <c r="B1886" s="85" t="n">
        <v>0</v>
      </c>
    </row>
    <row r="1887" customFormat="false" ht="15" hidden="false" customHeight="false" outlineLevel="0" collapsed="false">
      <c r="A1887" s="84" t="n">
        <v>46264</v>
      </c>
      <c r="B1887" s="85" t="n">
        <v>0</v>
      </c>
    </row>
    <row r="1888" customFormat="false" ht="15" hidden="false" customHeight="false" outlineLevel="0" collapsed="false">
      <c r="A1888" s="84" t="n">
        <v>46265</v>
      </c>
      <c r="B1888" s="85" t="n">
        <v>3</v>
      </c>
    </row>
    <row r="1889" customFormat="false" ht="15" hidden="false" customHeight="false" outlineLevel="0" collapsed="false">
      <c r="A1889" s="84" t="n">
        <v>46266</v>
      </c>
      <c r="B1889" s="85" t="n">
        <v>0</v>
      </c>
    </row>
    <row r="1890" customFormat="false" ht="15" hidden="false" customHeight="false" outlineLevel="0" collapsed="false">
      <c r="A1890" s="84" t="n">
        <v>46267</v>
      </c>
      <c r="B1890" s="85" t="n">
        <v>1</v>
      </c>
    </row>
    <row r="1891" customFormat="false" ht="15" hidden="false" customHeight="false" outlineLevel="0" collapsed="false">
      <c r="A1891" s="84" t="n">
        <v>46268</v>
      </c>
      <c r="B1891" s="85" t="n">
        <v>0</v>
      </c>
    </row>
    <row r="1892" customFormat="false" ht="15" hidden="false" customHeight="false" outlineLevel="0" collapsed="false">
      <c r="A1892" s="84" t="n">
        <v>46269</v>
      </c>
      <c r="B1892" s="85" t="n">
        <v>3</v>
      </c>
    </row>
    <row r="1893" customFormat="false" ht="15" hidden="false" customHeight="false" outlineLevel="0" collapsed="false">
      <c r="A1893" s="84" t="n">
        <v>46270</v>
      </c>
      <c r="B1893" s="85" t="n">
        <v>1</v>
      </c>
    </row>
    <row r="1894" customFormat="false" ht="15" hidden="false" customHeight="false" outlineLevel="0" collapsed="false">
      <c r="A1894" s="84" t="n">
        <v>46271</v>
      </c>
      <c r="B1894" s="85" t="n">
        <v>0</v>
      </c>
    </row>
    <row r="1895" customFormat="false" ht="15" hidden="false" customHeight="false" outlineLevel="0" collapsed="false">
      <c r="A1895" s="84" t="n">
        <v>46272</v>
      </c>
      <c r="B1895" s="85" t="n">
        <v>0</v>
      </c>
    </row>
    <row r="1896" customFormat="false" ht="15" hidden="false" customHeight="false" outlineLevel="0" collapsed="false">
      <c r="A1896" s="84" t="n">
        <v>46273</v>
      </c>
      <c r="B1896" s="85" t="n">
        <v>3</v>
      </c>
    </row>
    <row r="1897" customFormat="false" ht="15" hidden="false" customHeight="false" outlineLevel="0" collapsed="false">
      <c r="A1897" s="84" t="n">
        <v>46274</v>
      </c>
      <c r="B1897" s="85" t="n">
        <v>2</v>
      </c>
    </row>
    <row r="1898" customFormat="false" ht="15" hidden="false" customHeight="false" outlineLevel="0" collapsed="false">
      <c r="A1898" s="84" t="n">
        <v>46275</v>
      </c>
      <c r="B1898" s="85" t="n">
        <v>0</v>
      </c>
    </row>
    <row r="1899" customFormat="false" ht="15" hidden="false" customHeight="false" outlineLevel="0" collapsed="false">
      <c r="A1899" s="84" t="n">
        <v>46276</v>
      </c>
      <c r="B1899" s="85" t="n">
        <v>0</v>
      </c>
    </row>
    <row r="1900" customFormat="false" ht="15" hidden="false" customHeight="false" outlineLevel="0" collapsed="false">
      <c r="A1900" s="84" t="n">
        <v>46277</v>
      </c>
      <c r="B1900" s="85" t="n">
        <v>5</v>
      </c>
    </row>
    <row r="1901" customFormat="false" ht="15" hidden="false" customHeight="false" outlineLevel="0" collapsed="false">
      <c r="A1901" s="84" t="n">
        <v>46278</v>
      </c>
      <c r="B1901" s="85" t="n">
        <v>4</v>
      </c>
    </row>
    <row r="1902" customFormat="false" ht="15" hidden="false" customHeight="false" outlineLevel="0" collapsed="false">
      <c r="A1902" s="84" t="n">
        <v>46279</v>
      </c>
      <c r="B1902" s="85" t="n">
        <v>6</v>
      </c>
    </row>
    <row r="1903" customFormat="false" ht="15" hidden="false" customHeight="false" outlineLevel="0" collapsed="false">
      <c r="A1903" s="84" t="n">
        <v>46280</v>
      </c>
      <c r="B1903" s="85" t="n">
        <v>1</v>
      </c>
    </row>
    <row r="1904" customFormat="false" ht="15" hidden="false" customHeight="false" outlineLevel="0" collapsed="false">
      <c r="A1904" s="84" t="n">
        <v>46281</v>
      </c>
      <c r="B1904" s="85" t="n">
        <v>1</v>
      </c>
    </row>
    <row r="1905" customFormat="false" ht="15" hidden="false" customHeight="false" outlineLevel="0" collapsed="false">
      <c r="A1905" s="84" t="n">
        <v>46282</v>
      </c>
      <c r="B1905" s="85" t="n">
        <v>2</v>
      </c>
    </row>
    <row r="1906" customFormat="false" ht="15" hidden="false" customHeight="false" outlineLevel="0" collapsed="false">
      <c r="A1906" s="84" t="n">
        <v>46283</v>
      </c>
      <c r="B1906" s="85" t="n">
        <v>0</v>
      </c>
    </row>
    <row r="1907" customFormat="false" ht="15" hidden="false" customHeight="false" outlineLevel="0" collapsed="false">
      <c r="A1907" s="84" t="n">
        <v>46284</v>
      </c>
      <c r="B1907" s="85" t="n">
        <v>2</v>
      </c>
    </row>
    <row r="1908" customFormat="false" ht="15" hidden="false" customHeight="false" outlineLevel="0" collapsed="false">
      <c r="A1908" s="84" t="n">
        <v>46285</v>
      </c>
      <c r="B1908" s="85" t="n">
        <v>0</v>
      </c>
    </row>
    <row r="1909" customFormat="false" ht="15" hidden="false" customHeight="false" outlineLevel="0" collapsed="false">
      <c r="A1909" s="84" t="n">
        <v>46286</v>
      </c>
      <c r="B1909" s="85" t="n">
        <v>3</v>
      </c>
    </row>
    <row r="1910" customFormat="false" ht="15" hidden="false" customHeight="false" outlineLevel="0" collapsed="false">
      <c r="A1910" s="84" t="n">
        <v>46287</v>
      </c>
      <c r="B1910" s="85" t="n">
        <v>3</v>
      </c>
    </row>
    <row r="1911" customFormat="false" ht="15" hidden="false" customHeight="false" outlineLevel="0" collapsed="false">
      <c r="A1911" s="84" t="n">
        <v>46288</v>
      </c>
      <c r="B1911" s="85" t="n">
        <v>5</v>
      </c>
    </row>
    <row r="1912" customFormat="false" ht="15" hidden="false" customHeight="false" outlineLevel="0" collapsed="false">
      <c r="A1912" s="84" t="n">
        <v>46289</v>
      </c>
      <c r="B1912" s="85" t="n">
        <v>0</v>
      </c>
    </row>
    <row r="1913" customFormat="false" ht="15" hidden="false" customHeight="false" outlineLevel="0" collapsed="false">
      <c r="A1913" s="84" t="n">
        <v>46290</v>
      </c>
      <c r="B1913" s="85" t="n">
        <v>2</v>
      </c>
    </row>
    <row r="1914" customFormat="false" ht="15" hidden="false" customHeight="false" outlineLevel="0" collapsed="false">
      <c r="A1914" s="84" t="n">
        <v>46291</v>
      </c>
      <c r="B1914" s="85" t="n">
        <v>0</v>
      </c>
    </row>
    <row r="1915" customFormat="false" ht="15" hidden="false" customHeight="false" outlineLevel="0" collapsed="false">
      <c r="A1915" s="84" t="n">
        <v>46292</v>
      </c>
      <c r="B1915" s="85" t="n">
        <v>1</v>
      </c>
    </row>
    <row r="1916" customFormat="false" ht="15" hidden="false" customHeight="false" outlineLevel="0" collapsed="false">
      <c r="A1916" s="84" t="n">
        <v>46293</v>
      </c>
      <c r="B1916" s="85" t="n">
        <v>1</v>
      </c>
    </row>
    <row r="1917" customFormat="false" ht="15" hidden="false" customHeight="false" outlineLevel="0" collapsed="false">
      <c r="A1917" s="84" t="n">
        <v>46294</v>
      </c>
      <c r="B1917" s="85" t="n">
        <v>1</v>
      </c>
    </row>
    <row r="1918" customFormat="false" ht="15" hidden="false" customHeight="false" outlineLevel="0" collapsed="false">
      <c r="A1918" s="84" t="n">
        <v>46295</v>
      </c>
      <c r="B1918" s="85" t="n">
        <v>0</v>
      </c>
    </row>
    <row r="1919" customFormat="false" ht="15" hidden="false" customHeight="false" outlineLevel="0" collapsed="false">
      <c r="A1919" s="84" t="n">
        <v>46296</v>
      </c>
      <c r="B1919" s="85" t="n">
        <v>0</v>
      </c>
    </row>
    <row r="1920" customFormat="false" ht="15" hidden="false" customHeight="false" outlineLevel="0" collapsed="false">
      <c r="A1920" s="84" t="n">
        <v>46297</v>
      </c>
      <c r="B1920" s="85" t="n">
        <v>0</v>
      </c>
    </row>
    <row r="1921" customFormat="false" ht="15" hidden="false" customHeight="false" outlineLevel="0" collapsed="false">
      <c r="A1921" s="84" t="n">
        <v>46298</v>
      </c>
      <c r="B1921" s="85" t="n">
        <v>0</v>
      </c>
    </row>
    <row r="1922" customFormat="false" ht="15" hidden="false" customHeight="false" outlineLevel="0" collapsed="false">
      <c r="A1922" s="84" t="n">
        <v>46299</v>
      </c>
      <c r="B1922" s="85" t="n">
        <v>1</v>
      </c>
    </row>
    <row r="1923" customFormat="false" ht="15" hidden="false" customHeight="false" outlineLevel="0" collapsed="false">
      <c r="A1923" s="84" t="n">
        <v>46300</v>
      </c>
      <c r="B1923" s="85" t="n">
        <v>0</v>
      </c>
    </row>
    <row r="1924" customFormat="false" ht="15" hidden="false" customHeight="false" outlineLevel="0" collapsed="false">
      <c r="A1924" s="84" t="n">
        <v>46301</v>
      </c>
      <c r="B1924" s="85" t="n">
        <v>0</v>
      </c>
    </row>
    <row r="1925" customFormat="false" ht="15" hidden="false" customHeight="false" outlineLevel="0" collapsed="false">
      <c r="A1925" s="84" t="n">
        <v>46302</v>
      </c>
      <c r="B1925" s="85" t="n">
        <v>2</v>
      </c>
    </row>
    <row r="1926" customFormat="false" ht="15" hidden="false" customHeight="false" outlineLevel="0" collapsed="false">
      <c r="A1926" s="84" t="n">
        <v>46303</v>
      </c>
      <c r="B1926" s="85" t="n">
        <v>0</v>
      </c>
    </row>
    <row r="1927" customFormat="false" ht="15" hidden="false" customHeight="false" outlineLevel="0" collapsed="false">
      <c r="A1927" s="84" t="n">
        <v>46304</v>
      </c>
      <c r="B1927" s="85" t="n">
        <v>0</v>
      </c>
    </row>
    <row r="1928" customFormat="false" ht="15" hidden="false" customHeight="false" outlineLevel="0" collapsed="false">
      <c r="A1928" s="84" t="n">
        <v>46305</v>
      </c>
      <c r="B1928" s="85" t="n">
        <v>0</v>
      </c>
    </row>
    <row r="1929" customFormat="false" ht="15" hidden="false" customHeight="false" outlineLevel="0" collapsed="false">
      <c r="A1929" s="84" t="n">
        <v>46306</v>
      </c>
      <c r="B1929" s="85" t="n">
        <v>0</v>
      </c>
    </row>
    <row r="1930" customFormat="false" ht="15" hidden="false" customHeight="false" outlineLevel="0" collapsed="false">
      <c r="A1930" s="84" t="n">
        <v>46307</v>
      </c>
      <c r="B1930" s="85" t="n">
        <v>0</v>
      </c>
    </row>
    <row r="1931" customFormat="false" ht="15" hidden="false" customHeight="false" outlineLevel="0" collapsed="false">
      <c r="A1931" s="84" t="n">
        <v>46308</v>
      </c>
      <c r="B1931" s="85" t="n">
        <v>2</v>
      </c>
    </row>
    <row r="1932" customFormat="false" ht="15" hidden="false" customHeight="false" outlineLevel="0" collapsed="false">
      <c r="A1932" s="84" t="n">
        <v>46309</v>
      </c>
      <c r="B1932" s="85" t="n">
        <v>1</v>
      </c>
    </row>
    <row r="1933" customFormat="false" ht="15" hidden="false" customHeight="false" outlineLevel="0" collapsed="false">
      <c r="A1933" s="84" t="n">
        <v>46310</v>
      </c>
      <c r="B1933" s="85" t="n">
        <v>0</v>
      </c>
    </row>
    <row r="1934" customFormat="false" ht="15" hidden="false" customHeight="false" outlineLevel="0" collapsed="false">
      <c r="A1934" s="84" t="n">
        <v>46311</v>
      </c>
      <c r="B1934" s="85" t="n">
        <v>1</v>
      </c>
    </row>
    <row r="1935" customFormat="false" ht="15" hidden="false" customHeight="false" outlineLevel="0" collapsed="false">
      <c r="A1935" s="84" t="n">
        <v>46312</v>
      </c>
      <c r="B1935" s="85" t="n">
        <v>0</v>
      </c>
    </row>
  </sheetData>
  <conditionalFormatting sqref="B5:B1935">
    <cfRule type="dataBar" priority="2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{AC4B1CCA-98B8-45E4-8FC7-FF5F346B923B}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4B1CCA-98B8-45E4-8FC7-FF5F346B923B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B5:B1935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2026-10-19T06:30:51Z</dcterms:created>
  <dc:creator>openpyxl</dc:creator>
  <dc:description/>
  <dc:language>en-US</dc:language>
  <cp:lastModifiedBy/>
  <dcterms:modified xsi:type="dcterms:W3CDTF">2026-10-19T06:30:54Z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