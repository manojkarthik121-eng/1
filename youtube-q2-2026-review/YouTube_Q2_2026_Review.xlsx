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Video Data" sheetId="3" state="visible" r:id="rId5"/>
    <sheet name="Monthly Trend" sheetId="4" state="visible" r:id="rId6"/>
    <sheet name="Traffic &amp; Audience" sheetId="5" state="visible" r:id="rId7"/>
    <sheet name="Insights &amp; Research" sheetId="6" state="visible" r:id="rId8"/>
    <sheet name="Q3 Action Plan" sheetId="7" state="visible" r:id="rId9"/>
    <sheet name="Q3 Scorecard" sheetId="8" state="visible" r:id="rId10"/>
    <sheet name="Benchmarks" sheetId="9" state="visible" r:id="rId11"/>
  </sheets>
  <definedNames>
    <definedName function="false" hidden="true" localSheetId="6" name="_xlnm._FilterDatabase" vbProcedure="false">'Q3 Action Plan'!$A$4:$K$20</definedName>
    <definedName function="false" hidden="true" localSheetId="2" name="_xlnm._FilterDatabase" vbProcedure="false">'Video Data'!$A$4:$AI$204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Type the number exactly as Studio shows it: 5.8 means 5.8%.</t>
        </r>
      </text>
    </comment>
    <comment ref="AF4" authorId="0">
      <text>
        <r>
          <rPr>
            <sz val="10"/>
            <rFont val="Arial"/>
            <family val="2"/>
          </rPr>
          <t xml:space="preserve">Long-form videos with at least the minimum impressions set on the Benchmarks tab (default 1,000) — used to find your best-packaged video fairly.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Weighted by impressions, so a big month counts more.</t>
        </r>
      </text>
    </comment>
    <comment ref="J8" authorId="0">
      <text>
        <r>
          <rPr>
            <sz val="10"/>
            <rFont val="Arial"/>
            <family val="2"/>
          </rPr>
          <t xml:space="preserve">Approximation: monthly unique viewers overlap. For the exact Q2 figure, set Studio's date range to Apr 1 – Jun 30.</t>
        </r>
      </text>
    </comment>
  </commentList>
</comments>
</file>

<file path=xl/sharedStrings.xml><?xml version="1.0" encoding="utf-8"?>
<sst xmlns="http://schemas.openxmlformats.org/spreadsheetml/2006/main" count="694" uniqueCount="530">
  <si>
    <t xml:space="preserve">Q2 2026 YouTube Performance Review  ·  Apr 1 – Jun 30, 2026</t>
  </si>
  <si>
    <t xml:space="preserve">Built as a living workbook: paste your YouTube Studio numbers into the yellow cells and every chart, grade, colour and takeaway updates automatically.</t>
  </si>
  <si>
    <t xml:space="preserve">Data status</t>
  </si>
  <si>
    <t xml:space="preserve">How to use this workbook (about 15 minutes)</t>
  </si>
  <si>
    <t xml:space="preserve">STEP 1 — Per-video data (most important)</t>
  </si>
  <si>
    <t xml:space="preserve">YouTube Studio → Analytics → ADVANCED MODE → 'Content' tab → date range: Custom, Apr 1 2026 – Jun 30 2026. Click the '+' / metrics picker and add: Impressions, Impressions click-through rate, Average view duration, Average percentage viewed, Watch time (hours), Likes, Comments added, Shares, Subscribers gained, Subscribers lost, Estimated revenue (if monetised). Click the download icon (top right) → 'Comma-separated values (.csv)'.</t>
  </si>
  <si>
    <t xml:space="preserve">STEP 1b — Load it</t>
  </si>
  <si>
    <t xml:space="preserve">Easiest: run  python import_studio_export.py YouTube_Q2_2026_Review.xlsx "Table data.csv"  (maps columns automatically). Or copy each column from the CSV into the matching yellow column on the 'Video Data' tab (headers use YouTube's own names). Format column: type Long or Short, or leave blank (videos ≤ 3 min are treated as Shorts).</t>
  </si>
  <si>
    <t xml:space="preserve">STEP 2 — Monthly totals</t>
  </si>
  <si>
    <t xml:space="preserve">Studio → Analytics → Overview. Set the date range to April 2026 and copy the channel totals into the 'Monthly Trend' tab; repeat for May and June. Optional but recommended: also enter Q1 2026 (Jan 1 – Mar 31) to see quarter-over-quarter growth.</t>
  </si>
  <si>
    <t xml:space="preserve">STEP 3 — Traffic &amp; audience</t>
  </si>
  <si>
    <t xml:space="preserve">Advanced mode, Apr 1 – Jun 30 2026: 'Traffic source' tab → views per source; Audience → New / Casual / Regular viewers; 'Device type' and 'Viewer age' tabs → views. Enter them in the 'Traffic &amp; Audience' tab.</t>
  </si>
  <si>
    <t xml:space="preserve">STEP 4 — Read &amp; act</t>
  </si>
  <si>
    <t xml:space="preserve">Dashboard → your Q2 story at a glance. Video Data → every video graded and diagnosed. Insights &amp; Research → what's changing on YouTube and in AI. Q3 Action Plan → what to do. Q3 Scorecard → targets to track.</t>
  </si>
  <si>
    <t xml:space="preserve">Timing note</t>
  </si>
  <si>
    <t xml:space="preserve">Today Q3 (Jul–Sep 2026) has already closed. Use the Q3 Scorecard now to grade Q3 against Q2, then carry the open action items into Q4.</t>
  </si>
  <si>
    <t xml:space="preserve">Colour legend</t>
  </si>
  <si>
    <t xml:space="preserve">Yellow cell, blue text</t>
  </si>
  <si>
    <t xml:space="preserve">You type or paste here. These are the ONLY cells you need to edit.</t>
  </si>
  <si>
    <t xml:space="preserve">Grey header</t>
  </si>
  <si>
    <t xml:space="preserve">Calculated automatically — please don't type over these.</t>
  </si>
  <si>
    <t xml:space="preserve">Needs work</t>
  </si>
  <si>
    <t xml:space="preserve">Below typical creators — a priority for Q3.</t>
  </si>
  <si>
    <t xml:space="preserve">Average</t>
  </si>
  <si>
    <t xml:space="preserve">In the normal range — room to grow.</t>
  </si>
  <si>
    <t xml:space="preserve">Strong</t>
  </si>
  <si>
    <t xml:space="preserve">Above typical — protect and repeat what's working.</t>
  </si>
  <si>
    <t xml:space="preserve">Elite</t>
  </si>
  <si>
    <t xml:space="preserve">Top-tier — this is a signature strength.</t>
  </si>
  <si>
    <t xml:space="preserve">Example of one row on the Video Data tab (format guide only — not real data)</t>
  </si>
  <si>
    <t xml:space="preserve">Video title</t>
  </si>
  <si>
    <t xml:space="preserve">Publish date</t>
  </si>
  <si>
    <t xml:space="preserve">Format</t>
  </si>
  <si>
    <t xml:space="preserve">Duration (sec)</t>
  </si>
  <si>
    <t xml:space="preserve">Views</t>
  </si>
  <si>
    <t xml:space="preserve">Impressions</t>
  </si>
  <si>
    <t xml:space="preserve">CTR (%)</t>
  </si>
  <si>
    <t xml:space="preserve">Avg view duration</t>
  </si>
  <si>
    <t xml:space="preserve">Avg % viewed</t>
  </si>
  <si>
    <t xml:space="preserve">I tested 5 AI agents for a week</t>
  </si>
  <si>
    <t xml:space="preserve">Long</t>
  </si>
  <si>
    <t xml:space="preserve">Percentages are typed exactly as YouTube shows them: 5.8 means 5.8% (not 0.058). Average view duration can be pasted as 3:51 or 0:03:51.</t>
  </si>
  <si>
    <t xml:space="preserve">Tabs in this workbook</t>
  </si>
  <si>
    <t xml:space="preserve">Dashboard</t>
  </si>
  <si>
    <t xml:space="preserve">One-page Q2 summary: KPI tiles, auto-written takeaways, benchmark health check, long vs Shorts, top &amp; bottom videos, timing patterns, charts.</t>
  </si>
  <si>
    <t xml:space="preserve">Video Data</t>
  </si>
  <si>
    <t xml:space="preserve">One row per video. Paste here. Each video gets graded on CTR, retention and engagement, scored 1–4 and diagnosed.</t>
  </si>
  <si>
    <t xml:space="preserve">Monthly Trend</t>
  </si>
  <si>
    <t xml:space="preserve">April / May / June channel totals, month-over-month change and Q2 vs Q1.</t>
  </si>
  <si>
    <t xml:space="preserve">Traffic &amp; Audience</t>
  </si>
  <si>
    <t xml:space="preserve">Where views came from and who watched (new vs returning, device, age).</t>
  </si>
  <si>
    <t xml:space="preserve">Benchmarks</t>
  </si>
  <si>
    <t xml:space="preserve">The thresholds behind every grade, with sources. Edit them if your niche differs.</t>
  </si>
  <si>
    <t xml:space="preserve">Insights &amp; Research</t>
  </si>
  <si>
    <t xml:space="preserve">Research on YouTube's 2026 changes, the creator economy and the AI space — and what each means for you.</t>
  </si>
  <si>
    <t xml:space="preserve">Q3 Action Plan</t>
  </si>
  <si>
    <t xml:space="preserve">Prioritised action items with owners, timing, KPI and status tracking.</t>
  </si>
  <si>
    <t xml:space="preserve">Q3 Scorecard</t>
  </si>
  <si>
    <t xml:space="preserve">Q2 baseline → Q3 targets → Q3 actuals, colour-coded on/off track.</t>
  </si>
  <si>
    <t xml:space="preserve">Q2 2026 YouTube Performance Dashboard  ·  Apr 1 – Jun 30</t>
  </si>
  <si>
    <t xml:space="preserve">Q2 at a glance</t>
  </si>
  <si>
    <t xml:space="preserve">VIEWS</t>
  </si>
  <si>
    <t xml:space="preserve">WATCH TIME (HOURS)</t>
  </si>
  <si>
    <t xml:space="preserve">NET SUBSCRIBERS</t>
  </si>
  <si>
    <t xml:space="preserve">EST. REVENUE (USD)</t>
  </si>
  <si>
    <t xml:space="preserve">IMPRESSIONS</t>
  </si>
  <si>
    <t xml:space="preserve">IMPRESSIONS CTR (LONG-FORM)</t>
  </si>
  <si>
    <t xml:space="preserve">AVG % VIEWED (LONG-FORM)</t>
  </si>
  <si>
    <t xml:space="preserve">ENGAGEMENT RATE</t>
  </si>
  <si>
    <t xml:space="preserve">Key takeaways — written automatically from your numbers</t>
  </si>
  <si>
    <t xml:space="preserve">• Q3/Q4 CONTEXT — From Aug 24 2026 YouTube counts a view from the first frame, so post-Q2 view counts will look inflated vs this report. Judge growth on watch hours, CTR, % viewed and subscribers, not raw views. (Source: 9to5Google, Forbes, Aug 2026.)</t>
  </si>
  <si>
    <t xml:space="preserve">Health check vs industry benchmarks (thresholds on the Benchmarks tab)</t>
  </si>
  <si>
    <t xml:space="preserve">Metric</t>
  </si>
  <si>
    <t xml:space="preserve">Your Q2</t>
  </si>
  <si>
    <t xml:space="preserve">Average from</t>
  </si>
  <si>
    <t xml:space="preserve">Strong from</t>
  </si>
  <si>
    <t xml:space="preserve">Elite from</t>
  </si>
  <si>
    <t xml:space="preserve">Grade</t>
  </si>
  <si>
    <t xml:space="preserve">What to do next</t>
  </si>
  <si>
    <t xml:space="preserve">Impressions CTR (long-form)</t>
  </si>
  <si>
    <t xml:space="preserve">Avg % viewed (long-form)</t>
  </si>
  <si>
    <t xml:space="preserve">Avg % viewed (Shorts)</t>
  </si>
  <si>
    <t xml:space="preserve">Engagement rate</t>
  </si>
  <si>
    <t xml:space="preserve">Comments per 1,000 views</t>
  </si>
  <si>
    <t xml:space="preserve">Net subs per 1,000 views</t>
  </si>
  <si>
    <t xml:space="preserve">Returning viewers share</t>
  </si>
  <si>
    <t xml:space="preserve">Long-form vs Shorts</t>
  </si>
  <si>
    <t xml:space="preserve">Video scorecard mix (from Diagnosis column)</t>
  </si>
  <si>
    <t xml:space="preserve">Long-form</t>
  </si>
  <si>
    <t xml:space="preserve">Shorts</t>
  </si>
  <si>
    <t xml:space="preserve">Edge</t>
  </si>
  <si>
    <t xml:space="preserve">Diagnosis</t>
  </si>
  <si>
    <t xml:space="preserve">Videos</t>
  </si>
  <si>
    <t xml:space="preserve">Next step</t>
  </si>
  <si>
    <t xml:space="preserve">—</t>
  </si>
  <si>
    <t xml:space="preserve">WINNER</t>
  </si>
  <si>
    <t xml:space="preserve">Make sequels, a series, and Shorts from these.</t>
  </si>
  <si>
    <t xml:space="preserve">Total views</t>
  </si>
  <si>
    <t xml:space="preserve">Great video, weak packaging</t>
  </si>
  <si>
    <t xml:space="preserve">Fastest win: re-test title + thumbnail now.</t>
  </si>
  <si>
    <t xml:space="preserve">Avg views per video</t>
  </si>
  <si>
    <t xml:space="preserve">Click but leave</t>
  </si>
  <si>
    <t xml:space="preserve">Fix the first 30s; make the title match the payoff.</t>
  </si>
  <si>
    <t xml:space="preserve">Watch time (hours)</t>
  </si>
  <si>
    <t xml:space="preserve">Topic miss</t>
  </si>
  <si>
    <t xml:space="preserve">Retire the angle; don't remake it.</t>
  </si>
  <si>
    <t xml:space="preserve">Avg % viewed (view-weighted)</t>
  </si>
  <si>
    <t xml:space="preserve">Average (long-form)</t>
  </si>
  <si>
    <t xml:space="preserve">Sharpen hooks and titles.</t>
  </si>
  <si>
    <t xml:space="preserve">Winner Short</t>
  </si>
  <si>
    <t xml:space="preserve">Expand into a long-form video.</t>
  </si>
  <si>
    <t xml:space="preserve">Comments per 1k views</t>
  </si>
  <si>
    <t xml:space="preserve">Hook problem (Short)</t>
  </si>
  <si>
    <t xml:space="preserve">Start on the payoff; no intro.</t>
  </si>
  <si>
    <t xml:space="preserve">Net subscribers</t>
  </si>
  <si>
    <t xml:space="preserve">Watched but no reaction (Short)</t>
  </si>
  <si>
    <t xml:space="preserve">End on a question or hot take.</t>
  </si>
  <si>
    <t xml:space="preserve">Net subs per 1k views</t>
  </si>
  <si>
    <t xml:space="preserve">Revenue per 1k views (USD)</t>
  </si>
  <si>
    <t xml:space="preserve">Avg % viewed isn't comparable across formats (Shorts loop). Shorts typically earn far less per view than long-form.</t>
  </si>
  <si>
    <t xml:space="preserve">Top 10 long-form videos by views — study and repeat these</t>
  </si>
  <si>
    <t xml:space="preserve">#</t>
  </si>
  <si>
    <t xml:space="preserve">CTR</t>
  </si>
  <si>
    <t xml:space="preserve">% viewed</t>
  </si>
  <si>
    <t xml:space="preserve">Engage-ment</t>
  </si>
  <si>
    <t xml:space="preserve">Net subs</t>
  </si>
  <si>
    <t xml:space="preserve">Top 5 Shorts by views</t>
  </si>
  <si>
    <t xml:space="preserve">Bottom 5 long-form videos by views — learn from these (shown when you have 10+ long-form videos)</t>
  </si>
  <si>
    <t xml:space="preserve">Best publish day (long-form)</t>
  </si>
  <si>
    <t xml:space="preserve">Best long-form length</t>
  </si>
  <si>
    <t xml:space="preserve">Day</t>
  </si>
  <si>
    <t xml:space="preserve">Long videos</t>
  </si>
  <si>
    <t xml:space="preserve">Avg views (long)</t>
  </si>
  <si>
    <t xml:space="preserve">Avg CTR (long)</t>
  </si>
  <si>
    <t xml:space="preserve">Shorts / avg views</t>
  </si>
  <si>
    <t xml:space="preserve">Length</t>
  </si>
  <si>
    <t xml:space="preserve">Avg views</t>
  </si>
  <si>
    <t xml:space="preserve">Avg CTR</t>
  </si>
  <si>
    <t xml:space="preserve">Mon</t>
  </si>
  <si>
    <t xml:space="preserve">Under 8 min</t>
  </si>
  <si>
    <t xml:space="preserve">Tue</t>
  </si>
  <si>
    <t xml:space="preserve">8–15 min</t>
  </si>
  <si>
    <t xml:space="preserve">Wed</t>
  </si>
  <si>
    <t xml:space="preserve">15–25 min</t>
  </si>
  <si>
    <t xml:space="preserve">Thu</t>
  </si>
  <si>
    <t xml:space="preserve">25+ min</t>
  </si>
  <si>
    <t xml:space="preserve">Fri</t>
  </si>
  <si>
    <t xml:space="preserve">Sat</t>
  </si>
  <si>
    <t xml:space="preserve">Sun</t>
  </si>
  <si>
    <t xml:space="preserve">Best day:</t>
  </si>
  <si>
    <t xml:space="preserve">Best length:</t>
  </si>
  <si>
    <t xml:space="preserve">Charts</t>
  </si>
  <si>
    <t xml:space="preserve">Video Data — one row per video (Q2 2026: Apr 1 – Jun 30)</t>
  </si>
  <si>
    <t xml:space="preserve">Paste/type into the yellow columns A–P (YouTube Studio → Analytics → Advanced mode → Content, date range Apr 1 – Jun 30 2026). Grey columns Q onward calculate automatically. Percentages as shown in Studio (5.8 = 5.8%).</t>
  </si>
  <si>
    <t xml:space="preserve">YOUR INPUTS  (from YouTube Studio)</t>
  </si>
  <si>
    <t xml:space="preserve">AUTO-CALCULATED  (do not edit)</t>
  </si>
  <si>
    <t xml:space="preserve">Video publish time</t>
  </si>
  <si>
    <t xml:space="preserve">Format
(Long / Short)</t>
  </si>
  <si>
    <t xml:space="preserve">Impressions click-through rate (%)</t>
  </si>
  <si>
    <t xml:space="preserve">Average view duration</t>
  </si>
  <si>
    <t xml:space="preserve">Average percentage viewed (%)</t>
  </si>
  <si>
    <t xml:space="preserve">Likes</t>
  </si>
  <si>
    <t xml:space="preserve">Comments added</t>
  </si>
  <si>
    <t xml:space="preserve">Shares</t>
  </si>
  <si>
    <t xml:space="preserve">Subscribers gained</t>
  </si>
  <si>
    <t xml:space="preserve">Subscribers lost</t>
  </si>
  <si>
    <t xml:space="preserve">Estimated revenue (USD)</t>
  </si>
  <si>
    <t xml:space="preserve">Format used</t>
  </si>
  <si>
    <t xml:space="preserve">Length (min)</t>
  </si>
  <si>
    <t xml:space="preserve">Published in Q2?</t>
  </si>
  <si>
    <t xml:space="preserve">Publish day</t>
  </si>
  <si>
    <t xml:space="preserve">Long-form length bucket</t>
  </si>
  <si>
    <t xml:space="preserve">Engagement rate (%)</t>
  </si>
  <si>
    <t xml:space="preserve">CTR grade</t>
  </si>
  <si>
    <t xml:space="preserve">Retention grade</t>
  </si>
  <si>
    <t xml:space="preserve">Engagement grade</t>
  </si>
  <si>
    <t xml:space="preserve">Video score (1–4)</t>
  </si>
  <si>
    <t xml:space="preserve">Diagnosis — what to do</t>
  </si>
  <si>
    <t xml:space="preserve">Rank within format</t>
  </si>
  <si>
    <t xml:space="preserve">CTR (eligible long-form)</t>
  </si>
  <si>
    <t xml:space="preserve">CTR pts</t>
  </si>
  <si>
    <t xml:space="preserve">Ret pts</t>
  </si>
  <si>
    <t xml:space="preserve">Eng pts</t>
  </si>
  <si>
    <t xml:space="preserve">Monthly Trend — channel totals (YouTube Studio → Analytics → Overview)</t>
  </si>
  <si>
    <t xml:space="preserve">Enter April, May, June (and optionally Q1 2026) channel totals in the yellow cells. Q2 totals, growth and video counts are calculated.</t>
  </si>
  <si>
    <t xml:space="preserve">Period</t>
  </si>
  <si>
    <t xml:space="preserve">Impressions CTR (%)</t>
  </si>
  <si>
    <t xml:space="preserve">Unique viewers</t>
  </si>
  <si>
    <t xml:space="preserve">Long-form videos published</t>
  </si>
  <si>
    <t xml:space="preserve">Shorts published</t>
  </si>
  <si>
    <t xml:space="preserve">April 2026</t>
  </si>
  <si>
    <t xml:space="preserve">May 2026</t>
  </si>
  <si>
    <t xml:space="preserve">June 2026</t>
  </si>
  <si>
    <t xml:space="preserve">Q2 2026 TOTAL</t>
  </si>
  <si>
    <t xml:space="preserve">Q1 2026 (Jan–Mar) — optional</t>
  </si>
  <si>
    <t xml:space="preserve">Q2 vs Q1 change (%)</t>
  </si>
  <si>
    <t xml:space="preserve">May vs April (%)</t>
  </si>
  <si>
    <t xml:space="preserve">June vs May (%)</t>
  </si>
  <si>
    <t xml:space="preserve">June vs April (%)</t>
  </si>
  <si>
    <t xml:space="preserve">Green = growth, red = decline. Note: from Aug 24 2026 YouTube counts a view from the first frame, so compare Q3+ views with care (see Insights).</t>
  </si>
  <si>
    <t xml:space="preserve">Traffic &amp; Audience — Q2 2026</t>
  </si>
  <si>
    <t xml:space="preserve">Studio → Analytics → Advanced mode, Apr 1 – Jun 30 2026. Enter views per row in the yellow cells; shares and changes calculate.</t>
  </si>
  <si>
    <t xml:space="preserve">Traffic source</t>
  </si>
  <si>
    <t xml:space="preserve">Q2 views</t>
  </si>
  <si>
    <t xml:space="preserve">Q2 watch time (hours)</t>
  </si>
  <si>
    <t xml:space="preserve">Q1 views (optional)</t>
  </si>
  <si>
    <t xml:space="preserve">Share of views</t>
  </si>
  <si>
    <t xml:space="preserve">Change vs Q1</t>
  </si>
  <si>
    <t xml:space="preserve">What this source tells you</t>
  </si>
  <si>
    <t xml:space="preserve">Browse features</t>
  </si>
  <si>
    <t xml:space="preserve">Home feed &amp; subscriptions. Grows when viewers are satisfied — the algorithm trusts you.</t>
  </si>
  <si>
    <t xml:space="preserve">Suggested videos</t>
  </si>
  <si>
    <t xml:space="preserve">Shown next to/after other videos. Grows when you make content adjacent to bigger videos.</t>
  </si>
  <si>
    <t xml:space="preserve">YouTube search</t>
  </si>
  <si>
    <t xml:space="preserve">People typing a query. Evergreen 'how to' AI tutorials win here and keep earning for months.</t>
  </si>
  <si>
    <t xml:space="preserve">Shorts feed</t>
  </si>
  <si>
    <t xml:space="preserve">Swipe feed. Big reach, low intent — use it as a funnel to long-form.</t>
  </si>
  <si>
    <t xml:space="preserve">Channel pages</t>
  </si>
  <si>
    <t xml:space="preserve">Viewers browsing your channel — a sign of loyal fans. Good playlists/trailer help.</t>
  </si>
  <si>
    <t xml:space="preserve">External</t>
  </si>
  <si>
    <t xml:space="preserve">Links from Google, X, Reddit, newsletters, AI chatbots. Shows off-platform demand.</t>
  </si>
  <si>
    <t xml:space="preserve">Notifications</t>
  </si>
  <si>
    <t xml:space="preserve">Bell subscribers. Reflects how engaged your core audience is.</t>
  </si>
  <si>
    <t xml:space="preserve">Playlists</t>
  </si>
  <si>
    <t xml:space="preserve">Binge sessions. Organised series increase this and session time.</t>
  </si>
  <si>
    <t xml:space="preserve">End screens</t>
  </si>
  <si>
    <t xml:space="preserve">Your own end screens. Low = end screens aren't compelling or are missing.</t>
  </si>
  <si>
    <t xml:space="preserve">Direct or unknown</t>
  </si>
  <si>
    <t xml:space="preserve">Typed URLs, some apps/embeds. Usually small.</t>
  </si>
  <si>
    <t xml:space="preserve">Other YouTube features</t>
  </si>
  <si>
    <t xml:space="preserve">Misc. surfaces (e.g. Hype, Explore).</t>
  </si>
  <si>
    <t xml:space="preserve">Hashtag pages</t>
  </si>
  <si>
    <t xml:space="preserve">Viewers browsing a hashtag. Usually small.</t>
  </si>
  <si>
    <t xml:space="preserve">TOTAL</t>
  </si>
  <si>
    <t xml:space="preserve">Top traffic source</t>
  </si>
  <si>
    <t xml:space="preserve">Its share of views</t>
  </si>
  <si>
    <t xml:space="preserve">Viewer loyalty (Audience tab → New / Casual / Regular viewers)</t>
  </si>
  <si>
    <t xml:space="preserve">Group</t>
  </si>
  <si>
    <t xml:space="preserve">Q2 views / viewers</t>
  </si>
  <si>
    <t xml:space="preserve">Share</t>
  </si>
  <si>
    <t xml:space="preserve">Note</t>
  </si>
  <si>
    <t xml:space="preserve">New viewers</t>
  </si>
  <si>
    <t xml:space="preserve">Casual + Regular = returning viewers. YouTube's 2026 satisfaction-weighted ranking rewards channels people come back to. Grow Regulars with series, consistent upload days and community posts.</t>
  </si>
  <si>
    <t xml:space="preserve">Casual viewers</t>
  </si>
  <si>
    <t xml:space="preserve">Regular viewers</t>
  </si>
  <si>
    <t xml:space="preserve">Device type (Advanced mode → Device type)</t>
  </si>
  <si>
    <t xml:space="preserve">Mobile phone</t>
  </si>
  <si>
    <t xml:space="preserve">High TV share → longer, lean-back videos and readable on-screen text. High mobile share → big, simple thumbnails and text.</t>
  </si>
  <si>
    <t xml:space="preserve">Computer</t>
  </si>
  <si>
    <t xml:space="preserve">TV</t>
  </si>
  <si>
    <t xml:space="preserve">Tablet</t>
  </si>
  <si>
    <t xml:space="preserve">Game console</t>
  </si>
  <si>
    <t xml:space="preserve">Viewer age (Advanced mode → Viewer age)</t>
  </si>
  <si>
    <t xml:space="preserve">13–17</t>
  </si>
  <si>
    <t xml:space="preserve">Use your biggest age group to set tone, references and examples. 25–44 typically skews toward professional, 'use AI at work' content.</t>
  </si>
  <si>
    <t xml:space="preserve">18–24</t>
  </si>
  <si>
    <t xml:space="preserve">25–34</t>
  </si>
  <si>
    <t xml:space="preserve">35–44</t>
  </si>
  <si>
    <t xml:space="preserve">45–54</t>
  </si>
  <si>
    <t xml:space="preserve">55–64</t>
  </si>
  <si>
    <t xml:space="preserve">65+</t>
  </si>
  <si>
    <t xml:space="preserve">Top countries (Advanced mode → Geography)</t>
  </si>
  <si>
    <t xml:space="preserve">Country</t>
  </si>
  <si>
    <t xml:space="preserve">Share is of total Q2 views. If a non-English-speaking country is in your top 5, turn on auto-dubbing (27 languages since Feb 2026) — see Insights.</t>
  </si>
  <si>
    <t xml:space="preserve">Insights &amp; Research — YouTube in 2026, the creator economy and the AI space</t>
  </si>
  <si>
    <t xml:space="preserve">Research gathered Oct 2026. Confidence: High = official or several consistent reports · Medium = several secondary sources · Strategist judgement = my professional synthesis. Verify specific figures before quoting them publicly.</t>
  </si>
  <si>
    <t xml:space="preserve">Theme</t>
  </si>
  <si>
    <t xml:space="preserve">Finding</t>
  </si>
  <si>
    <t xml:space="preserve">What's happening (research)</t>
  </si>
  <si>
    <t xml:space="preserve">What it means for you</t>
  </si>
  <si>
    <t xml:space="preserve">Do this</t>
  </si>
  <si>
    <t xml:space="preserve">Confidence</t>
  </si>
  <si>
    <t xml:space="preserve">Sources</t>
  </si>
  <si>
    <t xml:space="preserve">YouTube algorithm</t>
  </si>
  <si>
    <t xml:space="preserve">Satisfaction now outweighs raw watch time (2026)</t>
  </si>
  <si>
    <t xml:space="preserve">YouTube's ranking leans increasingly on viewer satisfaction — post-view surveys, return visits, 'Not interested' clicks — rather than minutes watched alone. Long-form and Shorts are ranked by separate systems. A shorter video that fully satisfies can beat a padded longer one.</t>
  </si>
  <si>
    <t xml:space="preserve">Stop padding videos to hit a length. Optimise for 'did the viewer get what the title promised?'. Your 'Click but leave' videos (Video Data → Diagnosis) are the ones hurting satisfaction most.</t>
  </si>
  <si>
    <t xml:space="preserve">Cut every intro to under 20s; state the payoff up front; end with a clear next video so viewers stay on your channel.</t>
  </si>
  <si>
    <t xml:space="preserve">Medium</t>
  </si>
  <si>
    <t xml:space="preserve">outlierkit.com/resources/youtube-viewer-satisfaction-algorithm-2026 · meikuio.com/youtube-algorithm-2026</t>
  </si>
  <si>
    <t xml:space="preserve">Measurement</t>
  </si>
  <si>
    <t xml:space="preserve">Views now count from the first frame (since Aug 24 2026)</t>
  </si>
  <si>
    <t xml:space="preserve">YouTube changed public view counting: long-form, live and podcast views now count when playback starts, with no minimum watch time (Shorts already worked this way since Mar 2025). Monetisation still uses engaged views / engaged watch hours.</t>
  </si>
  <si>
    <t xml:space="preserve">Your Q3 and Q4 view counts are NOT comparable with this Q2 report — they'll look higher for the same real performance.</t>
  </si>
  <si>
    <t xml:space="preserve">Track watch hours, CTR, average % viewed and subscribers as your 'true' growth KPIs in the Q3 Scorecard; read raw views with caution.</t>
  </si>
  <si>
    <t xml:space="preserve">High</t>
  </si>
  <si>
    <t xml:space="preserve">9to5google.com/2026/08/17/youtube-view-counts-change · forbes.com (Aug 17 2026) · vidiq.com/blog/post/youtube-view-count-update</t>
  </si>
  <si>
    <t xml:space="preserve">Policy / AI</t>
  </si>
  <si>
    <t xml:space="preserve">'Inauthentic content' rules target mass-produced AI, not AI use</t>
  </si>
  <si>
    <t xml:space="preserve">The YPP 'repetitious content' policy was renamed 'inauthentic content' (Jul 2025) and clarified again in Jul 2026: generic/template content, unsatisfying content and AI personas giving advice on sensitive topics are not monetisable. Channels that use AI as a tool remain eligible.</t>
  </si>
  <si>
    <t xml:space="preserve">As an AI-space creator you're fine using AI tools on camera — but avoid templated, faceless, AI-voiced uploads that look interchangeable.</t>
  </si>
  <si>
    <t xml:space="preserve">Keep a visible human perspective in every video: your face or voice, real testing, opinions, and original screen recordings.</t>
  </si>
  <si>
    <t xml:space="preserve">vidiq.com/blog/post/youtube-ai-monetization · air.io/en/monetization/youtube-monetization-policy-changes-2026-a-complete-dated-timeline</t>
  </si>
  <si>
    <t xml:space="preserve">Packaging</t>
  </si>
  <si>
    <t xml:space="preserve">Test &amp; Compare now tests titles and thumbnails — and picks by watch time</t>
  </si>
  <si>
    <t xml:space="preserve">Studio's built-in A/B test runs up to 3 titles and 3 thumbnails on long-form videos for up to 14 days and declares the winner by watch-time share, not clicks. Desktop Studio only; needs Advanced features.</t>
  </si>
  <si>
    <t xml:space="preserve">The tool rewards packaging that attracts the right viewer, not just the most clicks — exactly what the satisfaction-weighted algorithm wants.</t>
  </si>
  <si>
    <t xml:space="preserve">Run a test on every Q3/Q4 long-form upload and on every 'Great video, weak packaging' video from Q2.</t>
  </si>
  <si>
    <t xml:space="preserve">support.google.com/youtube/answer/16391400</t>
  </si>
  <si>
    <t xml:space="preserve">CTR: ~4–6% is typical, 9%+ is top tier</t>
  </si>
  <si>
    <t xml:space="preserve">YouTube Help cites 2–10% for most channels. 2026 analyses put the organic average at ~4–6%. CTR naturally falls as YouTube shows a video to colder audiences (more impressions), so a low CTR on a high-impression video can be healthy.</t>
  </si>
  <si>
    <t xml:space="preserve">Judge CTR together with impressions. A video at 3% CTR with 500k impressions may be your best video.</t>
  </si>
  <si>
    <t xml:space="preserve">Focus packaging fixes on videos with BELOW-average CTR AND low impressions — YouTube stopped testing them.</t>
  </si>
  <si>
    <t xml:space="preserve">subsub.io/blog/youtube-ctr-what-is-a-good-click-through-rate · focus-digital.co/average-youtube-ctr-organic-paid-benchmarks-2026</t>
  </si>
  <si>
    <t xml:space="preserve">Retention: ~30% average viewed is good for long-form; Shorts ~70%</t>
  </si>
  <si>
    <t xml:space="preserve">vidIQ (Jun 2026): good long-form average % viewed ≈ 30%; platform average is in the low-to-mid 20s; very few videos pass 50%. Its Shorts average ~74%. Compare each video with similar-length videos on your own channel.</t>
  </si>
  <si>
    <t xml:space="preserve">Use the Retention grade on Video Data; then open each red/amber video's retention graph in Studio to find the exact drop-off moment.</t>
  </si>
  <si>
    <t xml:space="preserve">Build a 'drop-off log': for each video note the second where the biggest dip happens and why. Fix the pattern, not the video.</t>
  </si>
  <si>
    <t xml:space="preserve">vidiq.com/blog/post/increase-audience-retention-youtube</t>
  </si>
  <si>
    <t xml:space="preserve">Engagement: median ~3.5% (likes+comments ÷ views)</t>
  </si>
  <si>
    <t xml:space="preserve">A 2026 study of 2,251 videos across 309 channels found a median of 3.48% for long-form and 2.71% for Shorts; ~5% is top-quartile. Channel size barely explained engagement — small channels can be top-tier.</t>
  </si>
  <si>
    <t xml:space="preserve">Engagement is a lever you control fully regardless of channel size.</t>
  </si>
  <si>
    <t xml:space="preserve">Ask one specific question per video, pin a comment, and reply to comments in the first hour after publishing.</t>
  </si>
  <si>
    <t xml:space="preserve">overseeros.com/blog/youtube-engagement-rate-benchmarks</t>
  </si>
  <si>
    <t xml:space="preserve">Format strategy</t>
  </si>
  <si>
    <t xml:space="preserve">Shorts: a funnel, not a business model</t>
  </si>
  <si>
    <t xml:space="preserve">An 18,000-channel study (Mar 2025–Mar 2026) found the effect of adding Shorts depends on niche — business/education-style channels that mix Shorts tend to have more subscribers, while some long-form-only niches do better. Shorts RPM is a fraction of long-form.</t>
  </si>
  <si>
    <t xml:space="preserve">For an AI channel, Shorts work best as trailers that send viewers to tutorials and deep dives.</t>
  </si>
  <si>
    <t xml:space="preserve">Cut 2–3 Shorts from every long-form video, each using 'related video' to link the full version. Judge Shorts on subscribers gained, not views.</t>
  </si>
  <si>
    <t xml:space="preserve">air.io/en/audience-growth/do-youtube-shorts-help-your-long-form-videos-grow-data-from-18000-channels</t>
  </si>
  <si>
    <t xml:space="preserve">Growth lever</t>
  </si>
  <si>
    <t xml:space="preserve">Auto-dubbing is open to everyone in 27 languages</t>
  </si>
  <si>
    <t xml:space="preserve">Since Feb 2026 YouTube auto-dubbing covers 27 languages with more expressive voices; viewers choose original or dubbed audio, and YouTube says dubbing doesn't hurt discovery.</t>
  </si>
  <si>
    <t xml:space="preserve">AI tutorials travel well across languages (screen demos are universal). This is free reach.</t>
  </si>
  <si>
    <t xml:space="preserve">Turn on auto-dubbing for your evergreen tutorials; check Traffic &amp; Audience → Top countries after 30 days.</t>
  </si>
  <si>
    <t xml:space="preserve">storyboard18.com (YouTube expands auto-dubbing to 27 languages) · en.ittefaq.com.bd/15221/youtube-rolls-out-auto-dubbing-globally</t>
  </si>
  <si>
    <t xml:space="preserve">Hype boosts small channels (500–500K subscribers)</t>
  </si>
  <si>
    <t xml:space="preserve">Viewers can 'Hype' up to 3 long-form videos a week from channels with 500–500K subscribers, within 7 days of upload; smaller channels get bonus points and a weekly leaderboard spot.</t>
  </si>
  <si>
    <t xml:space="preserve">If you're in the bracket, your most loyal viewers can push new uploads onto the leaderboard.</t>
  </si>
  <si>
    <t xml:space="preserve">Mention Hype in the first 48 hours of each upload (community post + pinned comment), focused on your best video each week.</t>
  </si>
  <si>
    <t xml:space="preserve">vidiq.com/blog/post/youtube-hype · etcentric.org (Hype now live in 39 countries)</t>
  </si>
  <si>
    <t xml:space="preserve">AI search</t>
  </si>
  <si>
    <t xml:space="preserve">AI summaries are coming to YouTube and Google</t>
  </si>
  <si>
    <t xml:space="preserve">YouTube is testing Gemini-powered AI overviews/highlights in search for Premium users; Google AI Overviews are in ~100 countries; Gemini now draws on YouTube. Creators worry summaries will cut clicks on simple 'answer' videos.</t>
  </si>
  <si>
    <t xml:space="preserve">Pure 'what is X' explainers are the most exposed. Hands-on demos, opinions, tests and personality are hard to summarise.</t>
  </si>
  <si>
    <t xml:space="preserve">Shift from 'explain' to 'show &amp; judge': real tests, comparisons, builds, verdicts. Add chapters + clear spoken keywords so AI surfaces cite your video.</t>
  </si>
  <si>
    <t xml:space="preserve">tech.yahoo.com (YouTube is testing its own version of AI Overviews) · startupfortune.com (YouTube embeds AI chatbot into search)</t>
  </si>
  <si>
    <t xml:space="preserve">AI content niche</t>
  </si>
  <si>
    <t xml:space="preserve">AI tool tutorials &amp; workflows remain the strongest AI niche</t>
  </si>
  <si>
    <t xml:space="preserve">2026 niche analyses rank AI tools/workflows among the fastest-growing, highest-CPM clusters (professional, search-driven audiences). Generic AI-voice channels are saturated; hyper-specific 'one tool, one workflow, one outcome' videos win.</t>
  </si>
  <si>
    <t xml:space="preserve">Your best content pillar is likely practical, outcome-based tutorials for a specific audience (e.g. 'AI for small business', 'AI for students').</t>
  </si>
  <si>
    <t xml:space="preserve">Define 3 content pillars (Tutorials / Tests &amp; Comparisons / News explained) and assign every Q3/Q4 video to one.</t>
  </si>
  <si>
    <t xml:space="preserve">vidiq.com/blog/post/profitable-ai-niches-youtube · outlierkit.com/resources/articles/top-10-most-profitable-youtube-niches-in-2026</t>
  </si>
  <si>
    <t xml:space="preserve">AI space (Q3–Q4 2026)</t>
  </si>
  <si>
    <t xml:space="preserve">Personal AI agents went mainstream; models got cheaper and faster</t>
  </si>
  <si>
    <t xml:space="preserve">Q3 2026 reports describe a shift from proving agents work to making them general-purpose, with several personal-agent launches in September 2026; new fast, cheap model tiers; growth in open-weight and on-device AI; and more attention on agent security and access controls.</t>
  </si>
  <si>
    <t xml:space="preserve">Your audience now asks 'what can I actually delegate to an agent, and is it safe?' — a durable, searchable question set.</t>
  </si>
  <si>
    <t xml:space="preserve">Video ideas: 'I let an AI agent run my ___ for a week', 'Best cheap model for ___ (tested)', 'Run AI locally on your laptop', 'Agent safety: 5 settings to change'.</t>
  </si>
  <si>
    <t xml:space="preserve">finance.biggo.com (Tencent Penguin Intelligence Q3 AI trends report) · agiliway.com/latest-tech-news-q3-2026 · dominotech.net/2026/10/14/ai-trends-q3-roundup</t>
  </si>
  <si>
    <t xml:space="preserve">AI on YouTube</t>
  </si>
  <si>
    <t xml:space="preserve">Gemini Omni remix and likeness detection</t>
  </si>
  <si>
    <t xml:space="preserve">Google I/O 2026 (May) launched Gemini Omni video generation, including Shorts Remix of eligible Shorts (watermarked and linked to the original), and expanded likeness detection to all creators 18+.</t>
  </si>
  <si>
    <t xml:space="preserve">Your Shorts can be remixed by others (free reach with a link back), and your face/voice can be protected.</t>
  </si>
  <si>
    <t xml:space="preserve">Enable likeness detection in Studio. Test 1 Short per week designed to be remixed (a template or challenge).</t>
  </si>
  <si>
    <t xml:space="preserve">opus.pro/blog/google-io-2026-ai-video-generation-gemini-updates · medium.com (Everything Google announced at I/O 2026)</t>
  </si>
  <si>
    <t xml:space="preserve">Strategist view</t>
  </si>
  <si>
    <t xml:space="preserve">In AI content, speed + trust beats volume</t>
  </si>
  <si>
    <t xml:space="preserve">AI news moves weekly, but YouTube's satisfaction signals reward videos that genuinely help. The winning pattern is a fast first take (24–72h) on big launches, then a slower, hands-on 'I tested it' follow-up.</t>
  </si>
  <si>
    <t xml:space="preserve">Plan a two-beat format: quick 'what it means for you' + in-depth test video one week later.</t>
  </si>
  <si>
    <t xml:space="preserve">Keep a 'launch radar' list; pre-script templates so a quality first take ships within 72h.</t>
  </si>
  <si>
    <t xml:space="preserve">Strategist judgement</t>
  </si>
  <si>
    <t xml:space="preserve">Synthesis of the sources above + standard creator practice</t>
  </si>
  <si>
    <t xml:space="preserve">Q3 Action Plan — prioritised, measurable, research-backed</t>
  </si>
  <si>
    <t xml:space="preserve">P1 = do first (highest impact, lowest effort) · P2 = core growth bets · P3 = supporting moves. Q3 has closed (today is Oct 2026): mark what you did in Q3, then carry open items into Q4. Update Status and Owner in the yellow cells.</t>
  </si>
  <si>
    <t xml:space="preserve">Priority</t>
  </si>
  <si>
    <t xml:space="preserve">Area</t>
  </si>
  <si>
    <t xml:space="preserve">Action</t>
  </si>
  <si>
    <t xml:space="preserve">Why (evidence)</t>
  </si>
  <si>
    <t xml:space="preserve">KPI</t>
  </si>
  <si>
    <t xml:space="preserve">Target</t>
  </si>
  <si>
    <t xml:space="preserve">When</t>
  </si>
  <si>
    <t xml:space="preserve">Linked insight / data</t>
  </si>
  <si>
    <t xml:space="preserve">Owner</t>
  </si>
  <si>
    <t xml:space="preserve">Status</t>
  </si>
  <si>
    <t xml:space="preserve">P1</t>
  </si>
  <si>
    <t xml:space="preserve">Run Test &amp; Compare (3 titles + 3 thumbnails) on every new long-form upload</t>
  </si>
  <si>
    <t xml:space="preserve">Test &amp; Compare picks by watch time; CTR is the cheapest lever to move</t>
  </si>
  <si>
    <t xml:space="preserve">+0.5–1.0 pts vs Q2</t>
  </si>
  <si>
    <t xml:space="preserve">Every upload</t>
  </si>
  <si>
    <t xml:space="preserve">Insights #4, #5</t>
  </si>
  <si>
    <t xml:space="preserve">Me</t>
  </si>
  <si>
    <t xml:space="preserve">Not started</t>
  </si>
  <si>
    <t xml:space="preserve">Re-package all Q2 videos diagnosed 'Great video, weak packaging' (new title + thumbnail test)</t>
  </si>
  <si>
    <t xml:space="preserve">Good retention + weak CTR = the content already works; only the 'shop window' is failing</t>
  </si>
  <si>
    <t xml:space="preserve">CTR of those videos</t>
  </si>
  <si>
    <t xml:space="preserve">+20% relative CTR</t>
  </si>
  <si>
    <t xml:space="preserve">Weeks 1–2</t>
  </si>
  <si>
    <t xml:space="preserve">Video Data → Diagnosis</t>
  </si>
  <si>
    <t xml:space="preserve">Retention</t>
  </si>
  <si>
    <t xml:space="preserve">Rewrite intros: payoff/result in the first 30s, no channel intro, no 'before we start'</t>
  </si>
  <si>
    <t xml:space="preserve">Satisfaction-weighted ranking; weak openings suppress distribution</t>
  </si>
  <si>
    <t xml:space="preserve">+3–5 pts vs Q2</t>
  </si>
  <si>
    <t xml:space="preserve">Insights #1, #6</t>
  </si>
  <si>
    <t xml:space="preserve">Open the retention graph for every red/amber video; log the biggest drop-off moment and its cause</t>
  </si>
  <si>
    <t xml:space="preserve">Fix the pattern behind the drops rather than single videos</t>
  </si>
  <si>
    <t xml:space="preserve">Drop-off log completed</t>
  </si>
  <si>
    <t xml:space="preserve">All Q2 long-form videos</t>
  </si>
  <si>
    <t xml:space="preserve">Weeks 1–3</t>
  </si>
  <si>
    <t xml:space="preserve">Insights #6</t>
  </si>
  <si>
    <t xml:space="preserve">Content</t>
  </si>
  <si>
    <t xml:space="preserve">Make a sequel, series or Shorts from every WINNER video</t>
  </si>
  <si>
    <t xml:space="preserve">Proven topic + proven packaging = lowest-risk upload</t>
  </si>
  <si>
    <t xml:space="preserve">Views per video vs channel avg</t>
  </si>
  <si>
    <t xml:space="preserve">≥ 1.5× channel avg</t>
  </si>
  <si>
    <t xml:space="preserve">Weeks 2–8</t>
  </si>
  <si>
    <t xml:space="preserve">Dashboard → scorecard mix</t>
  </si>
  <si>
    <t xml:space="preserve">Track watch hours, CTR, % viewed and subs as the 'true' KPIs (views are inflated after Aug 24 2026)</t>
  </si>
  <si>
    <t xml:space="preserve">View counting changed; raw views aren't comparable with Q2</t>
  </si>
  <si>
    <t xml:space="preserve">Q3 Scorecard filled</t>
  </si>
  <si>
    <t xml:space="preserve">Monthly</t>
  </si>
  <si>
    <t xml:space="preserve">Insights #2</t>
  </si>
  <si>
    <t xml:space="preserve">P2</t>
  </si>
  <si>
    <t xml:space="preserve">Content strategy</t>
  </si>
  <si>
    <t xml:space="preserve">Define 3 pillars (Tutorials / Tests &amp; Comparisons / AI News Explained) and tag every video</t>
  </si>
  <si>
    <t xml:space="preserve">Specific, outcome-based AI content outperforms generic AI content</t>
  </si>
  <si>
    <t xml:space="preserve">% of uploads mapped to a pillar</t>
  </si>
  <si>
    <t xml:space="preserve">100%</t>
  </si>
  <si>
    <t xml:space="preserve">Week 1</t>
  </si>
  <si>
    <t xml:space="preserve">Insights #12</t>
  </si>
  <si>
    <t xml:space="preserve">Publish 1 search-led tutorial a week titled around an exact query ('How to ___ with ___')</t>
  </si>
  <si>
    <t xml:space="preserve">AI tutorial demand is search-driven and evergreen</t>
  </si>
  <si>
    <t xml:space="preserve">YouTube search share of views</t>
  </si>
  <si>
    <t xml:space="preserve">+5 pts vs Q2</t>
  </si>
  <si>
    <t xml:space="preserve">Weekly</t>
  </si>
  <si>
    <t xml:space="preserve">AI topics</t>
  </si>
  <si>
    <t xml:space="preserve">Cover agents and cheap/fast/local models with a hands-on 'I tested it' angle</t>
  </si>
  <si>
    <t xml:space="preserve">Q3 2026's biggest AI shift; hands-on content resists AI summaries</t>
  </si>
  <si>
    <t xml:space="preserve">Avg views of these videos</t>
  </si>
  <si>
    <t xml:space="preserve">≥ channel avg</t>
  </si>
  <si>
    <t xml:space="preserve">Weeks 2–10</t>
  </si>
  <si>
    <t xml:space="preserve">Insights #11, #13</t>
  </si>
  <si>
    <t xml:space="preserve">Cut 2–3 Shorts from each long-form video, each linked via 'related video'</t>
  </si>
  <si>
    <t xml:space="preserve">Shorts work best as a funnel for long-form</t>
  </si>
  <si>
    <t xml:space="preserve">Net subs per 1k Shorts views</t>
  </si>
  <si>
    <t xml:space="preserve">+25% vs Q2</t>
  </si>
  <si>
    <t xml:space="preserve">Insights #8</t>
  </si>
  <si>
    <t xml:space="preserve">Community</t>
  </si>
  <si>
    <t xml:space="preserve">Ask one specific question per video, pin a comment, reply during the first hour</t>
  </si>
  <si>
    <t xml:space="preserve">Engagement is size-independent and feeds satisfaction</t>
  </si>
  <si>
    <t xml:space="preserve">Engagement rate / comments per 1k</t>
  </si>
  <si>
    <t xml:space="preserve">≥ 3.5% engagement</t>
  </si>
  <si>
    <t xml:space="preserve">Insights #7</t>
  </si>
  <si>
    <t xml:space="preserve">Growth</t>
  </si>
  <si>
    <t xml:space="preserve">Turn on auto-dubbing for the top 10 evergreen tutorials</t>
  </si>
  <si>
    <t xml:space="preserve">Free reach in 27 languages; YouTube says it doesn't hurt discovery</t>
  </si>
  <si>
    <t xml:space="preserve">Views from non-primary-language countries</t>
  </si>
  <si>
    <t xml:space="preserve">+10% vs Q2</t>
  </si>
  <si>
    <t xml:space="preserve">Week 2</t>
  </si>
  <si>
    <t xml:space="preserve">Insights #9</t>
  </si>
  <si>
    <t xml:space="preserve">P3</t>
  </si>
  <si>
    <t xml:space="preserve">Ask loyal viewers to Hype new uploads (if 500–500K subs)</t>
  </si>
  <si>
    <t xml:space="preserve">Hype gives small channels a leaderboard boost</t>
  </si>
  <si>
    <t xml:space="preserve">Hype leaderboard appearances</t>
  </si>
  <si>
    <t xml:space="preserve">1+ per month</t>
  </si>
  <si>
    <t xml:space="preserve">Insights #10</t>
  </si>
  <si>
    <t xml:space="preserve">Policy / brand</t>
  </si>
  <si>
    <t xml:space="preserve">Audit for 'inauthentic' risk: no templated AI-voice uploads; keep a visible human perspective</t>
  </si>
  <si>
    <t xml:space="preserve">Protects monetisation under the 2025–26 YPP clarifications</t>
  </si>
  <si>
    <t xml:space="preserve">Audit done</t>
  </si>
  <si>
    <t xml:space="preserve">Done</t>
  </si>
  <si>
    <t xml:space="preserve">Insights #3</t>
  </si>
  <si>
    <t xml:space="preserve">Protection</t>
  </si>
  <si>
    <t xml:space="preserve">Enable likeness detection; design 1 Short a week to be remixable</t>
  </si>
  <si>
    <t xml:space="preserve">I/O 2026 features: protect your face and voice, and earn remix reach</t>
  </si>
  <si>
    <t xml:space="preserve">Feature enabled; remixes</t>
  </si>
  <si>
    <t xml:space="preserve">Enabled</t>
  </si>
  <si>
    <t xml:space="preserve">Insights #14</t>
  </si>
  <si>
    <t xml:space="preserve">Operations</t>
  </si>
  <si>
    <t xml:space="preserve">Keep an AI 'launch radar' and a 72-hour first-take script template</t>
  </si>
  <si>
    <t xml:space="preserve">Speed + trust pattern for AI news</t>
  </si>
  <si>
    <t xml:space="preserve">Time from launch to upload</t>
  </si>
  <si>
    <t xml:space="preserve">≤ 72h</t>
  </si>
  <si>
    <t xml:space="preserve">Ongoing</t>
  </si>
  <si>
    <t xml:space="preserve">Insights #15</t>
  </si>
  <si>
    <t xml:space="preserve">Progress</t>
  </si>
  <si>
    <t xml:space="preserve">Q3 Scorecard — Q2 baseline → Q3 target → Q3 actual</t>
  </si>
  <si>
    <t xml:space="preserve">Q2 baseline fills from the Dashboard. Edit the target change (yellow) and enter Q3 actuals (Jul 1 – Sep 30 2026) to grade the quarter.</t>
  </si>
  <si>
    <t xml:space="preserve">Q2 2026 actual</t>
  </si>
  <si>
    <t xml:space="preserve">Change type</t>
  </si>
  <si>
    <t xml:space="preserve">Target change</t>
  </si>
  <si>
    <t xml:space="preserve">Q3 target</t>
  </si>
  <si>
    <t xml:space="preserve">Q3 actual</t>
  </si>
  <si>
    <t xml:space="preserve">% of target</t>
  </si>
  <si>
    <t xml:space="preserve">%</t>
  </si>
  <si>
    <t xml:space="preserve">Best 'true' growth KPI after the Aug 2026 view-count change.</t>
  </si>
  <si>
    <t xml:space="preserve">Rises when YouTube trusts your videos (satisfaction).</t>
  </si>
  <si>
    <t xml:space="preserve">Impressions CTR, long-form (%)</t>
  </si>
  <si>
    <t xml:space="preserve">pts</t>
  </si>
  <si>
    <t xml:space="preserve">Target is added in percentage points (e.g. 5.0% → 5.5%).</t>
  </si>
  <si>
    <t xml:space="preserve">Avg % viewed, long-form (%)</t>
  </si>
  <si>
    <t xml:space="preserve">Caution: Q3 views count from the first frame after Aug 24 2026 — expect inflation.</t>
  </si>
  <si>
    <t xml:space="preserve">Consistency beats bursts — set a number you can sustain.</t>
  </si>
  <si>
    <t xml:space="preserve">Est. revenue (USD)</t>
  </si>
  <si>
    <t xml:space="preserve">Green ≥ 100% of target · Amber 90–99% · Red &lt; 90%. Default targets are moderate (+15% growth, +0.5 pt CTR); raise them if Q2 was a slow quarter.</t>
  </si>
  <si>
    <t xml:space="preserve">Benchmarks — the thresholds behind every grade</t>
  </si>
  <si>
    <t xml:space="preserve">Blue numbers are editable assumptions. Change them if your niche differs — every grade in the workbook updates.</t>
  </si>
  <si>
    <t xml:space="preserve">Unit</t>
  </si>
  <si>
    <t xml:space="preserve">Why it matters</t>
  </si>
  <si>
    <t xml:space="preserve">Source / basis</t>
  </si>
  <si>
    <t xml:space="preserve">Impressions click-through rate (long-form)</t>
  </si>
  <si>
    <t xml:space="preserve">% of impressions</t>
  </si>
  <si>
    <t xml:space="preserve">Packaging power: how often a shown thumbnail + title gets clicked. Naturally falls as YouTube shows a video to colder audiences, so judge it together with impressions.</t>
  </si>
  <si>
    <t xml:space="preserve">YouTube Help cites 2–10% for most channels; 2026 cross-niche analyses put the organic average at ~4–6% with top performers 9%+. subsub.io/blog/youtube-ctr-what-is-a-good-click-through-rate ; focus-digital.co/average-youtube-ctr-organic-paid-benchmarks-2026</t>
  </si>
  <si>
    <t xml:space="preserve">Average % viewed (long-form)</t>
  </si>
  <si>
    <t xml:space="preserve">% of video</t>
  </si>
  <si>
    <t xml:space="preserve">Retention: how much of each video people watch. The strongest signal of whether the video delivered on its promise.</t>
  </si>
  <si>
    <t xml:space="preserve">vidIQ (Jun 2026): ~30% is good for long-form; platform average low-to-mid 20s; few videos exceed 50%. vidiq.com/blog/post/increase-audience-retention-youtube</t>
  </si>
  <si>
    <t xml:space="preserve">Average % viewed (Shorts)</t>
  </si>
  <si>
    <t xml:space="preserve">% of Short</t>
  </si>
  <si>
    <t xml:space="preserve">Shorts retention (loops count, so &gt;100% is possible). Below ~50% means viewers swipe away early — a hook problem.</t>
  </si>
  <si>
    <t xml:space="preserve">vidIQ reports ~74% avg % viewed on its own Shorts; other analyses cite ~50% for 50–60s Shorts. vidiq.com/blog/post/increase-audience-retention-youtube</t>
  </si>
  <si>
    <t xml:space="preserve">Engagement rate ((likes + comments) ÷ views)</t>
  </si>
  <si>
    <t xml:space="preserve">% of views</t>
  </si>
  <si>
    <t xml:space="preserve">How strongly viewers react. Feeds satisfaction signals and community.</t>
  </si>
  <si>
    <t xml:space="preserve">OverseerOS 2026 study of 2,251 videos: median 3.48% long-form, 75th percentile ~4.9%, ~5% = top quartile. overseeros.com/blog/youtube-engagement-rate-benchmarks</t>
  </si>
  <si>
    <t xml:space="preserve">comments</t>
  </si>
  <si>
    <t xml:space="preserve">Conversation depth. Comments are a strong community signal and a free source of video ideas.</t>
  </si>
  <si>
    <t xml:space="preserve">Rule of thumb from creator practice (no reliable published benchmark). Adjust to your niche.</t>
  </si>
  <si>
    <t xml:space="preserve">Low — strategist estimate</t>
  </si>
  <si>
    <t xml:space="preserve">Net subscribers per 1,000 views</t>
  </si>
  <si>
    <t xml:space="preserve">subs</t>
  </si>
  <si>
    <t xml:space="preserve">How well views convert into long-term audience.</t>
  </si>
  <si>
    <t xml:space="preserve">Returning viewers share (casual + regular)</t>
  </si>
  <si>
    <t xml:space="preserve">% of viewers</t>
  </si>
  <si>
    <t xml:space="preserve">Loyalty. A rising share means you're building an audience, not just getting hits.</t>
  </si>
  <si>
    <t xml:space="preserve">Rule of thumb from creator practice. YouTube's 2026 shift to satisfaction signals rewards repeat viewers.</t>
  </si>
  <si>
    <t xml:space="preserve">Below 'Average from' = Needs work (red)  ·  Average (amber)  ·  Strong (green)  ·  Elite (dark green)</t>
  </si>
  <si>
    <t xml:space="preserve">Minimum impressions for a fair CTR comparison</t>
  </si>
  <si>
    <t xml:space="preserve">Videos with fewer impressions are skipped when picking your 'best CTR' video (tiny samples give misleading CTRs).</t>
  </si>
  <si>
    <t xml:space="preserve">Important: benchmarks are averages across very different channels. Your own channel's trend (are you improving month to month?) matters more than any single industry number.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</si>
</sst>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#,##0"/>
    <numFmt numFmtId="167" formatCode="0.0\%"/>
    <numFmt numFmtId="168" formatCode="[m]:ss"/>
    <numFmt numFmtId="169" formatCode="\+#,##0;\-#,##0;0"/>
    <numFmt numFmtId="170" formatCode="\$#,##0"/>
    <numFmt numFmtId="171" formatCode="0.00\%"/>
    <numFmt numFmtId="172" formatCode="0.0"/>
    <numFmt numFmtId="173" formatCode="0"/>
    <numFmt numFmtId="174" formatCode="General"/>
    <numFmt numFmtId="175" formatCode="\$#,##0.00"/>
    <numFmt numFmtId="176" formatCode="#,##0.0"/>
    <numFmt numFmtId="177" formatCode="\+0.0\%;\-0.0\%;0\%"/>
    <numFmt numFmtId="178" formatCode="\+0\%;\-0\%;0\%"/>
    <numFmt numFmtId="179" formatCode="0\%"/>
    <numFmt numFmtId="180" formatCode="\+0.0&quot; pts&quot;;\-0.0&quot; pts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9"/>
      <color rgb="FF7F7F7F"/>
      <name val="Arial"/>
      <family val="0"/>
      <charset val="1"/>
    </font>
    <font>
      <sz val="10"/>
      <color rgb="FF7F7F7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2E75B6"/>
        <bgColor rgb="FF4F81BD"/>
      </patternFill>
    </fill>
    <fill>
      <patternFill patternType="solid">
        <fgColor rgb="FFFFF4C2"/>
        <bgColor rgb="FFFFEB9C"/>
      </patternFill>
    </fill>
    <fill>
      <patternFill patternType="solid">
        <fgColor rgb="FFD9D9D9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4C2"/>
      </patternFill>
    </fill>
    <fill>
      <patternFill patternType="solid">
        <fgColor rgb="FFC6EFCE"/>
        <bgColor rgb="FFDDEBF7"/>
      </patternFill>
    </fill>
    <fill>
      <patternFill patternType="solid">
        <fgColor rgb="FF00B050"/>
        <bgColor rgb="FF008080"/>
      </patternFill>
    </fill>
    <fill>
      <patternFill patternType="solid">
        <fgColor rgb="FFF3F8FC"/>
        <bgColor rgb="FFF2F2F2"/>
      </patternFill>
    </fill>
    <fill>
      <patternFill patternType="solid">
        <fgColor rgb="FFFFFFFF"/>
        <bgColor rgb="FFF3F8FC"/>
      </patternFill>
    </fill>
    <fill>
      <patternFill patternType="solid">
        <fgColor rgb="FF595959"/>
        <bgColor rgb="FF7F7F7F"/>
      </patternFill>
    </fill>
    <fill>
      <patternFill patternType="solid">
        <fgColor rgb="FFA6A6A6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DEBF7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7F7F7F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4F81BD"/>
      <rgbColor rgb="FFBFBFBF"/>
      <rgbColor rgb="FF7F7F7F"/>
      <rgbColor rgb="FFA6A6A6"/>
      <rgbColor rgb="FF993366"/>
      <rgbColor rgb="FFFFF4C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8FC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70AD47"/>
      <rgbColor rgb="FFFFC000"/>
      <rgbColor rgb="FFFF9900"/>
      <rgbColor rgb="FFFF6600"/>
      <rgbColor rgb="FF595959"/>
      <rgbColor rgb="FF878787"/>
      <rgbColor rgb="FF1F3864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Views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Trend'!B4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Trend'!$A$5:$A$7</c:f>
              <c:strCache>
                <c:ptCount val="3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</c:strCache>
            </c:strRef>
          </c:cat>
          <c:val>
            <c:numRef>
              <c:f>'Monthly Trend'!$B$5:$B$7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1271641"/>
        <c:axId val="40233491"/>
      </c:barChart>
      <c:catAx>
        <c:axId val="1271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33491"/>
        <c:crosses val="autoZero"/>
        <c:auto val="1"/>
        <c:lblAlgn val="ctr"/>
        <c:lblOffset val="100"/>
        <c:noMultiLvlLbl val="0"/>
      </c:catAx>
      <c:valAx>
        <c:axId val="40233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16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subscribers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Trend'!F4</c:f>
              <c:strCache>
                <c:ptCount val="1"/>
                <c:pt idx="0">
                  <c:v>Net subscribers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Trend'!$A$5:$A$7</c:f>
              <c:strCache>
                <c:ptCount val="3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</c:strCache>
            </c:strRef>
          </c:cat>
          <c:val>
            <c:numRef>
              <c:f>'Monthly Trend'!$F$5:$F$7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68492035"/>
        <c:axId val="27619596"/>
      </c:barChart>
      <c:catAx>
        <c:axId val="68492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19596"/>
        <c:crosses val="autoZero"/>
        <c:auto val="1"/>
        <c:lblAlgn val="ctr"/>
        <c:lblOffset val="100"/>
        <c:noMultiLvlLbl val="0"/>
      </c:catAx>
      <c:valAx>
        <c:axId val="27619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92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Q2 views by traffic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'Traffic &amp; Audience'!B4</c:f>
              <c:strCache>
                <c:ptCount val="1"/>
                <c:pt idx="0">
                  <c:v>Q2 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&amp; Audience'!$A$5:$A$16</c:f>
              <c:strCache>
                <c:ptCount val="12"/>
                <c:pt idx="0">
                  <c:v>Browse features</c:v>
                </c:pt>
                <c:pt idx="1">
                  <c:v>Suggested videos</c:v>
                </c:pt>
                <c:pt idx="2">
                  <c:v>YouTube search</c:v>
                </c:pt>
                <c:pt idx="3">
                  <c:v>Shorts feed</c:v>
                </c:pt>
                <c:pt idx="4">
                  <c:v>Channel pages</c:v>
                </c:pt>
                <c:pt idx="5">
                  <c:v>External</c:v>
                </c:pt>
                <c:pt idx="6">
                  <c:v>Notifications</c:v>
                </c:pt>
                <c:pt idx="7">
                  <c:v>Playlists</c:v>
                </c:pt>
                <c:pt idx="8">
                  <c:v>End screens</c:v>
                </c:pt>
                <c:pt idx="9">
                  <c:v>Direct or unknown</c:v>
                </c:pt>
                <c:pt idx="10">
                  <c:v>Other YouTube features</c:v>
                </c:pt>
                <c:pt idx="11">
                  <c:v>Hashtag pages</c:v>
                </c:pt>
              </c:strCache>
            </c:strRef>
          </c:cat>
          <c:val>
            <c:numRef>
              <c:f>'Traffic &amp; Audience'!$B$5:$B$16</c:f>
              <c:numCache>
                <c:formatCode>General</c:formatCode>
                <c:ptCount val="12"/>
              </c:numCache>
            </c:numRef>
          </c:val>
        </c:ser>
        <c:gapWidth val="150"/>
        <c:overlap val="0"/>
        <c:axId val="81951264"/>
        <c:axId val="27859079"/>
      </c:barChart>
      <c:catAx>
        <c:axId val="819512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59079"/>
        <c:crosses val="autoZero"/>
        <c:auto val="1"/>
        <c:lblAlgn val="ctr"/>
        <c:lblOffset val="100"/>
        <c:noMultiLvlLbl val="0"/>
      </c:catAx>
      <c:valAx>
        <c:axId val="27859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51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long-form videos — 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Dashboard!H50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Dashboard!$B$51:$B$60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Dashboard!$H$51:$H$60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29574198"/>
        <c:axId val="1527646"/>
      </c:barChart>
      <c:catAx>
        <c:axId val="29574198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Rank (see table above)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7646"/>
        <c:crosses val="autoZero"/>
        <c:auto val="1"/>
        <c:lblAlgn val="ctr"/>
        <c:lblOffset val="100"/>
        <c:noMultiLvlLbl val="0"/>
      </c:catAx>
      <c:valAx>
        <c:axId val="1527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741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89</xdr:row>
      <xdr:rowOff>0</xdr:rowOff>
    </xdr:from>
    <xdr:to>
      <xdr:col>6</xdr:col>
      <xdr:colOff>443160</xdr:colOff>
      <xdr:row>102</xdr:row>
      <xdr:rowOff>43200</xdr:rowOff>
    </xdr:to>
    <xdr:graphicFrame>
      <xdr:nvGraphicFramePr>
        <xdr:cNvPr id="0" name="Chart 1"/>
        <xdr:cNvGraphicFramePr/>
      </xdr:nvGraphicFramePr>
      <xdr:xfrm>
        <a:off x="141120" y="27536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89</xdr:row>
      <xdr:rowOff>0</xdr:rowOff>
    </xdr:from>
    <xdr:to>
      <xdr:col>12</xdr:col>
      <xdr:colOff>513360</xdr:colOff>
      <xdr:row>102</xdr:row>
      <xdr:rowOff>43200</xdr:rowOff>
    </xdr:to>
    <xdr:graphicFrame>
      <xdr:nvGraphicFramePr>
        <xdr:cNvPr id="1" name="Chart 2"/>
        <xdr:cNvGraphicFramePr/>
      </xdr:nvGraphicFramePr>
      <xdr:xfrm>
        <a:off x="4722480" y="27536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104</xdr:row>
      <xdr:rowOff>0</xdr:rowOff>
    </xdr:from>
    <xdr:to>
      <xdr:col>6</xdr:col>
      <xdr:colOff>443160</xdr:colOff>
      <xdr:row>124</xdr:row>
      <xdr:rowOff>149760</xdr:rowOff>
    </xdr:to>
    <xdr:graphicFrame>
      <xdr:nvGraphicFramePr>
        <xdr:cNvPr id="2" name="Chart 3"/>
        <xdr:cNvGraphicFramePr/>
      </xdr:nvGraphicFramePr>
      <xdr:xfrm>
        <a:off x="141120" y="3039444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104</xdr:row>
      <xdr:rowOff>0</xdr:rowOff>
    </xdr:from>
    <xdr:to>
      <xdr:col>12</xdr:col>
      <xdr:colOff>513360</xdr:colOff>
      <xdr:row>124</xdr:row>
      <xdr:rowOff>149760</xdr:rowOff>
    </xdr:to>
    <xdr:graphicFrame>
      <xdr:nvGraphicFramePr>
        <xdr:cNvPr id="3" name="Chart 4"/>
        <xdr:cNvGraphicFramePr/>
      </xdr:nvGraphicFramePr>
      <xdr:xfrm>
        <a:off x="4722480" y="3039444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YouTube_Q2_2026_Review.xlsx" TargetMode="External"/><Relationship Id="rId2" Type="http://schemas.openxmlformats.org/officeDocument/2006/relationships/hyperlink" Target="YouTube_Q2_2026_Review.xlsx" TargetMode="External"/><Relationship Id="rId3" Type="http://schemas.openxmlformats.org/officeDocument/2006/relationships/hyperlink" Target="YouTube_Q2_2026_Review.xlsx" TargetMode="External"/><Relationship Id="rId4" Type="http://schemas.openxmlformats.org/officeDocument/2006/relationships/hyperlink" Target="YouTube_Q2_2026_Review.xlsx" TargetMode="External"/><Relationship Id="rId5" Type="http://schemas.openxmlformats.org/officeDocument/2006/relationships/hyperlink" Target="YouTube_Q2_2026_Review.xlsx" TargetMode="External"/><Relationship Id="rId6" Type="http://schemas.openxmlformats.org/officeDocument/2006/relationships/hyperlink" Target="YouTube_Q2_2026_Review.xlsx" TargetMode="External"/><Relationship Id="rId7" Type="http://schemas.openxmlformats.org/officeDocument/2006/relationships/hyperlink" Target="YouTube_Q2_2026_Review.xlsx" TargetMode="External"/><Relationship Id="rId8" Type="http://schemas.openxmlformats.org/officeDocument/2006/relationships/hyperlink" Target="YouTube_Q2_2026_Review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J3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10" min="4" style="0" width="14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1</v>
      </c>
    </row>
    <row r="5" customFormat="false" ht="15" hidden="false" customHeight="false" outlineLevel="0" collapsed="false">
      <c r="B5" s="3" t="s">
        <v>2</v>
      </c>
      <c r="C5" s="4" t="str">
        <f aca="false">IF(COUNTA('Video Data'!$A$5:$A$204)=0,"No video data yet — follow Step 1 below.","✔ "&amp;COUNTA('Video Data'!$A$5:$A$204)&amp;" videos loaded. Open the Dashboard tab.")</f>
        <v>No video data yet — follow Step 1 below.</v>
      </c>
      <c r="D5" s="4"/>
      <c r="E5" s="4"/>
      <c r="F5" s="4"/>
      <c r="G5" s="4"/>
      <c r="H5" s="4"/>
      <c r="I5" s="4"/>
      <c r="J5" s="4"/>
    </row>
    <row r="7" customFormat="false" ht="21.75" hidden="false" customHeight="true" outlineLevel="0" collapsed="false">
      <c r="B7" s="5" t="s">
        <v>3</v>
      </c>
      <c r="C7" s="5"/>
      <c r="D7" s="5"/>
      <c r="E7" s="5"/>
      <c r="F7" s="5"/>
      <c r="G7" s="5"/>
      <c r="H7" s="5"/>
      <c r="I7" s="5"/>
      <c r="J7" s="5"/>
    </row>
    <row r="8" customFormat="false" ht="57.75" hidden="false" customHeight="true" outlineLevel="0" collapsed="false">
      <c r="B8" s="6" t="s">
        <v>4</v>
      </c>
      <c r="C8" s="7" t="s">
        <v>5</v>
      </c>
      <c r="D8" s="7"/>
      <c r="E8" s="7"/>
      <c r="F8" s="7"/>
      <c r="G8" s="7"/>
      <c r="H8" s="7"/>
      <c r="I8" s="7"/>
      <c r="J8" s="7"/>
    </row>
    <row r="9" customFormat="false" ht="57.75" hidden="false" customHeight="true" outlineLevel="0" collapsed="false">
      <c r="B9" s="6" t="s">
        <v>6</v>
      </c>
      <c r="C9" s="7" t="s">
        <v>7</v>
      </c>
      <c r="D9" s="7"/>
      <c r="E9" s="7"/>
      <c r="F9" s="7"/>
      <c r="G9" s="7"/>
      <c r="H9" s="7"/>
      <c r="I9" s="7"/>
      <c r="J9" s="7"/>
    </row>
    <row r="10" customFormat="false" ht="57.75" hidden="false" customHeight="true" outlineLevel="0" collapsed="false">
      <c r="B10" s="6" t="s">
        <v>8</v>
      </c>
      <c r="C10" s="7" t="s">
        <v>9</v>
      </c>
      <c r="D10" s="7"/>
      <c r="E10" s="7"/>
      <c r="F10" s="7"/>
      <c r="G10" s="7"/>
      <c r="H10" s="7"/>
      <c r="I10" s="7"/>
      <c r="J10" s="7"/>
    </row>
    <row r="11" customFormat="false" ht="57.75" hidden="false" customHeight="true" outlineLevel="0" collapsed="false">
      <c r="B11" s="6" t="s">
        <v>10</v>
      </c>
      <c r="C11" s="7" t="s">
        <v>11</v>
      </c>
      <c r="D11" s="7"/>
      <c r="E11" s="7"/>
      <c r="F11" s="7"/>
      <c r="G11" s="7"/>
      <c r="H11" s="7"/>
      <c r="I11" s="7"/>
      <c r="J11" s="7"/>
    </row>
    <row r="12" customFormat="false" ht="57.75" hidden="false" customHeight="true" outlineLevel="0" collapsed="false">
      <c r="B12" s="6" t="s">
        <v>12</v>
      </c>
      <c r="C12" s="7" t="s">
        <v>13</v>
      </c>
      <c r="D12" s="7"/>
      <c r="E12" s="7"/>
      <c r="F12" s="7"/>
      <c r="G12" s="7"/>
      <c r="H12" s="7"/>
      <c r="I12" s="7"/>
      <c r="J12" s="7"/>
    </row>
    <row r="13" customFormat="false" ht="57.75" hidden="false" customHeight="true" outlineLevel="0" collapsed="false">
      <c r="B13" s="6" t="s">
        <v>14</v>
      </c>
      <c r="C13" s="7" t="s">
        <v>15</v>
      </c>
      <c r="D13" s="7"/>
      <c r="E13" s="7"/>
      <c r="F13" s="7"/>
      <c r="G13" s="7"/>
      <c r="H13" s="7"/>
      <c r="I13" s="7"/>
      <c r="J13" s="7"/>
    </row>
    <row r="15" customFormat="false" ht="21.75" hidden="false" customHeight="true" outlineLevel="0" collapsed="false">
      <c r="B15" s="5" t="s">
        <v>16</v>
      </c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B16" s="8" t="s">
        <v>17</v>
      </c>
      <c r="C16" s="9" t="s">
        <v>18</v>
      </c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B17" s="10" t="s">
        <v>19</v>
      </c>
      <c r="C17" s="9" t="s">
        <v>20</v>
      </c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B18" s="11" t="s">
        <v>21</v>
      </c>
      <c r="C18" s="9" t="s">
        <v>22</v>
      </c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B19" s="12" t="s">
        <v>23</v>
      </c>
      <c r="C19" s="9" t="s">
        <v>24</v>
      </c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B20" s="13" t="s">
        <v>25</v>
      </c>
      <c r="C20" s="9" t="s">
        <v>26</v>
      </c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B21" s="14" t="s">
        <v>27</v>
      </c>
      <c r="C21" s="9" t="s">
        <v>28</v>
      </c>
      <c r="D21" s="9"/>
      <c r="E21" s="9"/>
      <c r="F21" s="9"/>
      <c r="G21" s="9"/>
      <c r="H21" s="9"/>
      <c r="I21" s="9"/>
      <c r="J21" s="9"/>
    </row>
    <row r="23" customFormat="false" ht="21.75" hidden="false" customHeight="true" outlineLevel="0" collapsed="false">
      <c r="B23" s="5" t="s">
        <v>29</v>
      </c>
      <c r="C23" s="5"/>
      <c r="D23" s="5"/>
      <c r="E23" s="5"/>
      <c r="F23" s="5"/>
      <c r="G23" s="5"/>
      <c r="H23" s="5"/>
      <c r="I23" s="5"/>
      <c r="J23" s="5"/>
    </row>
    <row r="24" customFormat="false" ht="30" hidden="false" customHeight="true" outlineLevel="0" collapsed="false">
      <c r="B24" s="15" t="s">
        <v>30</v>
      </c>
      <c r="C24" s="15" t="s">
        <v>31</v>
      </c>
      <c r="D24" s="15" t="s">
        <v>32</v>
      </c>
      <c r="E24" s="15" t="s">
        <v>33</v>
      </c>
      <c r="F24" s="15" t="s">
        <v>34</v>
      </c>
      <c r="G24" s="15" t="s">
        <v>35</v>
      </c>
      <c r="H24" s="15" t="s">
        <v>36</v>
      </c>
      <c r="I24" s="15" t="s">
        <v>37</v>
      </c>
      <c r="J24" s="15" t="s">
        <v>38</v>
      </c>
    </row>
    <row r="25" customFormat="false" ht="15" hidden="false" customHeight="false" outlineLevel="0" collapsed="false">
      <c r="B25" s="16" t="s">
        <v>39</v>
      </c>
      <c r="C25" s="17" t="n">
        <v>46126</v>
      </c>
      <c r="D25" s="16" t="s">
        <v>40</v>
      </c>
      <c r="E25" s="18" t="n">
        <v>754</v>
      </c>
      <c r="F25" s="18" t="n">
        <v>18432</v>
      </c>
      <c r="G25" s="18" t="n">
        <v>241000</v>
      </c>
      <c r="H25" s="19" t="n">
        <v>5.8</v>
      </c>
      <c r="I25" s="20" t="n">
        <v>0.00267361111111111</v>
      </c>
      <c r="J25" s="19" t="n">
        <v>30.6</v>
      </c>
    </row>
    <row r="26" customFormat="false" ht="15" hidden="false" customHeight="false" outlineLevel="0" collapsed="false">
      <c r="B26" s="2" t="s">
        <v>41</v>
      </c>
    </row>
    <row r="28" customFormat="false" ht="21.75" hidden="false" customHeight="true" outlineLevel="0" collapsed="false">
      <c r="B28" s="5" t="s">
        <v>42</v>
      </c>
      <c r="C28" s="5"/>
      <c r="D28" s="5"/>
      <c r="E28" s="5"/>
      <c r="F28" s="5"/>
      <c r="G28" s="5"/>
      <c r="H28" s="5"/>
      <c r="I28" s="5"/>
      <c r="J28" s="5"/>
    </row>
    <row r="29" customFormat="false" ht="27.75" hidden="false" customHeight="true" outlineLevel="0" collapsed="false">
      <c r="B29" s="21" t="s">
        <v>43</v>
      </c>
      <c r="C29" s="22" t="s">
        <v>44</v>
      </c>
      <c r="D29" s="22"/>
      <c r="E29" s="22"/>
      <c r="F29" s="22"/>
      <c r="G29" s="22"/>
      <c r="H29" s="22"/>
      <c r="I29" s="22"/>
      <c r="J29" s="22"/>
    </row>
    <row r="30" customFormat="false" ht="27.75" hidden="false" customHeight="true" outlineLevel="0" collapsed="false">
      <c r="B30" s="21" t="s">
        <v>45</v>
      </c>
      <c r="C30" s="22" t="s">
        <v>46</v>
      </c>
      <c r="D30" s="22"/>
      <c r="E30" s="22"/>
      <c r="F30" s="22"/>
      <c r="G30" s="22"/>
      <c r="H30" s="22"/>
      <c r="I30" s="22"/>
      <c r="J30" s="22"/>
    </row>
    <row r="31" customFormat="false" ht="27.75" hidden="false" customHeight="true" outlineLevel="0" collapsed="false">
      <c r="B31" s="21" t="s">
        <v>47</v>
      </c>
      <c r="C31" s="22" t="s">
        <v>48</v>
      </c>
      <c r="D31" s="22"/>
      <c r="E31" s="22"/>
      <c r="F31" s="22"/>
      <c r="G31" s="22"/>
      <c r="H31" s="22"/>
      <c r="I31" s="22"/>
      <c r="J31" s="22"/>
    </row>
    <row r="32" customFormat="false" ht="27.75" hidden="false" customHeight="true" outlineLevel="0" collapsed="false">
      <c r="B32" s="21" t="s">
        <v>49</v>
      </c>
      <c r="C32" s="22" t="s">
        <v>50</v>
      </c>
      <c r="D32" s="22"/>
      <c r="E32" s="22"/>
      <c r="F32" s="22"/>
      <c r="G32" s="22"/>
      <c r="H32" s="22"/>
      <c r="I32" s="22"/>
      <c r="J32" s="22"/>
    </row>
    <row r="33" customFormat="false" ht="27.75" hidden="false" customHeight="true" outlineLevel="0" collapsed="false">
      <c r="B33" s="21" t="s">
        <v>51</v>
      </c>
      <c r="C33" s="22" t="s">
        <v>52</v>
      </c>
      <c r="D33" s="22"/>
      <c r="E33" s="22"/>
      <c r="F33" s="22"/>
      <c r="G33" s="22"/>
      <c r="H33" s="22"/>
      <c r="I33" s="22"/>
      <c r="J33" s="22"/>
    </row>
    <row r="34" customFormat="false" ht="27.75" hidden="false" customHeight="true" outlineLevel="0" collapsed="false">
      <c r="B34" s="21" t="s">
        <v>53</v>
      </c>
      <c r="C34" s="22" t="s">
        <v>54</v>
      </c>
      <c r="D34" s="22"/>
      <c r="E34" s="22"/>
      <c r="F34" s="22"/>
      <c r="G34" s="22"/>
      <c r="H34" s="22"/>
      <c r="I34" s="22"/>
      <c r="J34" s="22"/>
    </row>
    <row r="35" customFormat="false" ht="27.75" hidden="false" customHeight="true" outlineLevel="0" collapsed="false">
      <c r="B35" s="21" t="s">
        <v>55</v>
      </c>
      <c r="C35" s="22" t="s">
        <v>56</v>
      </c>
      <c r="D35" s="22"/>
      <c r="E35" s="22"/>
      <c r="F35" s="22"/>
      <c r="G35" s="22"/>
      <c r="H35" s="22"/>
      <c r="I35" s="22"/>
      <c r="J35" s="22"/>
    </row>
    <row r="36" customFormat="false" ht="27.75" hidden="false" customHeight="true" outlineLevel="0" collapsed="false">
      <c r="B36" s="21" t="s">
        <v>57</v>
      </c>
      <c r="C36" s="22" t="s">
        <v>58</v>
      </c>
      <c r="D36" s="22"/>
      <c r="E36" s="22"/>
      <c r="F36" s="22"/>
      <c r="G36" s="22"/>
      <c r="H36" s="22"/>
      <c r="I36" s="22"/>
      <c r="J36" s="22"/>
    </row>
  </sheetData>
  <mergeCells count="26">
    <mergeCell ref="B1:J1"/>
    <mergeCell ref="C5:J5"/>
    <mergeCell ref="B7:J7"/>
    <mergeCell ref="C8:J8"/>
    <mergeCell ref="C9:J9"/>
    <mergeCell ref="C10:J10"/>
    <mergeCell ref="C11:J11"/>
    <mergeCell ref="C12:J12"/>
    <mergeCell ref="C13:J13"/>
    <mergeCell ref="B15:J15"/>
    <mergeCell ref="C16:J16"/>
    <mergeCell ref="C17:J17"/>
    <mergeCell ref="C18:J18"/>
    <mergeCell ref="C19:J19"/>
    <mergeCell ref="C20:J20"/>
    <mergeCell ref="C21:J21"/>
    <mergeCell ref="B23:J23"/>
    <mergeCell ref="B28:J28"/>
    <mergeCell ref="C29:J29"/>
    <mergeCell ref="C30:J30"/>
    <mergeCell ref="C31:J31"/>
    <mergeCell ref="C32:J32"/>
    <mergeCell ref="C33:J33"/>
    <mergeCell ref="C34:J34"/>
    <mergeCell ref="C35:J35"/>
    <mergeCell ref="C36:J36"/>
  </mergeCells>
  <hyperlinks>
    <hyperlink ref="B29" r:id="rId1" location="'Dashboard'!A1" display="Dashboard"/>
    <hyperlink ref="B30" r:id="rId2" location="'Video%20Data'!A1" display="Video Data"/>
    <hyperlink ref="B31" r:id="rId3" location="'Monthly%20Trend'!A1" display="Monthly Trend"/>
    <hyperlink ref="B32" r:id="rId4" location="'Traffic%20&amp;%20Audience'!A1" display="Traffic &amp; Audience"/>
    <hyperlink ref="B33" r:id="rId5" location="'Benchmarks'!A1" display="Benchmarks"/>
    <hyperlink ref="B34" r:id="rId6" location="'Insights%20&amp;%20Research'!A1" display="Insights &amp; Research"/>
    <hyperlink ref="B35" r:id="rId7" location="'Q3%20Action%20Plan'!A1" display="Q3 Action Plan"/>
    <hyperlink ref="B36" r:id="rId8" location="'Q3%20Scorecard'!A1" display="Q3 Scorec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N8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46"/>
    <col collapsed="false" customWidth="true" hidden="true" outlineLevel="0" max="14" min="14" style="0" width="6"/>
  </cols>
  <sheetData>
    <row r="1" customFormat="false" ht="36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B2" s="4" t="str">
        <f aca="false">IF(COUNTA('Video Data'!$A$5:$A$204)=0,"⚠  NO DATA YET — open the Start Here tab to load your YouTube Studio export. Everything on this page fills in automatically.","✔  "&amp;COUNTA('Video Data'!$A$5:$A$204)&amp;" videos analysed  ·  "&amp;COUNTIF('Video Data'!$S$5:$S$204,"Yes")&amp;" published in Q2  ·  "&amp;COUNTIF('Video Data'!$Q$5:$Q$204,"Long")&amp;" long-form, "&amp;COUNTIF('Video Data'!$Q$5:$Q$204,"Short")&amp;" Shorts")</f>
        <v>⚠  NO DATA YET — open the Start Here tab to load your YouTube Studio export. Everything on this page fills in automatically.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customFormat="false" ht="21.75" hidden="false" customHeight="true" outlineLevel="0" collapsed="false">
      <c r="B4" s="5" t="s">
        <v>60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true" outlineLevel="0" collapsed="false">
      <c r="B5" s="23" t="s">
        <v>61</v>
      </c>
      <c r="C5" s="23"/>
      <c r="D5" s="23"/>
      <c r="E5" s="23" t="s">
        <v>62</v>
      </c>
      <c r="F5" s="23"/>
      <c r="G5" s="23"/>
      <c r="H5" s="23" t="s">
        <v>63</v>
      </c>
      <c r="I5" s="23"/>
      <c r="J5" s="23"/>
      <c r="K5" s="23" t="s">
        <v>64</v>
      </c>
      <c r="L5" s="23"/>
      <c r="M5" s="23"/>
    </row>
    <row r="6" customFormat="false" ht="33.75" hidden="false" customHeight="true" outlineLevel="0" collapsed="false">
      <c r="B6" s="24" t="n">
        <f aca="false">IF(N('Monthly Trend'!B8)&gt;0,'Monthly Trend'!B8,SUM('Video Data'!$E$5:$E$204))</f>
        <v>0</v>
      </c>
      <c r="C6" s="24"/>
      <c r="D6" s="24"/>
      <c r="E6" s="24" t="n">
        <f aca="false">IF(N('Monthly Trend'!C8)&gt;0,'Monthly Trend'!C8,SUM('Video Data'!$J$5:$J$204))</f>
        <v>0</v>
      </c>
      <c r="F6" s="24"/>
      <c r="G6" s="24"/>
      <c r="H6" s="25" t="n">
        <f aca="false">IF(N('Monthly Trend'!D8)+N('Monthly Trend'!E8)&gt;0,'Monthly Trend'!F8,SUM('Video Data'!$X$5:$X$204))</f>
        <v>0</v>
      </c>
      <c r="I6" s="25"/>
      <c r="J6" s="25"/>
      <c r="K6" s="26" t="n">
        <f aca="false">IF(N('Monthly Trend'!K8)&gt;0,'Monthly Trend'!K8,SUM('Video Data'!$P$5:$P$204))</f>
        <v>0</v>
      </c>
      <c r="L6" s="26"/>
      <c r="M6" s="26"/>
    </row>
    <row r="7" customFormat="false" ht="15" hidden="false" customHeight="false" outlineLevel="0" collapsed="false">
      <c r="B7" s="27" t="str">
        <f aca="false">IF('Monthly Trend'!B10="","Add Q1 in Monthly Trend to compare",IF('Monthly Trend'!B10&gt;=0,"▲ ","▼ ")&amp;TEXT(ABS('Monthly Trend'!B10),"0.0")&amp;"% vs Q1 2026")</f>
        <v>Add Q1 in Monthly Trend to compare</v>
      </c>
      <c r="C7" s="27"/>
      <c r="D7" s="27"/>
      <c r="E7" s="27" t="str">
        <f aca="false">IF('Monthly Trend'!C10="","Add Q1 in Monthly Trend to compare",IF('Monthly Trend'!C10&gt;=0,"▲ ","▼ ")&amp;TEXT(ABS('Monthly Trend'!C10),"0.0")&amp;"% vs Q1 2026")</f>
        <v>Add Q1 in Monthly Trend to compare</v>
      </c>
      <c r="F7" s="27"/>
      <c r="G7" s="27"/>
      <c r="H7" s="27" t="str">
        <f aca="false">IF('Monthly Trend'!F10="","Add Q1 in Monthly Trend to compare",IF('Monthly Trend'!F10&gt;=0,"▲ ","▼ ")&amp;TEXT(ABS('Monthly Trend'!F10),"0.0")&amp;"% vs Q1 2026")</f>
        <v>Add Q1 in Monthly Trend to compare</v>
      </c>
      <c r="I7" s="27"/>
      <c r="J7" s="27"/>
      <c r="K7" s="27" t="str">
        <f aca="false">IF('Monthly Trend'!K10="","Add Q1 in Monthly Trend to compare",IF('Monthly Trend'!K10&gt;=0,"▲ ","▼ ")&amp;TEXT(ABS('Monthly Trend'!K10),"0.0")&amp;"% vs Q1 2026")</f>
        <v>Add Q1 in Monthly Trend to compare</v>
      </c>
      <c r="L7" s="27"/>
      <c r="M7" s="27"/>
    </row>
    <row r="9" customFormat="false" ht="15" hidden="false" customHeight="true" outlineLevel="0" collapsed="false">
      <c r="B9" s="23" t="s">
        <v>65</v>
      </c>
      <c r="C9" s="23"/>
      <c r="D9" s="23"/>
      <c r="E9" s="23" t="s">
        <v>66</v>
      </c>
      <c r="F9" s="23"/>
      <c r="G9" s="23"/>
      <c r="H9" s="23" t="s">
        <v>67</v>
      </c>
      <c r="I9" s="23"/>
      <c r="J9" s="23"/>
      <c r="K9" s="23" t="s">
        <v>68</v>
      </c>
      <c r="L9" s="23"/>
      <c r="M9" s="23"/>
    </row>
    <row r="10" customFormat="false" ht="33.75" hidden="false" customHeight="true" outlineLevel="0" collapsed="false">
      <c r="B10" s="24" t="n">
        <f aca="false">IF(N('Monthly Trend'!G8)&gt;0,'Monthly Trend'!G8,SUM('Video Data'!$F$5:$F$204))</f>
        <v>0</v>
      </c>
      <c r="C10" s="24"/>
      <c r="D10" s="24"/>
      <c r="E10" s="28" t="str">
        <f aca="false">IFERROR(SUMPRODUCT(('Video Data'!$Q$5:$Q$204="Long")*'Video Data'!$F$5:$F$204*'Video Data'!$G$5:$G$204)/SUMIFS('Video Data'!$F$5:$F$204,'Video Data'!$Q$5:$Q$204,"Long",'Video Data'!$G$5:$G$204,"&gt;0"),IF(N('Monthly Trend'!H8)&gt;0,'Monthly Trend'!H8,""))</f>
        <v/>
      </c>
      <c r="F10" s="28"/>
      <c r="G10" s="28"/>
      <c r="H10" s="28" t="str">
        <f aca="false">IFERROR(SUMPRODUCT(('Video Data'!$Q$5:$Q$204="Long")*'Video Data'!$E$5:$E$204*'Video Data'!$I$5:$I$204)/SUMIFS('Video Data'!$E$5:$E$204,'Video Data'!$Q$5:$Q$204,"Long",'Video Data'!$I$5:$I$204,"&gt;0"),"")</f>
        <v/>
      </c>
      <c r="I10" s="28"/>
      <c r="J10" s="28"/>
      <c r="K10" s="29" t="str">
        <f aca="false">IFERROR((SUM('Video Data'!$K$5:$K$204)+SUM('Video Data'!$L$5:$L$204))/SUM('Video Data'!$E$5:$E$204)*100,"")</f>
        <v/>
      </c>
      <c r="L10" s="29"/>
      <c r="M10" s="29"/>
    </row>
    <row r="11" customFormat="false" ht="15" hidden="false" customHeight="false" outlineLevel="0" collapsed="false">
      <c r="B11" s="23" t="str">
        <f aca="false">IF('Monthly Trend'!G10="","Add Q1 in Monthly Trend to compare",IF('Monthly Trend'!G10&gt;=0,"▲ ","▼ ")&amp;TEXT(ABS('Monthly Trend'!G10),"0.0")&amp;"% vs Q1 2026")</f>
        <v>Add Q1 in Monthly Trend to compare</v>
      </c>
      <c r="C11" s="23"/>
      <c r="D11" s="23"/>
      <c r="E11" s="23" t="str">
        <f aca="false">IF(E10="","—","Grade: "&amp;$H$27&amp;"  (typical 4–6%)")</f>
        <v>—</v>
      </c>
      <c r="F11" s="23"/>
      <c r="G11" s="23"/>
      <c r="H11" s="23" t="str">
        <f aca="false">IF(H10="","—","Grade: "&amp;$H$28&amp;"  (good ≈ 30%+)")</f>
        <v>—</v>
      </c>
      <c r="I11" s="23"/>
      <c r="J11" s="23"/>
      <c r="K11" s="23" t="str">
        <f aca="false">IF(K10="","—","Grade: "&amp;$H$30&amp;"  (median ≈ 3.5%)")</f>
        <v>—</v>
      </c>
      <c r="L11" s="23"/>
      <c r="M11" s="23"/>
    </row>
    <row r="14" customFormat="false" ht="21.75" hidden="false" customHeight="true" outlineLevel="0" collapsed="false">
      <c r="B14" s="5" t="s">
        <v>69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36" hidden="false" customHeight="true" outlineLevel="0" collapsed="false">
      <c r="B15" s="30" t="str">
        <f aca="false">IF(E10="","• PACKAGING — add impressions + CTR on the Video Data tab to unlock this insight.","• PACKAGING — Long-form CTR was "&amp;TEXT(E10,"0.0")&amp;"% ("&amp;H27&amp;"; typical channels sit around 4–6%). "&amp;IF(OR(H27="Needs work",H27="Average"),"Biggest quick win: run Test &amp; Compare (3 titles + 3 thumbnails) on every new upload and re-package the "&amp;L39&amp;" video(s) flagged Great video, weak packaging.","Packaging is a strength — keep testing bolder variants, and never let a title over-promise."))</f>
        <v>• PACKAGING — add impressions + CTR on the Video Data tab to unlock this insight.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customFormat="false" ht="36" hidden="false" customHeight="true" outlineLevel="0" collapsed="false">
      <c r="B16" s="31" t="str">
        <f aca="false">IF(H10="","• RETENTION — add Average percentage viewed on the Video Data tab to unlock this insight.","• RETENTION — Long-form viewers watched "&amp;TEXT(H10,"0.0")&amp;"% of each video on average ("&amp;H28&amp;"; ~30% is good for long-form). "&amp;IF(OR(H28="Needs work",H28="Average"),"Deliver the promised payoff inside 30 seconds, cut set-up, and add a pattern-break every 60–90s. Study the retention graphs of the "&amp;L40&amp;" Click-but-leave video(s) first.","Your content holds attention — lean into the formats behind your "&amp;L38&amp;" WINNER video(s)."))</f>
        <v>• RETENTION — add Average percentage viewed on the Video Data tab to unlock this insight.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customFormat="false" ht="36" hidden="false" customHeight="true" outlineLevel="0" collapsed="false">
      <c r="B17" s="30" t="str">
        <f aca="false">IFERROR(IF(AND(E38=0,F38=0),"• FORMAT — no videos loaded yet.",IF(F38=0,"• FORMAT — no Shorts in Q2. Test 3 Shorts a week cut from your best long-form moments, each linked to the full video.",IF(E38=0,"• FORMAT — Shorts only in Q2. Long-form earns far more per view and builds deeper loyalty; add one long-form video a week.","• FORMAT — Long-form averaged "&amp;TEXT(E40,"#,##0")&amp;" views/video vs "&amp;TEXT(F40,"#,##0")&amp;" for Shorts; net subs per 1k views: long-form "&amp;TEXT(E46,"0.0")&amp;" vs Shorts "&amp;TEXT(F46,"0.0")&amp;". "&amp;IF(F46&gt;E46,"Shorts are your subscriber engine — keep them, but point every Short to a long-form video.","Long-form converts viewers into subscribers better — make it the core, use Shorts as trailers.")))),"• FORMAT — add views and subscriber data for both formats to compare.")</f>
        <v>• FORMAT — no videos loaded yet.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customFormat="false" ht="36" hidden="false" customHeight="true" outlineLevel="0" collapsed="false">
      <c r="B18" s="31" t="str">
        <f aca="false">IFERROR(IF('Traffic &amp; Audience'!B18="","• DISCOVERY — fill in the Traffic &amp; Audience tab to see where viewers find you.","• DISCOVERY — "&amp;'Traffic &amp; Audience'!B18&amp;" drove "&amp;TEXT('Traffic &amp; Audience'!B19,"0")&amp;"% of views; YouTube search drove "&amp;TEXT(N('Traffic &amp; Audience'!E7),"0")&amp;"%. "&amp;IF(N('Traffic &amp; Audience'!E7)&lt;15,"Search is under-used: title one video a week around an exact query people type (e.g. 'how to … with [AI tool]').","Search is a real asset — group tutorials into playlists so search viewers keep watching.")),"• DISCOVERY — check the Traffic &amp; Audience tab.")</f>
        <v>• DISCOVERY — fill in the Traffic &amp; Audience tab to see where viewers find you.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customFormat="false" ht="36" hidden="false" customHeight="true" outlineLevel="0" collapsed="false">
      <c r="B19" s="30" t="str">
        <f aca="false">IF(AND(D87="",K87=""),"• TIMING &amp; LENGTH — add publish dates and durations to unlock this insight.","• TIMING &amp; LENGTH — "&amp;IF(D87="","",D87&amp;" uploads averaged the most long-form views. ")&amp;IF(K87="","","Best long-form length bucket: "&amp;K87&amp;". ")&amp;"Treat these as hypotheses (small samples) and test them on purpose next quarter.")</f>
        <v>• TIMING &amp; LENGTH — add publish dates and durations to unlock this insight.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customFormat="false" ht="36" hidden="false" customHeight="true" outlineLevel="0" collapsed="false">
      <c r="B20" s="31" t="str">
        <f aca="false">IF('Monthly Trend'!B14="","• MOMENTUM — add monthly totals on the Monthly Trend tab to see your April→June trajectory.","• MOMENTUM — Views went "&amp;IF('Monthly Trend'!B14&gt;=0,"up ","down ")&amp;TEXT(ABS('Monthly Trend'!B14),"0")&amp;"% from April to June. "&amp;IF('Monthly Trend'!B14&gt;=0,"Keep the cadence and topics that drove this — consistency compounds.","Check what changed in May/June (topics, cadence, length); the Diagnosis column on Video Data shows which uploads dragged."))</f>
        <v>• MOMENTUM — add monthly totals on the Monthly Trend tab to see your April→June trajectory.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customFormat="false" ht="36" hidden="false" customHeight="true" outlineLevel="0" collapsed="false">
      <c r="B21" s="30" t="str">
        <f aca="false">IF(COUNT('Video Data'!$AC$5:$AC$204)=0,"• SCORECARD — load video data to see which videos to double down on.","• SCORECARD — "&amp;L38&amp;" WINNER video(s) (strong clicks AND strong retention): build sequels and series from them. "&amp;L41&amp;" topic miss(es): retire those angles. Every video is diagnosed on the Video Data tab.")</f>
        <v>• SCORECARD — load video data to see which videos to double down on.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customFormat="false" ht="36" hidden="false" customHeight="true" outlineLevel="0" collapsed="false">
      <c r="B22" s="31" t="s">
        <v>70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5" customFormat="false" ht="21.75" hidden="false" customHeight="true" outlineLevel="0" collapsed="false">
      <c r="B25" s="5" t="s">
        <v>71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27.75" hidden="false" customHeight="true" outlineLevel="0" collapsed="false">
      <c r="B26" s="32" t="s">
        <v>72</v>
      </c>
      <c r="C26" s="32"/>
      <c r="D26" s="15" t="s">
        <v>73</v>
      </c>
      <c r="E26" s="15" t="s">
        <v>74</v>
      </c>
      <c r="F26" s="15" t="s">
        <v>75</v>
      </c>
      <c r="G26" s="15" t="s">
        <v>76</v>
      </c>
      <c r="H26" s="15" t="s">
        <v>77</v>
      </c>
      <c r="I26" s="32" t="s">
        <v>78</v>
      </c>
      <c r="J26" s="32"/>
      <c r="K26" s="32"/>
      <c r="L26" s="32"/>
      <c r="M26" s="32"/>
    </row>
    <row r="27" customFormat="false" ht="39.75" hidden="false" customHeight="true" outlineLevel="0" collapsed="false">
      <c r="B27" s="33" t="s">
        <v>79</v>
      </c>
      <c r="C27" s="33"/>
      <c r="D27" s="34" t="str">
        <f aca="false">E10</f>
        <v/>
      </c>
      <c r="E27" s="35" t="n">
        <f aca="false">Benchmarks!C5</f>
        <v>4</v>
      </c>
      <c r="F27" s="35" t="n">
        <f aca="false">Benchmarks!D5</f>
        <v>6</v>
      </c>
      <c r="G27" s="35" t="n">
        <f aca="false">Benchmarks!E5</f>
        <v>9</v>
      </c>
      <c r="H27" s="36" t="str">
        <f aca="false">IF(D27="","—",IF(D27&gt;=G27,"Elite",IF(D27&gt;=F27,"Strong",IF(D27&gt;=E27,"Average","Needs work"))))</f>
        <v>—</v>
      </c>
      <c r="I27" s="37" t="str">
        <f aca="false">IF(H27="—","Add data to unlock advice.",IF(H27="Needs work","Packaging is the bottleneck. Use Test &amp; Compare on every video; one clear idea per thumbnail (face + 3 words max); make the title a specific outcome or curiosity gap.",IF(H27="Average","In the normal range. Test bolder contrast &amp; emotion in thumbnails and sharper, more specific titles. Re-package older videos that still get impressions.",IF(H27="Strong","Above typical. Keep the packaging formula; document what your winning thumbnails share and reuse it.","Elite packaging. Make sure retention keeps up so the click isn't wasted."))))</f>
        <v>Add data to unlock advice.</v>
      </c>
      <c r="J27" s="37"/>
      <c r="K27" s="37"/>
      <c r="L27" s="37"/>
      <c r="M27" s="37"/>
    </row>
    <row r="28" customFormat="false" ht="39.75" hidden="false" customHeight="true" outlineLevel="0" collapsed="false">
      <c r="B28" s="33" t="s">
        <v>80</v>
      </c>
      <c r="C28" s="33"/>
      <c r="D28" s="34" t="str">
        <f aca="false">H10</f>
        <v/>
      </c>
      <c r="E28" s="35" t="n">
        <f aca="false">Benchmarks!C6</f>
        <v>25</v>
      </c>
      <c r="F28" s="35" t="n">
        <f aca="false">Benchmarks!D6</f>
        <v>35</v>
      </c>
      <c r="G28" s="35" t="n">
        <f aca="false">Benchmarks!E6</f>
        <v>50</v>
      </c>
      <c r="H28" s="36" t="str">
        <f aca="false">IF(D28="","—",IF(D28&gt;=G28,"Elite",IF(D28&gt;=F28,"Strong",IF(D28&gt;=E28,"Average","Needs work"))))</f>
        <v>—</v>
      </c>
      <c r="I28" s="37" t="str">
        <f aca="false">IF(H28="—","Add data to unlock advice.",IF(H28="Needs work","Viewers leave early. Open with the payoff/result, cut intros &amp; channel plugs, show-don't-tell demos, pattern-break every 60–90s.",IF(H28="Average","Normal. Find the biggest drop in each retention graph and fix that moment type in future scripts.",IF(H28="Strong","Strong. Test slightly longer, deeper videos — satisfied viewers watch more.","Elite. Your structure works — templatise it and scale output."))))</f>
        <v>Add data to unlock advice.</v>
      </c>
      <c r="J28" s="37"/>
      <c r="K28" s="37"/>
      <c r="L28" s="37"/>
      <c r="M28" s="37"/>
    </row>
    <row r="29" customFormat="false" ht="39.75" hidden="false" customHeight="true" outlineLevel="0" collapsed="false">
      <c r="B29" s="33" t="s">
        <v>81</v>
      </c>
      <c r="C29" s="33"/>
      <c r="D29" s="34" t="str">
        <f aca="false">IFERROR(SUMPRODUCT(('Video Data'!$Q$5:$Q$204="Short")*'Video Data'!$E$5:$E$204*'Video Data'!$I$5:$I$204)/SUMIFS('Video Data'!$E$5:$E$204,'Video Data'!$Q$5:$Q$204,"Short",'Video Data'!$I$5:$I$204,"&gt;0"),"")</f>
        <v/>
      </c>
      <c r="E29" s="35" t="n">
        <f aca="false">Benchmarks!C7</f>
        <v>50</v>
      </c>
      <c r="F29" s="35" t="n">
        <f aca="false">Benchmarks!D7</f>
        <v>70</v>
      </c>
      <c r="G29" s="35" t="n">
        <f aca="false">Benchmarks!E7</f>
        <v>90</v>
      </c>
      <c r="H29" s="36" t="str">
        <f aca="false">IF(D29="","—",IF(D29&gt;=G29,"Elite",IF(D29&gt;=F29,"Strong",IF(D29&gt;=E29,"Average","Needs work"))))</f>
        <v>—</v>
      </c>
      <c r="I29" s="37" t="str">
        <f aca="false">IF(H29="—","Add data to unlock advice.",IF(H29="Needs work","Shorts lose viewers fast. First frame = the most interesting moment; no intro; under 35s until retention improves.",IF(H29="Average","Normal. Tighten pacing and end on a loop that sends viewers back to the start.",IF(H29="Strong","Strong. Post more Shorts in this style and link them to related long-form.","Elite. Turn your best Shorts into full long-form deep-dives."))))</f>
        <v>Add data to unlock advice.</v>
      </c>
      <c r="J29" s="37"/>
      <c r="K29" s="37"/>
      <c r="L29" s="37"/>
      <c r="M29" s="37"/>
    </row>
    <row r="30" customFormat="false" ht="39.75" hidden="false" customHeight="true" outlineLevel="0" collapsed="false">
      <c r="B30" s="33" t="s">
        <v>82</v>
      </c>
      <c r="C30" s="33"/>
      <c r="D30" s="38" t="str">
        <f aca="false">K10</f>
        <v/>
      </c>
      <c r="E30" s="35" t="n">
        <f aca="false">Benchmarks!C8</f>
        <v>2.5</v>
      </c>
      <c r="F30" s="35" t="n">
        <f aca="false">Benchmarks!D8</f>
        <v>3.5</v>
      </c>
      <c r="G30" s="35" t="n">
        <f aca="false">Benchmarks!E8</f>
        <v>5</v>
      </c>
      <c r="H30" s="36" t="str">
        <f aca="false">IF(D30="","—",IF(D30&gt;=G30,"Elite",IF(D30&gt;=F30,"Strong",IF(D30&gt;=E30,"Average","Needs work"))))</f>
        <v>—</v>
      </c>
      <c r="I30" s="37" t="str">
        <f aca="false">IF(H30="—","Add data to unlock advice.",IF(H30="Needs work","Low reaction. Ask one specific question on screen, take a clear stance, pin a comment, and reply to the first hour of comments.",IF(H30="Average","Normal. Add a mid-video prompt ('which tool would you pick?') and reply to comments to seed discussion.",IF(H30="Strong","Strong. Mine comments for next video ideas and feature viewers in videos.","Elite. Your community is an asset — consider memberships, a Discord or a newsletter."))))</f>
        <v>Add data to unlock advice.</v>
      </c>
      <c r="J30" s="37"/>
      <c r="K30" s="37"/>
      <c r="L30" s="37"/>
      <c r="M30" s="37"/>
    </row>
    <row r="31" customFormat="false" ht="39.75" hidden="false" customHeight="true" outlineLevel="0" collapsed="false">
      <c r="B31" s="33" t="s">
        <v>83</v>
      </c>
      <c r="C31" s="33"/>
      <c r="D31" s="39" t="str">
        <f aca="false">IFERROR(SUM('Video Data'!$L$5:$L$204)/SUM('Video Data'!$E$5:$E$204)*1000,"")</f>
        <v/>
      </c>
      <c r="E31" s="35" t="n">
        <f aca="false">Benchmarks!C9</f>
        <v>1</v>
      </c>
      <c r="F31" s="35" t="n">
        <f aca="false">Benchmarks!D9</f>
        <v>3</v>
      </c>
      <c r="G31" s="35" t="n">
        <f aca="false">Benchmarks!E9</f>
        <v>6</v>
      </c>
      <c r="H31" s="36" t="str">
        <f aca="false">IF(D31="","—",IF(D31&gt;=G31,"Elite",IF(D31&gt;=F31,"Strong",IF(D31&gt;=E31,"Average","Needs work"))))</f>
        <v>—</v>
      </c>
      <c r="I31" s="37" t="str">
        <f aca="false">IF(H31="—","Add data to unlock advice.",IF(H31="Needs work","Very few comments. End with a direct question, and use polls/community posts to warm up the audience.",IF(H31="Average","Normal. Run comment-driven segments ('you asked, I tested').",IF(H31="Strong","Strong. Turn top comments into Shorts and follow-ups.","Elite. Make community a pillar (live Q&amp;As, viewer challenges)."))))</f>
        <v>Add data to unlock advice.</v>
      </c>
      <c r="J31" s="37"/>
      <c r="K31" s="37"/>
      <c r="L31" s="37"/>
      <c r="M31" s="37"/>
    </row>
    <row r="32" customFormat="false" ht="39.75" hidden="false" customHeight="true" outlineLevel="0" collapsed="false">
      <c r="B32" s="33" t="s">
        <v>84</v>
      </c>
      <c r="C32" s="33"/>
      <c r="D32" s="39" t="str">
        <f aca="false">IFERROR(H6/B6*1000,"")</f>
        <v/>
      </c>
      <c r="E32" s="35" t="n">
        <f aca="false">Benchmarks!C10</f>
        <v>2</v>
      </c>
      <c r="F32" s="35" t="n">
        <f aca="false">Benchmarks!D10</f>
        <v>5</v>
      </c>
      <c r="G32" s="35" t="n">
        <f aca="false">Benchmarks!E10</f>
        <v>10</v>
      </c>
      <c r="H32" s="36" t="str">
        <f aca="false">IF(D32="","—",IF(D32&gt;=G32,"Elite",IF(D32&gt;=F32,"Strong",IF(D32&gt;=E32,"Average","Needs work"))))</f>
        <v>—</v>
      </c>
      <c r="I32" s="37" t="str">
        <f aca="false">IF(H32="—","Add data to unlock advice.",IF(H32="Needs work","Views aren't converting. Give a reason to subscribe (a series promise), use end screens to a playlist, and make channel-specific content, not one-offs.",IF(H32="Average","Normal. Add a mid-video 'this is part of a series' cue and a strong channel trailer.",IF(H32="Strong","Strong. Keep series formats; promote your best 'binge' playlist.","Elite. Your audience fit is excellent — scale frequency."))))</f>
        <v>Add data to unlock advice.</v>
      </c>
      <c r="J32" s="37"/>
      <c r="K32" s="37"/>
      <c r="L32" s="37"/>
      <c r="M32" s="37"/>
    </row>
    <row r="33" customFormat="false" ht="39.75" hidden="false" customHeight="true" outlineLevel="0" collapsed="false">
      <c r="B33" s="33" t="s">
        <v>85</v>
      </c>
      <c r="C33" s="33"/>
      <c r="D33" s="34" t="str">
        <f aca="false">'Traffic &amp; Audience'!B26</f>
        <v/>
      </c>
      <c r="E33" s="35" t="n">
        <f aca="false">Benchmarks!C11</f>
        <v>20</v>
      </c>
      <c r="F33" s="35" t="n">
        <f aca="false">Benchmarks!D11</f>
        <v>35</v>
      </c>
      <c r="G33" s="35" t="n">
        <f aca="false">Benchmarks!E11</f>
        <v>50</v>
      </c>
      <c r="H33" s="36" t="str">
        <f aca="false">IF(D33="","—",IF(D33&gt;=G33,"Elite",IF(D33&gt;=F33,"Strong",IF(D33&gt;=E33,"Average","Needs work"))))</f>
        <v>—</v>
      </c>
      <c r="I33" s="37" t="str">
        <f aca="false">IF(H33="—","Add data to unlock advice.",IF(H33="Needs work","Mostly one-time viewers. Build recurring series, a consistent upload day and community posts between uploads.",IF(H33="Average","Normal. Create a weekly signature format viewers can expect.",IF(H33="Strong","Strong loyalty. Use Hype, premieres and memberships to activate it.","Elite loyalty. Monetise depth: memberships, products, sponsorships."))))</f>
        <v>Add data to unlock advice.</v>
      </c>
      <c r="J33" s="37"/>
      <c r="K33" s="37"/>
      <c r="L33" s="37"/>
      <c r="M33" s="37"/>
    </row>
    <row r="36" customFormat="false" ht="21.75" hidden="false" customHeight="true" outlineLevel="0" collapsed="false">
      <c r="B36" s="5" t="s">
        <v>86</v>
      </c>
      <c r="C36" s="5"/>
      <c r="D36" s="5"/>
      <c r="E36" s="5"/>
      <c r="F36" s="5"/>
      <c r="G36" s="5"/>
      <c r="I36" s="5" t="s">
        <v>87</v>
      </c>
      <c r="J36" s="5"/>
      <c r="K36" s="5"/>
      <c r="L36" s="5"/>
      <c r="M36" s="5"/>
    </row>
    <row r="37" customFormat="false" ht="15" hidden="false" customHeight="true" outlineLevel="0" collapsed="false">
      <c r="B37" s="32" t="s">
        <v>72</v>
      </c>
      <c r="C37" s="32"/>
      <c r="D37" s="32"/>
      <c r="E37" s="15" t="s">
        <v>88</v>
      </c>
      <c r="F37" s="15" t="s">
        <v>89</v>
      </c>
      <c r="G37" s="15" t="s">
        <v>90</v>
      </c>
      <c r="I37" s="32" t="s">
        <v>91</v>
      </c>
      <c r="J37" s="32"/>
      <c r="K37" s="32"/>
      <c r="L37" s="15" t="s">
        <v>92</v>
      </c>
      <c r="M37" s="15" t="s">
        <v>93</v>
      </c>
    </row>
    <row r="38" customFormat="false" ht="15" hidden="false" customHeight="false" outlineLevel="0" collapsed="false">
      <c r="B38" s="40" t="s">
        <v>92</v>
      </c>
      <c r="C38" s="40"/>
      <c r="D38" s="40"/>
      <c r="E38" s="41" t="n">
        <f aca="false">COUNTIF('Video Data'!$Q$5:$Q$204,"Long")</f>
        <v>0</v>
      </c>
      <c r="F38" s="41" t="n">
        <f aca="false">COUNTIF('Video Data'!$Q$5:$Q$204,"Short")</f>
        <v>0</v>
      </c>
      <c r="G38" s="42" t="s">
        <v>94</v>
      </c>
      <c r="I38" s="43" t="s">
        <v>95</v>
      </c>
      <c r="J38" s="43"/>
      <c r="K38" s="43"/>
      <c r="L38" s="44" t="n">
        <f aca="false">COUNTIF('Video Data'!$AD$5:$AD$204,"WINNER*")</f>
        <v>0</v>
      </c>
      <c r="M38" s="45" t="s">
        <v>96</v>
      </c>
    </row>
    <row r="39" customFormat="false" ht="15" hidden="false" customHeight="false" outlineLevel="0" collapsed="false">
      <c r="B39" s="40" t="s">
        <v>97</v>
      </c>
      <c r="C39" s="40"/>
      <c r="D39" s="40"/>
      <c r="E39" s="46" t="n">
        <f aca="false">SUMIFS('Video Data'!$E$5:$E$204,'Video Data'!$Q$5:$Q$204,"Long")</f>
        <v>0</v>
      </c>
      <c r="F39" s="46" t="n">
        <f aca="false">SUMIFS('Video Data'!$E$5:$E$204,'Video Data'!$Q$5:$Q$204,"Short")</f>
        <v>0</v>
      </c>
      <c r="G39" s="42" t="str">
        <f aca="false">IF(OR(N(E39)=0,N(F39)=0),"",IF(E39&gt;F39,"Long-form",IF(F39&gt;E39,"Shorts","Tie")))</f>
        <v/>
      </c>
      <c r="I39" s="47" t="s">
        <v>98</v>
      </c>
      <c r="J39" s="47"/>
      <c r="K39" s="47"/>
      <c r="L39" s="44" t="n">
        <f aca="false">COUNTIF('Video Data'!$AD$5:$AD$204,"Great video*")</f>
        <v>0</v>
      </c>
      <c r="M39" s="45" t="s">
        <v>99</v>
      </c>
    </row>
    <row r="40" customFormat="false" ht="15" hidden="false" customHeight="false" outlineLevel="0" collapsed="false">
      <c r="B40" s="40" t="s">
        <v>100</v>
      </c>
      <c r="C40" s="40"/>
      <c r="D40" s="40"/>
      <c r="E40" s="46" t="str">
        <f aca="false">IFERROR(E39/E38,"")</f>
        <v/>
      </c>
      <c r="F40" s="46" t="str">
        <f aca="false">IFERROR(F39/F38,"")</f>
        <v/>
      </c>
      <c r="G40" s="48" t="str">
        <f aca="false">IF(OR(E40="",F40=""),"",IF(E40&gt;F40,"Long-form",IF(F40&gt;E40,"Shorts","Tie")))</f>
        <v/>
      </c>
      <c r="I40" s="47" t="s">
        <v>101</v>
      </c>
      <c r="J40" s="47"/>
      <c r="K40" s="47"/>
      <c r="L40" s="44" t="n">
        <f aca="false">COUNTIF('Video Data'!$AD$5:$AD$204,"Click but leave*")</f>
        <v>0</v>
      </c>
      <c r="M40" s="45" t="s">
        <v>102</v>
      </c>
    </row>
    <row r="41" customFormat="false" ht="15" hidden="false" customHeight="false" outlineLevel="0" collapsed="false">
      <c r="B41" s="40" t="s">
        <v>103</v>
      </c>
      <c r="C41" s="40"/>
      <c r="D41" s="40"/>
      <c r="E41" s="46" t="n">
        <f aca="false">SUMIFS('Video Data'!$J$5:$J$204,'Video Data'!$Q$5:$Q$204,"Long")</f>
        <v>0</v>
      </c>
      <c r="F41" s="46" t="n">
        <f aca="false">SUMIFS('Video Data'!$J$5:$J$204,'Video Data'!$Q$5:$Q$204,"Short")</f>
        <v>0</v>
      </c>
      <c r="G41" s="42" t="str">
        <f aca="false">IF(OR(N(E41)=0,N(F41)=0),"",IF(E41&gt;F41,"Long-form",IF(F41&gt;E41,"Shorts","Tie")))</f>
        <v/>
      </c>
      <c r="I41" s="49" t="s">
        <v>104</v>
      </c>
      <c r="J41" s="49"/>
      <c r="K41" s="49"/>
      <c r="L41" s="44" t="n">
        <f aca="false">COUNTIF('Video Data'!$AD$5:$AD$204,"Topic miss*")</f>
        <v>0</v>
      </c>
      <c r="M41" s="45" t="s">
        <v>105</v>
      </c>
    </row>
    <row r="42" customFormat="false" ht="15" hidden="false" customHeight="false" outlineLevel="0" collapsed="false">
      <c r="B42" s="40" t="s">
        <v>106</v>
      </c>
      <c r="C42" s="40"/>
      <c r="D42" s="40"/>
      <c r="E42" s="50" t="str">
        <f aca="false">IFERROR(SUMPRODUCT(('Video Data'!$Q$5:$Q$204="Long")*'Video Data'!$E$5:$E$204*'Video Data'!$I$5:$I$204)/SUMIFS('Video Data'!$E$5:$E$204,'Video Data'!$Q$5:$Q$204,"Long",'Video Data'!$I$5:$I$204,"&gt;0"),"")</f>
        <v/>
      </c>
      <c r="F42" s="50" t="str">
        <f aca="false">IFERROR(SUMPRODUCT(('Video Data'!$Q$5:$Q$204="Short")*'Video Data'!$E$5:$E$204*'Video Data'!$I$5:$I$204)/SUMIFS('Video Data'!$E$5:$E$204,'Video Data'!$Q$5:$Q$204,"Short",'Video Data'!$I$5:$I$204,"&gt;0"),"")</f>
        <v/>
      </c>
      <c r="G42" s="42" t="s">
        <v>94</v>
      </c>
      <c r="I42" s="40" t="s">
        <v>107</v>
      </c>
      <c r="J42" s="40"/>
      <c r="K42" s="40"/>
      <c r="L42" s="44" t="n">
        <f aca="false">COUNTIF('Video Data'!$AD$5:$AD$204,"Average*")</f>
        <v>0</v>
      </c>
      <c r="M42" s="45" t="s">
        <v>108</v>
      </c>
    </row>
    <row r="43" customFormat="false" ht="15" hidden="false" customHeight="false" outlineLevel="0" collapsed="false">
      <c r="B43" s="40" t="s">
        <v>82</v>
      </c>
      <c r="C43" s="40"/>
      <c r="D43" s="40"/>
      <c r="E43" s="51" t="str">
        <f aca="false">IFERROR((SUMIFS('Video Data'!$K$5:$K$204,'Video Data'!$Q$5:$Q$204,"Long")+SUMIFS('Video Data'!$L$5:$L$204,'Video Data'!$Q$5:$Q$204,"Long"))/SUMIFS('Video Data'!$E$5:$E$204,'Video Data'!$Q$5:$Q$204,"Long")*100,"")</f>
        <v/>
      </c>
      <c r="F43" s="51" t="str">
        <f aca="false">IFERROR((SUMIFS('Video Data'!$K$5:$K$204,'Video Data'!$Q$5:$Q$204,"Short")+SUMIFS('Video Data'!$L$5:$L$204,'Video Data'!$Q$5:$Q$204,"Short"))/SUMIFS('Video Data'!$E$5:$E$204,'Video Data'!$Q$5:$Q$204,"Short")*100,"")</f>
        <v/>
      </c>
      <c r="G43" s="48" t="str">
        <f aca="false">IF(OR(E43="",F43=""),"",IF(E43&gt;F43,"Long-form",IF(F43&gt;E43,"Shorts","Tie")))</f>
        <v/>
      </c>
      <c r="I43" s="43" t="s">
        <v>109</v>
      </c>
      <c r="J43" s="43"/>
      <c r="K43" s="43"/>
      <c r="L43" s="44" t="n">
        <f aca="false">COUNTIF('Video Data'!$AD$5:$AD$204,"Winner Short*")</f>
        <v>0</v>
      </c>
      <c r="M43" s="45" t="s">
        <v>110</v>
      </c>
    </row>
    <row r="44" customFormat="false" ht="15" hidden="false" customHeight="false" outlineLevel="0" collapsed="false">
      <c r="B44" s="40" t="s">
        <v>111</v>
      </c>
      <c r="C44" s="40"/>
      <c r="D44" s="40"/>
      <c r="E44" s="52" t="str">
        <f aca="false">IFERROR(SUMIFS('Video Data'!$L$5:$L$204,'Video Data'!$Q$5:$Q$204,"Long")/SUMIFS('Video Data'!$E$5:$E$204,'Video Data'!$Q$5:$Q$204,"Long")*1000,"")</f>
        <v/>
      </c>
      <c r="F44" s="52" t="str">
        <f aca="false">IFERROR(SUMIFS('Video Data'!$L$5:$L$204,'Video Data'!$Q$5:$Q$204,"Short")/SUMIFS('Video Data'!$E$5:$E$204,'Video Data'!$Q$5:$Q$204,"Short")*1000,"")</f>
        <v/>
      </c>
      <c r="G44" s="48" t="str">
        <f aca="false">IF(OR(E44="",F44=""),"",IF(E44&gt;F44,"Long-form",IF(F44&gt;E44,"Shorts","Tie")))</f>
        <v/>
      </c>
      <c r="I44" s="49" t="s">
        <v>112</v>
      </c>
      <c r="J44" s="49"/>
      <c r="K44" s="49"/>
      <c r="L44" s="44" t="n">
        <f aca="false">COUNTIF('Video Data'!$AD$5:$AD$204,"Hook problem*")</f>
        <v>0</v>
      </c>
      <c r="M44" s="45" t="s">
        <v>113</v>
      </c>
    </row>
    <row r="45" customFormat="false" ht="15" hidden="false" customHeight="false" outlineLevel="0" collapsed="false">
      <c r="B45" s="40" t="s">
        <v>114</v>
      </c>
      <c r="C45" s="40"/>
      <c r="D45" s="40"/>
      <c r="E45" s="46" t="n">
        <f aca="false">SUMIFS('Video Data'!$X$5:$X$204,'Video Data'!$Q$5:$Q$204,"Long")</f>
        <v>0</v>
      </c>
      <c r="F45" s="46" t="n">
        <f aca="false">SUMIFS('Video Data'!$X$5:$X$204,'Video Data'!$Q$5:$Q$204,"Short")</f>
        <v>0</v>
      </c>
      <c r="G45" s="42" t="str">
        <f aca="false">IF(OR(N(E45)=0,N(F45)=0),"",IF(E45&gt;F45,"Long-form",IF(F45&gt;E45,"Shorts","Tie")))</f>
        <v/>
      </c>
      <c r="I45" s="47" t="s">
        <v>115</v>
      </c>
      <c r="J45" s="47"/>
      <c r="K45" s="47"/>
      <c r="L45" s="44" t="n">
        <f aca="false">COUNTIF('Video Data'!$AD$5:$AD$204,"Watched but no reaction*")</f>
        <v>0</v>
      </c>
      <c r="M45" s="45" t="s">
        <v>116</v>
      </c>
    </row>
    <row r="46" customFormat="false" ht="15" hidden="false" customHeight="false" outlineLevel="0" collapsed="false">
      <c r="B46" s="40" t="s">
        <v>117</v>
      </c>
      <c r="C46" s="40"/>
      <c r="D46" s="40"/>
      <c r="E46" s="52" t="str">
        <f aca="false">IFERROR(E45/E39*1000,"")</f>
        <v/>
      </c>
      <c r="F46" s="52" t="str">
        <f aca="false">IFERROR(F45/F39*1000,"")</f>
        <v/>
      </c>
      <c r="G46" s="48" t="str">
        <f aca="false">IF(OR(E46="",F46=""),"",IF(E46&gt;F46,"Long-form",IF(F46&gt;E46,"Shorts","Tie")))</f>
        <v/>
      </c>
    </row>
    <row r="47" customFormat="false" ht="15" hidden="false" customHeight="false" outlineLevel="0" collapsed="false">
      <c r="B47" s="40" t="s">
        <v>118</v>
      </c>
      <c r="C47" s="40"/>
      <c r="D47" s="40"/>
      <c r="E47" s="53" t="str">
        <f aca="false">IFERROR(SUMIFS('Video Data'!$P$5:$P$204,'Video Data'!$Q$5:$Q$204,"Long")/SUMIFS('Video Data'!$E$5:$E$204,'Video Data'!$Q$5:$Q$204,"Long")*1000,"")</f>
        <v/>
      </c>
      <c r="F47" s="53" t="str">
        <f aca="false">IFERROR(SUMIFS('Video Data'!$P$5:$P$204,'Video Data'!$Q$5:$Q$204,"Short")/SUMIFS('Video Data'!$E$5:$E$204,'Video Data'!$Q$5:$Q$204,"Short")*1000,"")</f>
        <v/>
      </c>
      <c r="G47" s="48" t="str">
        <f aca="false">IF(OR(E47="",F47=""),"",IF(E47&gt;F47,"Long-form",IF(F47&gt;E47,"Shorts","Tie")))</f>
        <v/>
      </c>
    </row>
    <row r="48" customFormat="false" ht="15" hidden="false" customHeight="false" outlineLevel="0" collapsed="false">
      <c r="B48" s="54" t="s">
        <v>119</v>
      </c>
    </row>
    <row r="49" customFormat="false" ht="21.75" hidden="false" customHeight="true" outlineLevel="0" collapsed="false">
      <c r="B49" s="5" t="s">
        <v>120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27.75" hidden="false" customHeight="true" outlineLevel="0" collapsed="false">
      <c r="B50" s="15" t="s">
        <v>121</v>
      </c>
      <c r="C50" s="32" t="s">
        <v>30</v>
      </c>
      <c r="D50" s="32"/>
      <c r="E50" s="32"/>
      <c r="F50" s="32"/>
      <c r="G50" s="15" t="s">
        <v>32</v>
      </c>
      <c r="H50" s="15" t="s">
        <v>34</v>
      </c>
      <c r="I50" s="15" t="s">
        <v>122</v>
      </c>
      <c r="J50" s="15" t="s">
        <v>123</v>
      </c>
      <c r="K50" s="15" t="s">
        <v>124</v>
      </c>
      <c r="L50" s="15" t="s">
        <v>125</v>
      </c>
      <c r="M50" s="15" t="s">
        <v>91</v>
      </c>
    </row>
    <row r="51" customFormat="false" ht="30" hidden="false" customHeight="true" outlineLevel="0" collapsed="false">
      <c r="B51" s="44" t="n">
        <v>1</v>
      </c>
      <c r="C51" s="37" t="str">
        <f aca="false">IF($N51="","",IF(INDEX('Video Data'!$A$5:$A$204,$N51)="","",INDEX('Video Data'!$A$5:$A$204,$N51)))</f>
        <v/>
      </c>
      <c r="D51" s="37"/>
      <c r="E51" s="37"/>
      <c r="F51" s="37"/>
      <c r="G51" s="55" t="str">
        <f aca="false">IF($N51="","",IF(INDEX('Video Data'!$Q$5:$Q$204,$N51)="","",INDEX('Video Data'!$Q$5:$Q$204,$N51)))</f>
        <v/>
      </c>
      <c r="H51" s="46" t="str">
        <f aca="false">IF($N51="","",IF(INDEX('Video Data'!$E$5:$E$204,$N51)="","",INDEX('Video Data'!$E$5:$E$204,$N51)))</f>
        <v/>
      </c>
      <c r="I51" s="50" t="str">
        <f aca="false">IF($N51="","",IF(INDEX('Video Data'!$G$5:$G$204,$N51)="","",INDEX('Video Data'!$G$5:$G$204,$N51)))</f>
        <v/>
      </c>
      <c r="J51" s="50" t="str">
        <f aca="false">IF($N51="","",IF(INDEX('Video Data'!$I$5:$I$204,$N51)="","",INDEX('Video Data'!$I$5:$I$204,$N51)))</f>
        <v/>
      </c>
      <c r="K51" s="51" t="str">
        <f aca="false">IF($N51="","",IF(INDEX('Video Data'!$V$5:$V$204,$N51)="","",INDEX('Video Data'!$V$5:$V$204,$N51)))</f>
        <v/>
      </c>
      <c r="L51" s="56" t="str">
        <f aca="false">IF($N51="","",IF(INDEX('Video Data'!$X$5:$X$204,$N51)="","",INDEX('Video Data'!$X$5:$X$204,$N51)))</f>
        <v/>
      </c>
      <c r="M51" s="57" t="str">
        <f aca="false">IF($N51="","",IF(INDEX('Video Data'!$AD$5:$AD$204,$N51)="","",INDEX('Video Data'!$AD$5:$AD$204,$N51)))</f>
        <v/>
      </c>
      <c r="N51" s="58" t="str">
        <f aca="false">IFERROR(MATCH("Long-1",'Video Data'!$AE$5:$AE$204,0),"")</f>
        <v/>
      </c>
    </row>
    <row r="52" customFormat="false" ht="30" hidden="false" customHeight="true" outlineLevel="0" collapsed="false">
      <c r="B52" s="44" t="n">
        <v>2</v>
      </c>
      <c r="C52" s="37" t="str">
        <f aca="false">IF($N52="","",IF(INDEX('Video Data'!$A$5:$A$204,$N52)="","",INDEX('Video Data'!$A$5:$A$204,$N52)))</f>
        <v/>
      </c>
      <c r="D52" s="37"/>
      <c r="E52" s="37"/>
      <c r="F52" s="37"/>
      <c r="G52" s="55" t="str">
        <f aca="false">IF($N52="","",IF(INDEX('Video Data'!$Q$5:$Q$204,$N52)="","",INDEX('Video Data'!$Q$5:$Q$204,$N52)))</f>
        <v/>
      </c>
      <c r="H52" s="46" t="str">
        <f aca="false">IF($N52="","",IF(INDEX('Video Data'!$E$5:$E$204,$N52)="","",INDEX('Video Data'!$E$5:$E$204,$N52)))</f>
        <v/>
      </c>
      <c r="I52" s="50" t="str">
        <f aca="false">IF($N52="","",IF(INDEX('Video Data'!$G$5:$G$204,$N52)="","",INDEX('Video Data'!$G$5:$G$204,$N52)))</f>
        <v/>
      </c>
      <c r="J52" s="50" t="str">
        <f aca="false">IF($N52="","",IF(INDEX('Video Data'!$I$5:$I$204,$N52)="","",INDEX('Video Data'!$I$5:$I$204,$N52)))</f>
        <v/>
      </c>
      <c r="K52" s="51" t="str">
        <f aca="false">IF($N52="","",IF(INDEX('Video Data'!$V$5:$V$204,$N52)="","",INDEX('Video Data'!$V$5:$V$204,$N52)))</f>
        <v/>
      </c>
      <c r="L52" s="56" t="str">
        <f aca="false">IF($N52="","",IF(INDEX('Video Data'!$X$5:$X$204,$N52)="","",INDEX('Video Data'!$X$5:$X$204,$N52)))</f>
        <v/>
      </c>
      <c r="M52" s="57" t="str">
        <f aca="false">IF($N52="","",IF(INDEX('Video Data'!$AD$5:$AD$204,$N52)="","",INDEX('Video Data'!$AD$5:$AD$204,$N52)))</f>
        <v/>
      </c>
      <c r="N52" s="58" t="str">
        <f aca="false">IFERROR(MATCH("Long-2",'Video Data'!$AE$5:$AE$204,0),"")</f>
        <v/>
      </c>
    </row>
    <row r="53" customFormat="false" ht="30" hidden="false" customHeight="true" outlineLevel="0" collapsed="false">
      <c r="B53" s="44" t="n">
        <v>3</v>
      </c>
      <c r="C53" s="37" t="str">
        <f aca="false">IF($N53="","",IF(INDEX('Video Data'!$A$5:$A$204,$N53)="","",INDEX('Video Data'!$A$5:$A$204,$N53)))</f>
        <v/>
      </c>
      <c r="D53" s="37"/>
      <c r="E53" s="37"/>
      <c r="F53" s="37"/>
      <c r="G53" s="55" t="str">
        <f aca="false">IF($N53="","",IF(INDEX('Video Data'!$Q$5:$Q$204,$N53)="","",INDEX('Video Data'!$Q$5:$Q$204,$N53)))</f>
        <v/>
      </c>
      <c r="H53" s="46" t="str">
        <f aca="false">IF($N53="","",IF(INDEX('Video Data'!$E$5:$E$204,$N53)="","",INDEX('Video Data'!$E$5:$E$204,$N53)))</f>
        <v/>
      </c>
      <c r="I53" s="50" t="str">
        <f aca="false">IF($N53="","",IF(INDEX('Video Data'!$G$5:$G$204,$N53)="","",INDEX('Video Data'!$G$5:$G$204,$N53)))</f>
        <v/>
      </c>
      <c r="J53" s="50" t="str">
        <f aca="false">IF($N53="","",IF(INDEX('Video Data'!$I$5:$I$204,$N53)="","",INDEX('Video Data'!$I$5:$I$204,$N53)))</f>
        <v/>
      </c>
      <c r="K53" s="51" t="str">
        <f aca="false">IF($N53="","",IF(INDEX('Video Data'!$V$5:$V$204,$N53)="","",INDEX('Video Data'!$V$5:$V$204,$N53)))</f>
        <v/>
      </c>
      <c r="L53" s="56" t="str">
        <f aca="false">IF($N53="","",IF(INDEX('Video Data'!$X$5:$X$204,$N53)="","",INDEX('Video Data'!$X$5:$X$204,$N53)))</f>
        <v/>
      </c>
      <c r="M53" s="57" t="str">
        <f aca="false">IF($N53="","",IF(INDEX('Video Data'!$AD$5:$AD$204,$N53)="","",INDEX('Video Data'!$AD$5:$AD$204,$N53)))</f>
        <v/>
      </c>
      <c r="N53" s="58" t="str">
        <f aca="false">IFERROR(MATCH("Long-3",'Video Data'!$AE$5:$AE$204,0),"")</f>
        <v/>
      </c>
    </row>
    <row r="54" customFormat="false" ht="30" hidden="false" customHeight="true" outlineLevel="0" collapsed="false">
      <c r="B54" s="44" t="n">
        <v>4</v>
      </c>
      <c r="C54" s="37" t="str">
        <f aca="false">IF($N54="","",IF(INDEX('Video Data'!$A$5:$A$204,$N54)="","",INDEX('Video Data'!$A$5:$A$204,$N54)))</f>
        <v/>
      </c>
      <c r="D54" s="37"/>
      <c r="E54" s="37"/>
      <c r="F54" s="37"/>
      <c r="G54" s="55" t="str">
        <f aca="false">IF($N54="","",IF(INDEX('Video Data'!$Q$5:$Q$204,$N54)="","",INDEX('Video Data'!$Q$5:$Q$204,$N54)))</f>
        <v/>
      </c>
      <c r="H54" s="46" t="str">
        <f aca="false">IF($N54="","",IF(INDEX('Video Data'!$E$5:$E$204,$N54)="","",INDEX('Video Data'!$E$5:$E$204,$N54)))</f>
        <v/>
      </c>
      <c r="I54" s="50" t="str">
        <f aca="false">IF($N54="","",IF(INDEX('Video Data'!$G$5:$G$204,$N54)="","",INDEX('Video Data'!$G$5:$G$204,$N54)))</f>
        <v/>
      </c>
      <c r="J54" s="50" t="str">
        <f aca="false">IF($N54="","",IF(INDEX('Video Data'!$I$5:$I$204,$N54)="","",INDEX('Video Data'!$I$5:$I$204,$N54)))</f>
        <v/>
      </c>
      <c r="K54" s="51" t="str">
        <f aca="false">IF($N54="","",IF(INDEX('Video Data'!$V$5:$V$204,$N54)="","",INDEX('Video Data'!$V$5:$V$204,$N54)))</f>
        <v/>
      </c>
      <c r="L54" s="56" t="str">
        <f aca="false">IF($N54="","",IF(INDEX('Video Data'!$X$5:$X$204,$N54)="","",INDEX('Video Data'!$X$5:$X$204,$N54)))</f>
        <v/>
      </c>
      <c r="M54" s="57" t="str">
        <f aca="false">IF($N54="","",IF(INDEX('Video Data'!$AD$5:$AD$204,$N54)="","",INDEX('Video Data'!$AD$5:$AD$204,$N54)))</f>
        <v/>
      </c>
      <c r="N54" s="58" t="str">
        <f aca="false">IFERROR(MATCH("Long-4",'Video Data'!$AE$5:$AE$204,0),"")</f>
        <v/>
      </c>
    </row>
    <row r="55" customFormat="false" ht="30" hidden="false" customHeight="true" outlineLevel="0" collapsed="false">
      <c r="B55" s="44" t="n">
        <v>5</v>
      </c>
      <c r="C55" s="37" t="str">
        <f aca="false">IF($N55="","",IF(INDEX('Video Data'!$A$5:$A$204,$N55)="","",INDEX('Video Data'!$A$5:$A$204,$N55)))</f>
        <v/>
      </c>
      <c r="D55" s="37"/>
      <c r="E55" s="37"/>
      <c r="F55" s="37"/>
      <c r="G55" s="55" t="str">
        <f aca="false">IF($N55="","",IF(INDEX('Video Data'!$Q$5:$Q$204,$N55)="","",INDEX('Video Data'!$Q$5:$Q$204,$N55)))</f>
        <v/>
      </c>
      <c r="H55" s="46" t="str">
        <f aca="false">IF($N55="","",IF(INDEX('Video Data'!$E$5:$E$204,$N55)="","",INDEX('Video Data'!$E$5:$E$204,$N55)))</f>
        <v/>
      </c>
      <c r="I55" s="50" t="str">
        <f aca="false">IF($N55="","",IF(INDEX('Video Data'!$G$5:$G$204,$N55)="","",INDEX('Video Data'!$G$5:$G$204,$N55)))</f>
        <v/>
      </c>
      <c r="J55" s="50" t="str">
        <f aca="false">IF($N55="","",IF(INDEX('Video Data'!$I$5:$I$204,$N55)="","",INDEX('Video Data'!$I$5:$I$204,$N55)))</f>
        <v/>
      </c>
      <c r="K55" s="51" t="str">
        <f aca="false">IF($N55="","",IF(INDEX('Video Data'!$V$5:$V$204,$N55)="","",INDEX('Video Data'!$V$5:$V$204,$N55)))</f>
        <v/>
      </c>
      <c r="L55" s="56" t="str">
        <f aca="false">IF($N55="","",IF(INDEX('Video Data'!$X$5:$X$204,$N55)="","",INDEX('Video Data'!$X$5:$X$204,$N55)))</f>
        <v/>
      </c>
      <c r="M55" s="57" t="str">
        <f aca="false">IF($N55="","",IF(INDEX('Video Data'!$AD$5:$AD$204,$N55)="","",INDEX('Video Data'!$AD$5:$AD$204,$N55)))</f>
        <v/>
      </c>
      <c r="N55" s="58" t="str">
        <f aca="false">IFERROR(MATCH("Long-5",'Video Data'!$AE$5:$AE$204,0),"")</f>
        <v/>
      </c>
    </row>
    <row r="56" customFormat="false" ht="30" hidden="false" customHeight="true" outlineLevel="0" collapsed="false">
      <c r="B56" s="44" t="n">
        <v>6</v>
      </c>
      <c r="C56" s="37" t="str">
        <f aca="false">IF($N56="","",IF(INDEX('Video Data'!$A$5:$A$204,$N56)="","",INDEX('Video Data'!$A$5:$A$204,$N56)))</f>
        <v/>
      </c>
      <c r="D56" s="37"/>
      <c r="E56" s="37"/>
      <c r="F56" s="37"/>
      <c r="G56" s="55" t="str">
        <f aca="false">IF($N56="","",IF(INDEX('Video Data'!$Q$5:$Q$204,$N56)="","",INDEX('Video Data'!$Q$5:$Q$204,$N56)))</f>
        <v/>
      </c>
      <c r="H56" s="46" t="str">
        <f aca="false">IF($N56="","",IF(INDEX('Video Data'!$E$5:$E$204,$N56)="","",INDEX('Video Data'!$E$5:$E$204,$N56)))</f>
        <v/>
      </c>
      <c r="I56" s="50" t="str">
        <f aca="false">IF($N56="","",IF(INDEX('Video Data'!$G$5:$G$204,$N56)="","",INDEX('Video Data'!$G$5:$G$204,$N56)))</f>
        <v/>
      </c>
      <c r="J56" s="50" t="str">
        <f aca="false">IF($N56="","",IF(INDEX('Video Data'!$I$5:$I$204,$N56)="","",INDEX('Video Data'!$I$5:$I$204,$N56)))</f>
        <v/>
      </c>
      <c r="K56" s="51" t="str">
        <f aca="false">IF($N56="","",IF(INDEX('Video Data'!$V$5:$V$204,$N56)="","",INDEX('Video Data'!$V$5:$V$204,$N56)))</f>
        <v/>
      </c>
      <c r="L56" s="56" t="str">
        <f aca="false">IF($N56="","",IF(INDEX('Video Data'!$X$5:$X$204,$N56)="","",INDEX('Video Data'!$X$5:$X$204,$N56)))</f>
        <v/>
      </c>
      <c r="M56" s="57" t="str">
        <f aca="false">IF($N56="","",IF(INDEX('Video Data'!$AD$5:$AD$204,$N56)="","",INDEX('Video Data'!$AD$5:$AD$204,$N56)))</f>
        <v/>
      </c>
      <c r="N56" s="58" t="str">
        <f aca="false">IFERROR(MATCH("Long-6",'Video Data'!$AE$5:$AE$204,0),"")</f>
        <v/>
      </c>
    </row>
    <row r="57" customFormat="false" ht="30" hidden="false" customHeight="true" outlineLevel="0" collapsed="false">
      <c r="B57" s="44" t="n">
        <v>7</v>
      </c>
      <c r="C57" s="37" t="str">
        <f aca="false">IF($N57="","",IF(INDEX('Video Data'!$A$5:$A$204,$N57)="","",INDEX('Video Data'!$A$5:$A$204,$N57)))</f>
        <v/>
      </c>
      <c r="D57" s="37"/>
      <c r="E57" s="37"/>
      <c r="F57" s="37"/>
      <c r="G57" s="55" t="str">
        <f aca="false">IF($N57="","",IF(INDEX('Video Data'!$Q$5:$Q$204,$N57)="","",INDEX('Video Data'!$Q$5:$Q$204,$N57)))</f>
        <v/>
      </c>
      <c r="H57" s="46" t="str">
        <f aca="false">IF($N57="","",IF(INDEX('Video Data'!$E$5:$E$204,$N57)="","",INDEX('Video Data'!$E$5:$E$204,$N57)))</f>
        <v/>
      </c>
      <c r="I57" s="50" t="str">
        <f aca="false">IF($N57="","",IF(INDEX('Video Data'!$G$5:$G$204,$N57)="","",INDEX('Video Data'!$G$5:$G$204,$N57)))</f>
        <v/>
      </c>
      <c r="J57" s="50" t="str">
        <f aca="false">IF($N57="","",IF(INDEX('Video Data'!$I$5:$I$204,$N57)="","",INDEX('Video Data'!$I$5:$I$204,$N57)))</f>
        <v/>
      </c>
      <c r="K57" s="51" t="str">
        <f aca="false">IF($N57="","",IF(INDEX('Video Data'!$V$5:$V$204,$N57)="","",INDEX('Video Data'!$V$5:$V$204,$N57)))</f>
        <v/>
      </c>
      <c r="L57" s="56" t="str">
        <f aca="false">IF($N57="","",IF(INDEX('Video Data'!$X$5:$X$204,$N57)="","",INDEX('Video Data'!$X$5:$X$204,$N57)))</f>
        <v/>
      </c>
      <c r="M57" s="57" t="str">
        <f aca="false">IF($N57="","",IF(INDEX('Video Data'!$AD$5:$AD$204,$N57)="","",INDEX('Video Data'!$AD$5:$AD$204,$N57)))</f>
        <v/>
      </c>
      <c r="N57" s="58" t="str">
        <f aca="false">IFERROR(MATCH("Long-7",'Video Data'!$AE$5:$AE$204,0),"")</f>
        <v/>
      </c>
    </row>
    <row r="58" customFormat="false" ht="30" hidden="false" customHeight="true" outlineLevel="0" collapsed="false">
      <c r="B58" s="44" t="n">
        <v>8</v>
      </c>
      <c r="C58" s="37" t="str">
        <f aca="false">IF($N58="","",IF(INDEX('Video Data'!$A$5:$A$204,$N58)="","",INDEX('Video Data'!$A$5:$A$204,$N58)))</f>
        <v/>
      </c>
      <c r="D58" s="37"/>
      <c r="E58" s="37"/>
      <c r="F58" s="37"/>
      <c r="G58" s="55" t="str">
        <f aca="false">IF($N58="","",IF(INDEX('Video Data'!$Q$5:$Q$204,$N58)="","",INDEX('Video Data'!$Q$5:$Q$204,$N58)))</f>
        <v/>
      </c>
      <c r="H58" s="46" t="str">
        <f aca="false">IF($N58="","",IF(INDEX('Video Data'!$E$5:$E$204,$N58)="","",INDEX('Video Data'!$E$5:$E$204,$N58)))</f>
        <v/>
      </c>
      <c r="I58" s="50" t="str">
        <f aca="false">IF($N58="","",IF(INDEX('Video Data'!$G$5:$G$204,$N58)="","",INDEX('Video Data'!$G$5:$G$204,$N58)))</f>
        <v/>
      </c>
      <c r="J58" s="50" t="str">
        <f aca="false">IF($N58="","",IF(INDEX('Video Data'!$I$5:$I$204,$N58)="","",INDEX('Video Data'!$I$5:$I$204,$N58)))</f>
        <v/>
      </c>
      <c r="K58" s="51" t="str">
        <f aca="false">IF($N58="","",IF(INDEX('Video Data'!$V$5:$V$204,$N58)="","",INDEX('Video Data'!$V$5:$V$204,$N58)))</f>
        <v/>
      </c>
      <c r="L58" s="56" t="str">
        <f aca="false">IF($N58="","",IF(INDEX('Video Data'!$X$5:$X$204,$N58)="","",INDEX('Video Data'!$X$5:$X$204,$N58)))</f>
        <v/>
      </c>
      <c r="M58" s="57" t="str">
        <f aca="false">IF($N58="","",IF(INDEX('Video Data'!$AD$5:$AD$204,$N58)="","",INDEX('Video Data'!$AD$5:$AD$204,$N58)))</f>
        <v/>
      </c>
      <c r="N58" s="58" t="str">
        <f aca="false">IFERROR(MATCH("Long-8",'Video Data'!$AE$5:$AE$204,0),"")</f>
        <v/>
      </c>
    </row>
    <row r="59" customFormat="false" ht="30" hidden="false" customHeight="true" outlineLevel="0" collapsed="false">
      <c r="B59" s="44" t="n">
        <v>9</v>
      </c>
      <c r="C59" s="37" t="str">
        <f aca="false">IF($N59="","",IF(INDEX('Video Data'!$A$5:$A$204,$N59)="","",INDEX('Video Data'!$A$5:$A$204,$N59)))</f>
        <v/>
      </c>
      <c r="D59" s="37"/>
      <c r="E59" s="37"/>
      <c r="F59" s="37"/>
      <c r="G59" s="55" t="str">
        <f aca="false">IF($N59="","",IF(INDEX('Video Data'!$Q$5:$Q$204,$N59)="","",INDEX('Video Data'!$Q$5:$Q$204,$N59)))</f>
        <v/>
      </c>
      <c r="H59" s="46" t="str">
        <f aca="false">IF($N59="","",IF(INDEX('Video Data'!$E$5:$E$204,$N59)="","",INDEX('Video Data'!$E$5:$E$204,$N59)))</f>
        <v/>
      </c>
      <c r="I59" s="50" t="str">
        <f aca="false">IF($N59="","",IF(INDEX('Video Data'!$G$5:$G$204,$N59)="","",INDEX('Video Data'!$G$5:$G$204,$N59)))</f>
        <v/>
      </c>
      <c r="J59" s="50" t="str">
        <f aca="false">IF($N59="","",IF(INDEX('Video Data'!$I$5:$I$204,$N59)="","",INDEX('Video Data'!$I$5:$I$204,$N59)))</f>
        <v/>
      </c>
      <c r="K59" s="51" t="str">
        <f aca="false">IF($N59="","",IF(INDEX('Video Data'!$V$5:$V$204,$N59)="","",INDEX('Video Data'!$V$5:$V$204,$N59)))</f>
        <v/>
      </c>
      <c r="L59" s="56" t="str">
        <f aca="false">IF($N59="","",IF(INDEX('Video Data'!$X$5:$X$204,$N59)="","",INDEX('Video Data'!$X$5:$X$204,$N59)))</f>
        <v/>
      </c>
      <c r="M59" s="57" t="str">
        <f aca="false">IF($N59="","",IF(INDEX('Video Data'!$AD$5:$AD$204,$N59)="","",INDEX('Video Data'!$AD$5:$AD$204,$N59)))</f>
        <v/>
      </c>
      <c r="N59" s="58" t="str">
        <f aca="false">IFERROR(MATCH("Long-9",'Video Data'!$AE$5:$AE$204,0),"")</f>
        <v/>
      </c>
    </row>
    <row r="60" customFormat="false" ht="30" hidden="false" customHeight="true" outlineLevel="0" collapsed="false">
      <c r="B60" s="44" t="n">
        <v>10</v>
      </c>
      <c r="C60" s="37" t="str">
        <f aca="false">IF($N60="","",IF(INDEX('Video Data'!$A$5:$A$204,$N60)="","",INDEX('Video Data'!$A$5:$A$204,$N60)))</f>
        <v/>
      </c>
      <c r="D60" s="37"/>
      <c r="E60" s="37"/>
      <c r="F60" s="37"/>
      <c r="G60" s="55" t="str">
        <f aca="false">IF($N60="","",IF(INDEX('Video Data'!$Q$5:$Q$204,$N60)="","",INDEX('Video Data'!$Q$5:$Q$204,$N60)))</f>
        <v/>
      </c>
      <c r="H60" s="46" t="str">
        <f aca="false">IF($N60="","",IF(INDEX('Video Data'!$E$5:$E$204,$N60)="","",INDEX('Video Data'!$E$5:$E$204,$N60)))</f>
        <v/>
      </c>
      <c r="I60" s="50" t="str">
        <f aca="false">IF($N60="","",IF(INDEX('Video Data'!$G$5:$G$204,$N60)="","",INDEX('Video Data'!$G$5:$G$204,$N60)))</f>
        <v/>
      </c>
      <c r="J60" s="50" t="str">
        <f aca="false">IF($N60="","",IF(INDEX('Video Data'!$I$5:$I$204,$N60)="","",INDEX('Video Data'!$I$5:$I$204,$N60)))</f>
        <v/>
      </c>
      <c r="K60" s="51" t="str">
        <f aca="false">IF($N60="","",IF(INDEX('Video Data'!$V$5:$V$204,$N60)="","",INDEX('Video Data'!$V$5:$V$204,$N60)))</f>
        <v/>
      </c>
      <c r="L60" s="56" t="str">
        <f aca="false">IF($N60="","",IF(INDEX('Video Data'!$X$5:$X$204,$N60)="","",INDEX('Video Data'!$X$5:$X$204,$N60)))</f>
        <v/>
      </c>
      <c r="M60" s="57" t="str">
        <f aca="false">IF($N60="","",IF(INDEX('Video Data'!$AD$5:$AD$204,$N60)="","",INDEX('Video Data'!$AD$5:$AD$204,$N60)))</f>
        <v/>
      </c>
      <c r="N60" s="58" t="str">
        <f aca="false">IFERROR(MATCH("Long-10",'Video Data'!$AE$5:$AE$204,0),"")</f>
        <v/>
      </c>
    </row>
    <row r="62" customFormat="false" ht="21.75" hidden="false" customHeight="true" outlineLevel="0" collapsed="false">
      <c r="B62" s="5" t="s">
        <v>126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27.75" hidden="false" customHeight="true" outlineLevel="0" collapsed="false">
      <c r="B63" s="15" t="s">
        <v>121</v>
      </c>
      <c r="C63" s="32" t="s">
        <v>30</v>
      </c>
      <c r="D63" s="32"/>
      <c r="E63" s="32"/>
      <c r="F63" s="32"/>
      <c r="G63" s="15" t="s">
        <v>32</v>
      </c>
      <c r="H63" s="15" t="s">
        <v>34</v>
      </c>
      <c r="I63" s="15" t="s">
        <v>122</v>
      </c>
      <c r="J63" s="15" t="s">
        <v>123</v>
      </c>
      <c r="K63" s="15" t="s">
        <v>124</v>
      </c>
      <c r="L63" s="15" t="s">
        <v>125</v>
      </c>
      <c r="M63" s="15" t="s">
        <v>91</v>
      </c>
    </row>
    <row r="64" customFormat="false" ht="30" hidden="false" customHeight="true" outlineLevel="0" collapsed="false">
      <c r="B64" s="44" t="n">
        <v>1</v>
      </c>
      <c r="C64" s="37" t="str">
        <f aca="false">IF($N64="","",IF(INDEX('Video Data'!$A$5:$A$204,$N64)="","",INDEX('Video Data'!$A$5:$A$204,$N64)))</f>
        <v/>
      </c>
      <c r="D64" s="37"/>
      <c r="E64" s="37"/>
      <c r="F64" s="37"/>
      <c r="G64" s="55" t="str">
        <f aca="false">IF($N64="","",IF(INDEX('Video Data'!$Q$5:$Q$204,$N64)="","",INDEX('Video Data'!$Q$5:$Q$204,$N64)))</f>
        <v/>
      </c>
      <c r="H64" s="46" t="str">
        <f aca="false">IF($N64="","",IF(INDEX('Video Data'!$E$5:$E$204,$N64)="","",INDEX('Video Data'!$E$5:$E$204,$N64)))</f>
        <v/>
      </c>
      <c r="I64" s="50" t="str">
        <f aca="false">IF($N64="","",IF(INDEX('Video Data'!$G$5:$G$204,$N64)="","",INDEX('Video Data'!$G$5:$G$204,$N64)))</f>
        <v/>
      </c>
      <c r="J64" s="50" t="str">
        <f aca="false">IF($N64="","",IF(INDEX('Video Data'!$I$5:$I$204,$N64)="","",INDEX('Video Data'!$I$5:$I$204,$N64)))</f>
        <v/>
      </c>
      <c r="K64" s="51" t="str">
        <f aca="false">IF($N64="","",IF(INDEX('Video Data'!$V$5:$V$204,$N64)="","",INDEX('Video Data'!$V$5:$V$204,$N64)))</f>
        <v/>
      </c>
      <c r="L64" s="56" t="str">
        <f aca="false">IF($N64="","",IF(INDEX('Video Data'!$X$5:$X$204,$N64)="","",INDEX('Video Data'!$X$5:$X$204,$N64)))</f>
        <v/>
      </c>
      <c r="M64" s="57" t="str">
        <f aca="false">IF($N64="","",IF(INDEX('Video Data'!$AD$5:$AD$204,$N64)="","",INDEX('Video Data'!$AD$5:$AD$204,$N64)))</f>
        <v/>
      </c>
      <c r="N64" s="58" t="str">
        <f aca="false">IFERROR(MATCH("Short-1",'Video Data'!$AE$5:$AE$204,0),"")</f>
        <v/>
      </c>
    </row>
    <row r="65" customFormat="false" ht="30" hidden="false" customHeight="true" outlineLevel="0" collapsed="false">
      <c r="B65" s="44" t="n">
        <v>2</v>
      </c>
      <c r="C65" s="37" t="str">
        <f aca="false">IF($N65="","",IF(INDEX('Video Data'!$A$5:$A$204,$N65)="","",INDEX('Video Data'!$A$5:$A$204,$N65)))</f>
        <v/>
      </c>
      <c r="D65" s="37"/>
      <c r="E65" s="37"/>
      <c r="F65" s="37"/>
      <c r="G65" s="55" t="str">
        <f aca="false">IF($N65="","",IF(INDEX('Video Data'!$Q$5:$Q$204,$N65)="","",INDEX('Video Data'!$Q$5:$Q$204,$N65)))</f>
        <v/>
      </c>
      <c r="H65" s="46" t="str">
        <f aca="false">IF($N65="","",IF(INDEX('Video Data'!$E$5:$E$204,$N65)="","",INDEX('Video Data'!$E$5:$E$204,$N65)))</f>
        <v/>
      </c>
      <c r="I65" s="50" t="str">
        <f aca="false">IF($N65="","",IF(INDEX('Video Data'!$G$5:$G$204,$N65)="","",INDEX('Video Data'!$G$5:$G$204,$N65)))</f>
        <v/>
      </c>
      <c r="J65" s="50" t="str">
        <f aca="false">IF($N65="","",IF(INDEX('Video Data'!$I$5:$I$204,$N65)="","",INDEX('Video Data'!$I$5:$I$204,$N65)))</f>
        <v/>
      </c>
      <c r="K65" s="51" t="str">
        <f aca="false">IF($N65="","",IF(INDEX('Video Data'!$V$5:$V$204,$N65)="","",INDEX('Video Data'!$V$5:$V$204,$N65)))</f>
        <v/>
      </c>
      <c r="L65" s="56" t="str">
        <f aca="false">IF($N65="","",IF(INDEX('Video Data'!$X$5:$X$204,$N65)="","",INDEX('Video Data'!$X$5:$X$204,$N65)))</f>
        <v/>
      </c>
      <c r="M65" s="57" t="str">
        <f aca="false">IF($N65="","",IF(INDEX('Video Data'!$AD$5:$AD$204,$N65)="","",INDEX('Video Data'!$AD$5:$AD$204,$N65)))</f>
        <v/>
      </c>
      <c r="N65" s="58" t="str">
        <f aca="false">IFERROR(MATCH("Short-2",'Video Data'!$AE$5:$AE$204,0),"")</f>
        <v/>
      </c>
    </row>
    <row r="66" customFormat="false" ht="30" hidden="false" customHeight="true" outlineLevel="0" collapsed="false">
      <c r="B66" s="44" t="n">
        <v>3</v>
      </c>
      <c r="C66" s="37" t="str">
        <f aca="false">IF($N66="","",IF(INDEX('Video Data'!$A$5:$A$204,$N66)="","",INDEX('Video Data'!$A$5:$A$204,$N66)))</f>
        <v/>
      </c>
      <c r="D66" s="37"/>
      <c r="E66" s="37"/>
      <c r="F66" s="37"/>
      <c r="G66" s="55" t="str">
        <f aca="false">IF($N66="","",IF(INDEX('Video Data'!$Q$5:$Q$204,$N66)="","",INDEX('Video Data'!$Q$5:$Q$204,$N66)))</f>
        <v/>
      </c>
      <c r="H66" s="46" t="str">
        <f aca="false">IF($N66="","",IF(INDEX('Video Data'!$E$5:$E$204,$N66)="","",INDEX('Video Data'!$E$5:$E$204,$N66)))</f>
        <v/>
      </c>
      <c r="I66" s="50" t="str">
        <f aca="false">IF($N66="","",IF(INDEX('Video Data'!$G$5:$G$204,$N66)="","",INDEX('Video Data'!$G$5:$G$204,$N66)))</f>
        <v/>
      </c>
      <c r="J66" s="50" t="str">
        <f aca="false">IF($N66="","",IF(INDEX('Video Data'!$I$5:$I$204,$N66)="","",INDEX('Video Data'!$I$5:$I$204,$N66)))</f>
        <v/>
      </c>
      <c r="K66" s="51" t="str">
        <f aca="false">IF($N66="","",IF(INDEX('Video Data'!$V$5:$V$204,$N66)="","",INDEX('Video Data'!$V$5:$V$204,$N66)))</f>
        <v/>
      </c>
      <c r="L66" s="56" t="str">
        <f aca="false">IF($N66="","",IF(INDEX('Video Data'!$X$5:$X$204,$N66)="","",INDEX('Video Data'!$X$5:$X$204,$N66)))</f>
        <v/>
      </c>
      <c r="M66" s="57" t="str">
        <f aca="false">IF($N66="","",IF(INDEX('Video Data'!$AD$5:$AD$204,$N66)="","",INDEX('Video Data'!$AD$5:$AD$204,$N66)))</f>
        <v/>
      </c>
      <c r="N66" s="58" t="str">
        <f aca="false">IFERROR(MATCH("Short-3",'Video Data'!$AE$5:$AE$204,0),"")</f>
        <v/>
      </c>
    </row>
    <row r="67" customFormat="false" ht="30" hidden="false" customHeight="true" outlineLevel="0" collapsed="false">
      <c r="B67" s="44" t="n">
        <v>4</v>
      </c>
      <c r="C67" s="37" t="str">
        <f aca="false">IF($N67="","",IF(INDEX('Video Data'!$A$5:$A$204,$N67)="","",INDEX('Video Data'!$A$5:$A$204,$N67)))</f>
        <v/>
      </c>
      <c r="D67" s="37"/>
      <c r="E67" s="37"/>
      <c r="F67" s="37"/>
      <c r="G67" s="55" t="str">
        <f aca="false">IF($N67="","",IF(INDEX('Video Data'!$Q$5:$Q$204,$N67)="","",INDEX('Video Data'!$Q$5:$Q$204,$N67)))</f>
        <v/>
      </c>
      <c r="H67" s="46" t="str">
        <f aca="false">IF($N67="","",IF(INDEX('Video Data'!$E$5:$E$204,$N67)="","",INDEX('Video Data'!$E$5:$E$204,$N67)))</f>
        <v/>
      </c>
      <c r="I67" s="50" t="str">
        <f aca="false">IF($N67="","",IF(INDEX('Video Data'!$G$5:$G$204,$N67)="","",INDEX('Video Data'!$G$5:$G$204,$N67)))</f>
        <v/>
      </c>
      <c r="J67" s="50" t="str">
        <f aca="false">IF($N67="","",IF(INDEX('Video Data'!$I$5:$I$204,$N67)="","",INDEX('Video Data'!$I$5:$I$204,$N67)))</f>
        <v/>
      </c>
      <c r="K67" s="51" t="str">
        <f aca="false">IF($N67="","",IF(INDEX('Video Data'!$V$5:$V$204,$N67)="","",INDEX('Video Data'!$V$5:$V$204,$N67)))</f>
        <v/>
      </c>
      <c r="L67" s="56" t="str">
        <f aca="false">IF($N67="","",IF(INDEX('Video Data'!$X$5:$X$204,$N67)="","",INDEX('Video Data'!$X$5:$X$204,$N67)))</f>
        <v/>
      </c>
      <c r="M67" s="57" t="str">
        <f aca="false">IF($N67="","",IF(INDEX('Video Data'!$AD$5:$AD$204,$N67)="","",INDEX('Video Data'!$AD$5:$AD$204,$N67)))</f>
        <v/>
      </c>
      <c r="N67" s="58" t="str">
        <f aca="false">IFERROR(MATCH("Short-4",'Video Data'!$AE$5:$AE$204,0),"")</f>
        <v/>
      </c>
    </row>
    <row r="68" customFormat="false" ht="30" hidden="false" customHeight="true" outlineLevel="0" collapsed="false">
      <c r="B68" s="44" t="n">
        <v>5</v>
      </c>
      <c r="C68" s="37" t="str">
        <f aca="false">IF($N68="","",IF(INDEX('Video Data'!$A$5:$A$204,$N68)="","",INDEX('Video Data'!$A$5:$A$204,$N68)))</f>
        <v/>
      </c>
      <c r="D68" s="37"/>
      <c r="E68" s="37"/>
      <c r="F68" s="37"/>
      <c r="G68" s="55" t="str">
        <f aca="false">IF($N68="","",IF(INDEX('Video Data'!$Q$5:$Q$204,$N68)="","",INDEX('Video Data'!$Q$5:$Q$204,$N68)))</f>
        <v/>
      </c>
      <c r="H68" s="46" t="str">
        <f aca="false">IF($N68="","",IF(INDEX('Video Data'!$E$5:$E$204,$N68)="","",INDEX('Video Data'!$E$5:$E$204,$N68)))</f>
        <v/>
      </c>
      <c r="I68" s="50" t="str">
        <f aca="false">IF($N68="","",IF(INDEX('Video Data'!$G$5:$G$204,$N68)="","",INDEX('Video Data'!$G$5:$G$204,$N68)))</f>
        <v/>
      </c>
      <c r="J68" s="50" t="str">
        <f aca="false">IF($N68="","",IF(INDEX('Video Data'!$I$5:$I$204,$N68)="","",INDEX('Video Data'!$I$5:$I$204,$N68)))</f>
        <v/>
      </c>
      <c r="K68" s="51" t="str">
        <f aca="false">IF($N68="","",IF(INDEX('Video Data'!$V$5:$V$204,$N68)="","",INDEX('Video Data'!$V$5:$V$204,$N68)))</f>
        <v/>
      </c>
      <c r="L68" s="56" t="str">
        <f aca="false">IF($N68="","",IF(INDEX('Video Data'!$X$5:$X$204,$N68)="","",INDEX('Video Data'!$X$5:$X$204,$N68)))</f>
        <v/>
      </c>
      <c r="M68" s="57" t="str">
        <f aca="false">IF($N68="","",IF(INDEX('Video Data'!$AD$5:$AD$204,$N68)="","",INDEX('Video Data'!$AD$5:$AD$204,$N68)))</f>
        <v/>
      </c>
      <c r="N68" s="58" t="str">
        <f aca="false">IFERROR(MATCH("Short-5",'Video Data'!$AE$5:$AE$204,0),"")</f>
        <v/>
      </c>
    </row>
    <row r="70" customFormat="false" ht="21.75" hidden="false" customHeight="true" outlineLevel="0" collapsed="false">
      <c r="B70" s="5" t="s">
        <v>127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27.75" hidden="false" customHeight="true" outlineLevel="0" collapsed="false">
      <c r="B71" s="15" t="s">
        <v>121</v>
      </c>
      <c r="C71" s="32" t="s">
        <v>30</v>
      </c>
      <c r="D71" s="32"/>
      <c r="E71" s="32"/>
      <c r="F71" s="32"/>
      <c r="G71" s="15" t="s">
        <v>32</v>
      </c>
      <c r="H71" s="15" t="s">
        <v>34</v>
      </c>
      <c r="I71" s="15" t="s">
        <v>122</v>
      </c>
      <c r="J71" s="15" t="s">
        <v>123</v>
      </c>
      <c r="K71" s="15" t="s">
        <v>124</v>
      </c>
      <c r="L71" s="15" t="s">
        <v>125</v>
      </c>
      <c r="M71" s="15" t="s">
        <v>91</v>
      </c>
    </row>
    <row r="72" customFormat="false" ht="30" hidden="false" customHeight="true" outlineLevel="0" collapsed="false">
      <c r="B72" s="44" t="n">
        <v>1</v>
      </c>
      <c r="C72" s="37" t="str">
        <f aca="false">IF($N72="","",IF(INDEX('Video Data'!$A$5:$A$204,$N72)="","",INDEX('Video Data'!$A$5:$A$204,$N72)))</f>
        <v/>
      </c>
      <c r="D72" s="37"/>
      <c r="E72" s="37"/>
      <c r="F72" s="37"/>
      <c r="G72" s="55" t="str">
        <f aca="false">IF($N72="","",IF(INDEX('Video Data'!$Q$5:$Q$204,$N72)="","",INDEX('Video Data'!$Q$5:$Q$204,$N72)))</f>
        <v/>
      </c>
      <c r="H72" s="46" t="str">
        <f aca="false">IF($N72="","",IF(INDEX('Video Data'!$E$5:$E$204,$N72)="","",INDEX('Video Data'!$E$5:$E$204,$N72)))</f>
        <v/>
      </c>
      <c r="I72" s="50" t="str">
        <f aca="false">IF($N72="","",IF(INDEX('Video Data'!$G$5:$G$204,$N72)="","",INDEX('Video Data'!$G$5:$G$204,$N72)))</f>
        <v/>
      </c>
      <c r="J72" s="50" t="str">
        <f aca="false">IF($N72="","",IF(INDEX('Video Data'!$I$5:$I$204,$N72)="","",INDEX('Video Data'!$I$5:$I$204,$N72)))</f>
        <v/>
      </c>
      <c r="K72" s="51" t="str">
        <f aca="false">IF($N72="","",IF(INDEX('Video Data'!$V$5:$V$204,$N72)="","",INDEX('Video Data'!$V$5:$V$204,$N72)))</f>
        <v/>
      </c>
      <c r="L72" s="56" t="str">
        <f aca="false">IF($N72="","",IF(INDEX('Video Data'!$X$5:$X$204,$N72)="","",INDEX('Video Data'!$X$5:$X$204,$N72)))</f>
        <v/>
      </c>
      <c r="M72" s="57" t="str">
        <f aca="false">IF($N72="","",IF(INDEX('Video Data'!$AD$5:$AD$204,$N72)="","",INDEX('Video Data'!$AD$5:$AD$204,$N72)))</f>
        <v/>
      </c>
      <c r="N72" s="58" t="str">
        <f aca="false">IFERROR(MATCH(IF(COUNTIF('Video Data'!$AE$5:$AE$204,"Long-*")&lt;10,"none","Long-"&amp;(COUNTIF('Video Data'!$AE$5:$AE$204,"Long-*")-1+1)),'Video Data'!$AE$5:$AE$204,0),"")</f>
        <v/>
      </c>
    </row>
    <row r="73" customFormat="false" ht="30" hidden="false" customHeight="true" outlineLevel="0" collapsed="false">
      <c r="B73" s="44" t="n">
        <v>2</v>
      </c>
      <c r="C73" s="37" t="str">
        <f aca="false">IF($N73="","",IF(INDEX('Video Data'!$A$5:$A$204,$N73)="","",INDEX('Video Data'!$A$5:$A$204,$N73)))</f>
        <v/>
      </c>
      <c r="D73" s="37"/>
      <c r="E73" s="37"/>
      <c r="F73" s="37"/>
      <c r="G73" s="55" t="str">
        <f aca="false">IF($N73="","",IF(INDEX('Video Data'!$Q$5:$Q$204,$N73)="","",INDEX('Video Data'!$Q$5:$Q$204,$N73)))</f>
        <v/>
      </c>
      <c r="H73" s="46" t="str">
        <f aca="false">IF($N73="","",IF(INDEX('Video Data'!$E$5:$E$204,$N73)="","",INDEX('Video Data'!$E$5:$E$204,$N73)))</f>
        <v/>
      </c>
      <c r="I73" s="50" t="str">
        <f aca="false">IF($N73="","",IF(INDEX('Video Data'!$G$5:$G$204,$N73)="","",INDEX('Video Data'!$G$5:$G$204,$N73)))</f>
        <v/>
      </c>
      <c r="J73" s="50" t="str">
        <f aca="false">IF($N73="","",IF(INDEX('Video Data'!$I$5:$I$204,$N73)="","",INDEX('Video Data'!$I$5:$I$204,$N73)))</f>
        <v/>
      </c>
      <c r="K73" s="51" t="str">
        <f aca="false">IF($N73="","",IF(INDEX('Video Data'!$V$5:$V$204,$N73)="","",INDEX('Video Data'!$V$5:$V$204,$N73)))</f>
        <v/>
      </c>
      <c r="L73" s="56" t="str">
        <f aca="false">IF($N73="","",IF(INDEX('Video Data'!$X$5:$X$204,$N73)="","",INDEX('Video Data'!$X$5:$X$204,$N73)))</f>
        <v/>
      </c>
      <c r="M73" s="57" t="str">
        <f aca="false">IF($N73="","",IF(INDEX('Video Data'!$AD$5:$AD$204,$N73)="","",INDEX('Video Data'!$AD$5:$AD$204,$N73)))</f>
        <v/>
      </c>
      <c r="N73" s="58" t="str">
        <f aca="false">IFERROR(MATCH(IF(COUNTIF('Video Data'!$AE$5:$AE$204,"Long-*")&lt;10,"none","Long-"&amp;(COUNTIF('Video Data'!$AE$5:$AE$204,"Long-*")-2+1)),'Video Data'!$AE$5:$AE$204,0),"")</f>
        <v/>
      </c>
    </row>
    <row r="74" customFormat="false" ht="30" hidden="false" customHeight="true" outlineLevel="0" collapsed="false">
      <c r="B74" s="44" t="n">
        <v>3</v>
      </c>
      <c r="C74" s="37" t="str">
        <f aca="false">IF($N74="","",IF(INDEX('Video Data'!$A$5:$A$204,$N74)="","",INDEX('Video Data'!$A$5:$A$204,$N74)))</f>
        <v/>
      </c>
      <c r="D74" s="37"/>
      <c r="E74" s="37"/>
      <c r="F74" s="37"/>
      <c r="G74" s="55" t="str">
        <f aca="false">IF($N74="","",IF(INDEX('Video Data'!$Q$5:$Q$204,$N74)="","",INDEX('Video Data'!$Q$5:$Q$204,$N74)))</f>
        <v/>
      </c>
      <c r="H74" s="46" t="str">
        <f aca="false">IF($N74="","",IF(INDEX('Video Data'!$E$5:$E$204,$N74)="","",INDEX('Video Data'!$E$5:$E$204,$N74)))</f>
        <v/>
      </c>
      <c r="I74" s="50" t="str">
        <f aca="false">IF($N74="","",IF(INDEX('Video Data'!$G$5:$G$204,$N74)="","",INDEX('Video Data'!$G$5:$G$204,$N74)))</f>
        <v/>
      </c>
      <c r="J74" s="50" t="str">
        <f aca="false">IF($N74="","",IF(INDEX('Video Data'!$I$5:$I$204,$N74)="","",INDEX('Video Data'!$I$5:$I$204,$N74)))</f>
        <v/>
      </c>
      <c r="K74" s="51" t="str">
        <f aca="false">IF($N74="","",IF(INDEX('Video Data'!$V$5:$V$204,$N74)="","",INDEX('Video Data'!$V$5:$V$204,$N74)))</f>
        <v/>
      </c>
      <c r="L74" s="56" t="str">
        <f aca="false">IF($N74="","",IF(INDEX('Video Data'!$X$5:$X$204,$N74)="","",INDEX('Video Data'!$X$5:$X$204,$N74)))</f>
        <v/>
      </c>
      <c r="M74" s="57" t="str">
        <f aca="false">IF($N74="","",IF(INDEX('Video Data'!$AD$5:$AD$204,$N74)="","",INDEX('Video Data'!$AD$5:$AD$204,$N74)))</f>
        <v/>
      </c>
      <c r="N74" s="58" t="str">
        <f aca="false">IFERROR(MATCH(IF(COUNTIF('Video Data'!$AE$5:$AE$204,"Long-*")&lt;10,"none","Long-"&amp;(COUNTIF('Video Data'!$AE$5:$AE$204,"Long-*")-3+1)),'Video Data'!$AE$5:$AE$204,0),"")</f>
        <v/>
      </c>
    </row>
    <row r="75" customFormat="false" ht="30" hidden="false" customHeight="true" outlineLevel="0" collapsed="false">
      <c r="B75" s="44" t="n">
        <v>4</v>
      </c>
      <c r="C75" s="37" t="str">
        <f aca="false">IF($N75="","",IF(INDEX('Video Data'!$A$5:$A$204,$N75)="","",INDEX('Video Data'!$A$5:$A$204,$N75)))</f>
        <v/>
      </c>
      <c r="D75" s="37"/>
      <c r="E75" s="37"/>
      <c r="F75" s="37"/>
      <c r="G75" s="55" t="str">
        <f aca="false">IF($N75="","",IF(INDEX('Video Data'!$Q$5:$Q$204,$N75)="","",INDEX('Video Data'!$Q$5:$Q$204,$N75)))</f>
        <v/>
      </c>
      <c r="H75" s="46" t="str">
        <f aca="false">IF($N75="","",IF(INDEX('Video Data'!$E$5:$E$204,$N75)="","",INDEX('Video Data'!$E$5:$E$204,$N75)))</f>
        <v/>
      </c>
      <c r="I75" s="50" t="str">
        <f aca="false">IF($N75="","",IF(INDEX('Video Data'!$G$5:$G$204,$N75)="","",INDEX('Video Data'!$G$5:$G$204,$N75)))</f>
        <v/>
      </c>
      <c r="J75" s="50" t="str">
        <f aca="false">IF($N75="","",IF(INDEX('Video Data'!$I$5:$I$204,$N75)="","",INDEX('Video Data'!$I$5:$I$204,$N75)))</f>
        <v/>
      </c>
      <c r="K75" s="51" t="str">
        <f aca="false">IF($N75="","",IF(INDEX('Video Data'!$V$5:$V$204,$N75)="","",INDEX('Video Data'!$V$5:$V$204,$N75)))</f>
        <v/>
      </c>
      <c r="L75" s="56" t="str">
        <f aca="false">IF($N75="","",IF(INDEX('Video Data'!$X$5:$X$204,$N75)="","",INDEX('Video Data'!$X$5:$X$204,$N75)))</f>
        <v/>
      </c>
      <c r="M75" s="57" t="str">
        <f aca="false">IF($N75="","",IF(INDEX('Video Data'!$AD$5:$AD$204,$N75)="","",INDEX('Video Data'!$AD$5:$AD$204,$N75)))</f>
        <v/>
      </c>
      <c r="N75" s="58" t="str">
        <f aca="false">IFERROR(MATCH(IF(COUNTIF('Video Data'!$AE$5:$AE$204,"Long-*")&lt;10,"none","Long-"&amp;(COUNTIF('Video Data'!$AE$5:$AE$204,"Long-*")-4+1)),'Video Data'!$AE$5:$AE$204,0),"")</f>
        <v/>
      </c>
    </row>
    <row r="76" customFormat="false" ht="30" hidden="false" customHeight="true" outlineLevel="0" collapsed="false">
      <c r="B76" s="44" t="n">
        <v>5</v>
      </c>
      <c r="C76" s="37" t="str">
        <f aca="false">IF($N76="","",IF(INDEX('Video Data'!$A$5:$A$204,$N76)="","",INDEX('Video Data'!$A$5:$A$204,$N76)))</f>
        <v/>
      </c>
      <c r="D76" s="37"/>
      <c r="E76" s="37"/>
      <c r="F76" s="37"/>
      <c r="G76" s="55" t="str">
        <f aca="false">IF($N76="","",IF(INDEX('Video Data'!$Q$5:$Q$204,$N76)="","",INDEX('Video Data'!$Q$5:$Q$204,$N76)))</f>
        <v/>
      </c>
      <c r="H76" s="46" t="str">
        <f aca="false">IF($N76="","",IF(INDEX('Video Data'!$E$5:$E$204,$N76)="","",INDEX('Video Data'!$E$5:$E$204,$N76)))</f>
        <v/>
      </c>
      <c r="I76" s="50" t="str">
        <f aca="false">IF($N76="","",IF(INDEX('Video Data'!$G$5:$G$204,$N76)="","",INDEX('Video Data'!$G$5:$G$204,$N76)))</f>
        <v/>
      </c>
      <c r="J76" s="50" t="str">
        <f aca="false">IF($N76="","",IF(INDEX('Video Data'!$I$5:$I$204,$N76)="","",INDEX('Video Data'!$I$5:$I$204,$N76)))</f>
        <v/>
      </c>
      <c r="K76" s="51" t="str">
        <f aca="false">IF($N76="","",IF(INDEX('Video Data'!$V$5:$V$204,$N76)="","",INDEX('Video Data'!$V$5:$V$204,$N76)))</f>
        <v/>
      </c>
      <c r="L76" s="56" t="str">
        <f aca="false">IF($N76="","",IF(INDEX('Video Data'!$X$5:$X$204,$N76)="","",INDEX('Video Data'!$X$5:$X$204,$N76)))</f>
        <v/>
      </c>
      <c r="M76" s="57" t="str">
        <f aca="false">IF($N76="","",IF(INDEX('Video Data'!$AD$5:$AD$204,$N76)="","",INDEX('Video Data'!$AD$5:$AD$204,$N76)))</f>
        <v/>
      </c>
      <c r="N76" s="58" t="str">
        <f aca="false">IFERROR(MATCH(IF(COUNTIF('Video Data'!$AE$5:$AE$204,"Long-*")&lt;10,"none","Long-"&amp;(COUNTIF('Video Data'!$AE$5:$AE$204,"Long-*")-5+1)),'Video Data'!$AE$5:$AE$204,0),"")</f>
        <v/>
      </c>
    </row>
    <row r="78" customFormat="false" ht="21.75" hidden="false" customHeight="true" outlineLevel="0" collapsed="false">
      <c r="B78" s="5" t="s">
        <v>128</v>
      </c>
      <c r="C78" s="5"/>
      <c r="D78" s="5"/>
      <c r="E78" s="5"/>
      <c r="F78" s="5"/>
      <c r="H78" s="5" t="s">
        <v>129</v>
      </c>
      <c r="I78" s="5"/>
      <c r="J78" s="5"/>
      <c r="K78" s="5"/>
      <c r="L78" s="5"/>
      <c r="M78" s="5"/>
    </row>
    <row r="79" customFormat="false" ht="30" hidden="false" customHeight="true" outlineLevel="0" collapsed="false">
      <c r="B79" s="15" t="s">
        <v>130</v>
      </c>
      <c r="C79" s="15" t="s">
        <v>131</v>
      </c>
      <c r="D79" s="15" t="s">
        <v>132</v>
      </c>
      <c r="E79" s="15" t="s">
        <v>133</v>
      </c>
      <c r="F79" s="15" t="s">
        <v>134</v>
      </c>
      <c r="H79" s="15" t="s">
        <v>135</v>
      </c>
      <c r="I79" s="15"/>
      <c r="J79" s="15" t="s">
        <v>92</v>
      </c>
      <c r="K79" s="15" t="s">
        <v>136</v>
      </c>
      <c r="L79" s="15" t="s">
        <v>38</v>
      </c>
      <c r="M79" s="15" t="s">
        <v>137</v>
      </c>
    </row>
    <row r="80" customFormat="false" ht="15" hidden="false" customHeight="true" outlineLevel="0" collapsed="false">
      <c r="B80" s="44" t="s">
        <v>138</v>
      </c>
      <c r="C80" s="55" t="n">
        <f aca="false">COUNTIFS('Video Data'!$T$5:$T$204,B80,'Video Data'!$Q$5:$Q$204,"Long")</f>
        <v>0</v>
      </c>
      <c r="D80" s="46" t="str">
        <f aca="false">IFERROR(AVERAGEIFS('Video Data'!$E$5:$E$204,'Video Data'!$T$5:$T$204,B80,'Video Data'!$Q$5:$Q$204,"Long"),"")</f>
        <v/>
      </c>
      <c r="E80" s="50" t="str">
        <f aca="false">IFERROR(AVERAGEIFS('Video Data'!$G$5:$G$204,'Video Data'!$T$5:$T$204,B80,'Video Data'!$Q$5:$Q$204,"Long"),"")</f>
        <v/>
      </c>
      <c r="F80" s="55" t="str">
        <f aca="false">IF(COUNTIFS('Video Data'!$T$5:$T$204,B80,'Video Data'!$Q$5:$Q$204,"Short")=0,"—",COUNTIFS('Video Data'!$T$5:$T$204,B80,'Video Data'!$Q$5:$Q$204,"Short")&amp;" / "&amp;TEXT(AVERAGEIFS('Video Data'!$E$5:$E$204,'Video Data'!$T$5:$T$204,B80,'Video Data'!$Q$5:$Q$204,"Short"),"#,##0"))</f>
        <v>—</v>
      </c>
      <c r="H80" s="36" t="s">
        <v>139</v>
      </c>
      <c r="I80" s="36"/>
      <c r="J80" s="55" t="n">
        <f aca="false">COUNTIF('Video Data'!$U$5:$U$204,H80)</f>
        <v>0</v>
      </c>
      <c r="K80" s="46" t="str">
        <f aca="false">IFERROR(AVERAGEIFS('Video Data'!$E$5:$E$204,'Video Data'!$U$5:$U$204,H80),"")</f>
        <v/>
      </c>
      <c r="L80" s="50" t="str">
        <f aca="false">IFERROR(AVERAGEIFS('Video Data'!$I$5:$I$204,'Video Data'!$U$5:$U$204,H80),"")</f>
        <v/>
      </c>
      <c r="M80" s="50" t="str">
        <f aca="false">IFERROR(AVERAGEIFS('Video Data'!$G$5:$G$204,'Video Data'!$U$5:$U$204,H80),"")</f>
        <v/>
      </c>
    </row>
    <row r="81" customFormat="false" ht="15" hidden="false" customHeight="true" outlineLevel="0" collapsed="false">
      <c r="B81" s="44" t="s">
        <v>140</v>
      </c>
      <c r="C81" s="55" t="n">
        <f aca="false">COUNTIFS('Video Data'!$T$5:$T$204,B81,'Video Data'!$Q$5:$Q$204,"Long")</f>
        <v>0</v>
      </c>
      <c r="D81" s="46" t="str">
        <f aca="false">IFERROR(AVERAGEIFS('Video Data'!$E$5:$E$204,'Video Data'!$T$5:$T$204,B81,'Video Data'!$Q$5:$Q$204,"Long"),"")</f>
        <v/>
      </c>
      <c r="E81" s="50" t="str">
        <f aca="false">IFERROR(AVERAGEIFS('Video Data'!$G$5:$G$204,'Video Data'!$T$5:$T$204,B81,'Video Data'!$Q$5:$Q$204,"Long"),"")</f>
        <v/>
      </c>
      <c r="F81" s="55" t="str">
        <f aca="false">IF(COUNTIFS('Video Data'!$T$5:$T$204,B81,'Video Data'!$Q$5:$Q$204,"Short")=0,"—",COUNTIFS('Video Data'!$T$5:$T$204,B81,'Video Data'!$Q$5:$Q$204,"Short")&amp;" / "&amp;TEXT(AVERAGEIFS('Video Data'!$E$5:$E$204,'Video Data'!$T$5:$T$204,B81,'Video Data'!$Q$5:$Q$204,"Short"),"#,##0"))</f>
        <v>—</v>
      </c>
      <c r="H81" s="36" t="s">
        <v>141</v>
      </c>
      <c r="I81" s="36"/>
      <c r="J81" s="55" t="n">
        <f aca="false">COUNTIF('Video Data'!$U$5:$U$204,H81)</f>
        <v>0</v>
      </c>
      <c r="K81" s="46" t="str">
        <f aca="false">IFERROR(AVERAGEIFS('Video Data'!$E$5:$E$204,'Video Data'!$U$5:$U$204,H81),"")</f>
        <v/>
      </c>
      <c r="L81" s="50" t="str">
        <f aca="false">IFERROR(AVERAGEIFS('Video Data'!$I$5:$I$204,'Video Data'!$U$5:$U$204,H81),"")</f>
        <v/>
      </c>
      <c r="M81" s="50" t="str">
        <f aca="false">IFERROR(AVERAGEIFS('Video Data'!$G$5:$G$204,'Video Data'!$U$5:$U$204,H81),"")</f>
        <v/>
      </c>
    </row>
    <row r="82" customFormat="false" ht="15" hidden="false" customHeight="true" outlineLevel="0" collapsed="false">
      <c r="B82" s="44" t="s">
        <v>142</v>
      </c>
      <c r="C82" s="55" t="n">
        <f aca="false">COUNTIFS('Video Data'!$T$5:$T$204,B82,'Video Data'!$Q$5:$Q$204,"Long")</f>
        <v>0</v>
      </c>
      <c r="D82" s="46" t="str">
        <f aca="false">IFERROR(AVERAGEIFS('Video Data'!$E$5:$E$204,'Video Data'!$T$5:$T$204,B82,'Video Data'!$Q$5:$Q$204,"Long"),"")</f>
        <v/>
      </c>
      <c r="E82" s="50" t="str">
        <f aca="false">IFERROR(AVERAGEIFS('Video Data'!$G$5:$G$204,'Video Data'!$T$5:$T$204,B82,'Video Data'!$Q$5:$Q$204,"Long"),"")</f>
        <v/>
      </c>
      <c r="F82" s="55" t="str">
        <f aca="false">IF(COUNTIFS('Video Data'!$T$5:$T$204,B82,'Video Data'!$Q$5:$Q$204,"Short")=0,"—",COUNTIFS('Video Data'!$T$5:$T$204,B82,'Video Data'!$Q$5:$Q$204,"Short")&amp;" / "&amp;TEXT(AVERAGEIFS('Video Data'!$E$5:$E$204,'Video Data'!$T$5:$T$204,B82,'Video Data'!$Q$5:$Q$204,"Short"),"#,##0"))</f>
        <v>—</v>
      </c>
      <c r="H82" s="36" t="s">
        <v>143</v>
      </c>
      <c r="I82" s="36"/>
      <c r="J82" s="55" t="n">
        <f aca="false">COUNTIF('Video Data'!$U$5:$U$204,H82)</f>
        <v>0</v>
      </c>
      <c r="K82" s="46" t="str">
        <f aca="false">IFERROR(AVERAGEIFS('Video Data'!$E$5:$E$204,'Video Data'!$U$5:$U$204,H82),"")</f>
        <v/>
      </c>
      <c r="L82" s="50" t="str">
        <f aca="false">IFERROR(AVERAGEIFS('Video Data'!$I$5:$I$204,'Video Data'!$U$5:$U$204,H82),"")</f>
        <v/>
      </c>
      <c r="M82" s="50" t="str">
        <f aca="false">IFERROR(AVERAGEIFS('Video Data'!$G$5:$G$204,'Video Data'!$U$5:$U$204,H82),"")</f>
        <v/>
      </c>
    </row>
    <row r="83" customFormat="false" ht="15" hidden="false" customHeight="true" outlineLevel="0" collapsed="false">
      <c r="B83" s="44" t="s">
        <v>144</v>
      </c>
      <c r="C83" s="55" t="n">
        <f aca="false">COUNTIFS('Video Data'!$T$5:$T$204,B83,'Video Data'!$Q$5:$Q$204,"Long")</f>
        <v>0</v>
      </c>
      <c r="D83" s="46" t="str">
        <f aca="false">IFERROR(AVERAGEIFS('Video Data'!$E$5:$E$204,'Video Data'!$T$5:$T$204,B83,'Video Data'!$Q$5:$Q$204,"Long"),"")</f>
        <v/>
      </c>
      <c r="E83" s="50" t="str">
        <f aca="false">IFERROR(AVERAGEIFS('Video Data'!$G$5:$G$204,'Video Data'!$T$5:$T$204,B83,'Video Data'!$Q$5:$Q$204,"Long"),"")</f>
        <v/>
      </c>
      <c r="F83" s="55" t="str">
        <f aca="false">IF(COUNTIFS('Video Data'!$T$5:$T$204,B83,'Video Data'!$Q$5:$Q$204,"Short")=0,"—",COUNTIFS('Video Data'!$T$5:$T$204,B83,'Video Data'!$Q$5:$Q$204,"Short")&amp;" / "&amp;TEXT(AVERAGEIFS('Video Data'!$E$5:$E$204,'Video Data'!$T$5:$T$204,B83,'Video Data'!$Q$5:$Q$204,"Short"),"#,##0"))</f>
        <v>—</v>
      </c>
      <c r="H83" s="36" t="s">
        <v>145</v>
      </c>
      <c r="I83" s="36"/>
      <c r="J83" s="55" t="n">
        <f aca="false">COUNTIF('Video Data'!$U$5:$U$204,H83)</f>
        <v>0</v>
      </c>
      <c r="K83" s="46" t="str">
        <f aca="false">IFERROR(AVERAGEIFS('Video Data'!$E$5:$E$204,'Video Data'!$U$5:$U$204,H83),"")</f>
        <v/>
      </c>
      <c r="L83" s="50" t="str">
        <f aca="false">IFERROR(AVERAGEIFS('Video Data'!$I$5:$I$204,'Video Data'!$U$5:$U$204,H83),"")</f>
        <v/>
      </c>
      <c r="M83" s="50" t="str">
        <f aca="false">IFERROR(AVERAGEIFS('Video Data'!$G$5:$G$204,'Video Data'!$U$5:$U$204,H83),"")</f>
        <v/>
      </c>
    </row>
    <row r="84" customFormat="false" ht="15" hidden="false" customHeight="false" outlineLevel="0" collapsed="false">
      <c r="B84" s="44" t="s">
        <v>146</v>
      </c>
      <c r="C84" s="55" t="n">
        <f aca="false">COUNTIFS('Video Data'!$T$5:$T$204,B84,'Video Data'!$Q$5:$Q$204,"Long")</f>
        <v>0</v>
      </c>
      <c r="D84" s="46" t="str">
        <f aca="false">IFERROR(AVERAGEIFS('Video Data'!$E$5:$E$204,'Video Data'!$T$5:$T$204,B84,'Video Data'!$Q$5:$Q$204,"Long"),"")</f>
        <v/>
      </c>
      <c r="E84" s="50" t="str">
        <f aca="false">IFERROR(AVERAGEIFS('Video Data'!$G$5:$G$204,'Video Data'!$T$5:$T$204,B84,'Video Data'!$Q$5:$Q$204,"Long"),"")</f>
        <v/>
      </c>
      <c r="F84" s="55" t="str">
        <f aca="false">IF(COUNTIFS('Video Data'!$T$5:$T$204,B84,'Video Data'!$Q$5:$Q$204,"Short")=0,"—",COUNTIFS('Video Data'!$T$5:$T$204,B84,'Video Data'!$Q$5:$Q$204,"Short")&amp;" / "&amp;TEXT(AVERAGEIFS('Video Data'!$E$5:$E$204,'Video Data'!$T$5:$T$204,B84,'Video Data'!$Q$5:$Q$204,"Short"),"#,##0"))</f>
        <v>—</v>
      </c>
    </row>
    <row r="85" customFormat="false" ht="15" hidden="false" customHeight="false" outlineLevel="0" collapsed="false">
      <c r="B85" s="44" t="s">
        <v>147</v>
      </c>
      <c r="C85" s="55" t="n">
        <f aca="false">COUNTIFS('Video Data'!$T$5:$T$204,B85,'Video Data'!$Q$5:$Q$204,"Long")</f>
        <v>0</v>
      </c>
      <c r="D85" s="46" t="str">
        <f aca="false">IFERROR(AVERAGEIFS('Video Data'!$E$5:$E$204,'Video Data'!$T$5:$T$204,B85,'Video Data'!$Q$5:$Q$204,"Long"),"")</f>
        <v/>
      </c>
      <c r="E85" s="50" t="str">
        <f aca="false">IFERROR(AVERAGEIFS('Video Data'!$G$5:$G$204,'Video Data'!$T$5:$T$204,B85,'Video Data'!$Q$5:$Q$204,"Long"),"")</f>
        <v/>
      </c>
      <c r="F85" s="55" t="str">
        <f aca="false">IF(COUNTIFS('Video Data'!$T$5:$T$204,B85,'Video Data'!$Q$5:$Q$204,"Short")=0,"—",COUNTIFS('Video Data'!$T$5:$T$204,B85,'Video Data'!$Q$5:$Q$204,"Short")&amp;" / "&amp;TEXT(AVERAGEIFS('Video Data'!$E$5:$E$204,'Video Data'!$T$5:$T$204,B85,'Video Data'!$Q$5:$Q$204,"Short"),"#,##0"))</f>
        <v>—</v>
      </c>
    </row>
    <row r="86" customFormat="false" ht="15" hidden="false" customHeight="false" outlineLevel="0" collapsed="false">
      <c r="B86" s="44" t="s">
        <v>148</v>
      </c>
      <c r="C86" s="55" t="n">
        <f aca="false">COUNTIFS('Video Data'!$T$5:$T$204,B86,'Video Data'!$Q$5:$Q$204,"Long")</f>
        <v>0</v>
      </c>
      <c r="D86" s="46" t="str">
        <f aca="false">IFERROR(AVERAGEIFS('Video Data'!$E$5:$E$204,'Video Data'!$T$5:$T$204,B86,'Video Data'!$Q$5:$Q$204,"Long"),"")</f>
        <v/>
      </c>
      <c r="E86" s="50" t="str">
        <f aca="false">IFERROR(AVERAGEIFS('Video Data'!$G$5:$G$204,'Video Data'!$T$5:$T$204,B86,'Video Data'!$Q$5:$Q$204,"Long"),"")</f>
        <v/>
      </c>
      <c r="F86" s="55" t="str">
        <f aca="false">IF(COUNTIFS('Video Data'!$T$5:$T$204,B86,'Video Data'!$Q$5:$Q$204,"Short")=0,"—",COUNTIFS('Video Data'!$T$5:$T$204,B86,'Video Data'!$Q$5:$Q$204,"Short")&amp;" / "&amp;TEXT(AVERAGEIFS('Video Data'!$E$5:$E$204,'Video Data'!$T$5:$T$204,B86,'Video Data'!$Q$5:$Q$204,"Short"),"#,##0"))</f>
        <v>—</v>
      </c>
    </row>
    <row r="87" customFormat="false" ht="15" hidden="false" customHeight="false" outlineLevel="0" collapsed="false">
      <c r="B87" s="3" t="s">
        <v>149</v>
      </c>
      <c r="D87" s="59" t="str">
        <f aca="false">IF(COUNT(D80:D86)=0,"",INDEX(B80:B86,MATCH(MAX(D80:D86),D80:D86,0)))</f>
        <v/>
      </c>
      <c r="H87" s="3" t="s">
        <v>150</v>
      </c>
      <c r="K87" s="59" t="str">
        <f aca="false">IF(COUNT(K80:K83)=0,"",INDEX(H80:H83,MATCH(MAX(K80:K83),K80:K83,0)))</f>
        <v/>
      </c>
    </row>
    <row r="89" customFormat="false" ht="21.75" hidden="false" customHeight="true" outlineLevel="0" collapsed="false">
      <c r="B89" s="5" t="s">
        <v>151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</sheetData>
  <mergeCells count="109">
    <mergeCell ref="B1:M1"/>
    <mergeCell ref="B2:M2"/>
    <mergeCell ref="B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M14"/>
    <mergeCell ref="B15:M15"/>
    <mergeCell ref="B16:M16"/>
    <mergeCell ref="B17:M17"/>
    <mergeCell ref="B18:M18"/>
    <mergeCell ref="B19:M19"/>
    <mergeCell ref="B20:M20"/>
    <mergeCell ref="B21:M21"/>
    <mergeCell ref="B22:M22"/>
    <mergeCell ref="B25:M25"/>
    <mergeCell ref="B26:C26"/>
    <mergeCell ref="I26:M26"/>
    <mergeCell ref="B27:C27"/>
    <mergeCell ref="I27:M27"/>
    <mergeCell ref="B28:C28"/>
    <mergeCell ref="I28:M28"/>
    <mergeCell ref="B29:C29"/>
    <mergeCell ref="I29:M29"/>
    <mergeCell ref="B30:C30"/>
    <mergeCell ref="I30:M30"/>
    <mergeCell ref="B31:C31"/>
    <mergeCell ref="I31:M31"/>
    <mergeCell ref="B32:C32"/>
    <mergeCell ref="I32:M32"/>
    <mergeCell ref="B33:C33"/>
    <mergeCell ref="I33:M33"/>
    <mergeCell ref="B36:G36"/>
    <mergeCell ref="I36:M36"/>
    <mergeCell ref="B37:D37"/>
    <mergeCell ref="I37:K37"/>
    <mergeCell ref="B38:D38"/>
    <mergeCell ref="I38:K38"/>
    <mergeCell ref="B39:D39"/>
    <mergeCell ref="I39:K39"/>
    <mergeCell ref="B40:D40"/>
    <mergeCell ref="I40:K40"/>
    <mergeCell ref="B41:D41"/>
    <mergeCell ref="I41:K41"/>
    <mergeCell ref="B42:D42"/>
    <mergeCell ref="I42:K42"/>
    <mergeCell ref="B43:D43"/>
    <mergeCell ref="I43:K43"/>
    <mergeCell ref="B44:D44"/>
    <mergeCell ref="I44:K44"/>
    <mergeCell ref="B45:D45"/>
    <mergeCell ref="I45:K45"/>
    <mergeCell ref="B46:D46"/>
    <mergeCell ref="B47:D47"/>
    <mergeCell ref="B49:M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B62:M62"/>
    <mergeCell ref="C63:F63"/>
    <mergeCell ref="C64:F64"/>
    <mergeCell ref="C65:F65"/>
    <mergeCell ref="C66:F66"/>
    <mergeCell ref="C67:F67"/>
    <mergeCell ref="C68:F68"/>
    <mergeCell ref="B70:M70"/>
    <mergeCell ref="C71:F71"/>
    <mergeCell ref="C72:F72"/>
    <mergeCell ref="C73:F73"/>
    <mergeCell ref="C74:F74"/>
    <mergeCell ref="C75:F75"/>
    <mergeCell ref="C76:F76"/>
    <mergeCell ref="B78:F78"/>
    <mergeCell ref="H78:M78"/>
    <mergeCell ref="H79:I79"/>
    <mergeCell ref="H80:I80"/>
    <mergeCell ref="H81:I81"/>
    <mergeCell ref="H82:I82"/>
    <mergeCell ref="H83:I83"/>
    <mergeCell ref="B89:M89"/>
  </mergeCells>
  <conditionalFormatting sqref="E11:M11">
    <cfRule type="expression" priority="2" aboveAverage="0" equalAverage="0" bottom="0" percent="0" rank="0" text="" dxfId="0">
      <formula>ISNUMBER(SEARCH("Needs work",E11))</formula>
    </cfRule>
    <cfRule type="expression" priority="3" aboveAverage="0" equalAverage="0" bottom="0" percent="0" rank="0" text="" dxfId="1">
      <formula>ISNUMBER(SEARCH("Average",E11))</formula>
    </cfRule>
    <cfRule type="expression" priority="4" aboveAverage="0" equalAverage="0" bottom="0" percent="0" rank="0" text="" dxfId="2">
      <formula>ISNUMBER(SEARCH("Strong",E11))</formula>
    </cfRule>
    <cfRule type="expression" priority="5" aboveAverage="0" equalAverage="0" bottom="0" percent="0" rank="0" text="" dxfId="3">
      <formula>ISNUMBER(SEARCH("Elite",E11))</formula>
    </cfRule>
  </conditionalFormatting>
  <conditionalFormatting sqref="H27:H33">
    <cfRule type="expression" priority="6" aboveAverage="0" equalAverage="0" bottom="0" percent="0" rank="0" text="" dxfId="0">
      <formula>ISNUMBER(SEARCH("Needs work",H27))</formula>
    </cfRule>
    <cfRule type="expression" priority="7" aboveAverage="0" equalAverage="0" bottom="0" percent="0" rank="0" text="" dxfId="1">
      <formula>ISNUMBER(SEARCH("Average",H27))</formula>
    </cfRule>
    <cfRule type="expression" priority="8" aboveAverage="0" equalAverage="0" bottom="0" percent="0" rank="0" text="" dxfId="2">
      <formula>ISNUMBER(SEARCH("Strong",H27))</formula>
    </cfRule>
    <cfRule type="expression" priority="9" aboveAverage="0" equalAverage="0" bottom="0" percent="0" rank="0" text="" dxfId="3">
      <formula>ISNUMBER(SEARCH("Elite",H27))</formula>
    </cfRule>
  </conditionalFormatting>
  <conditionalFormatting sqref="M51:M60">
    <cfRule type="expression" priority="10" aboveAverage="0" equalAverage="0" bottom="0" percent="0" rank="0" text="" dxfId="4">
      <formula>ISNUMBER(SEARCH("WINNER",M51))</formula>
    </cfRule>
    <cfRule type="expression" priority="11" aboveAverage="0" equalAverage="0" bottom="0" percent="0" rank="0" text="" dxfId="4">
      <formula>ISNUMBER(SEARCH("Winner Short",M51))</formula>
    </cfRule>
    <cfRule type="expression" priority="12" aboveAverage="0" equalAverage="0" bottom="0" percent="0" rank="0" text="" dxfId="5">
      <formula>ISNUMBER(SEARCH("weak packaging",M51))</formula>
    </cfRule>
    <cfRule type="expression" priority="13" aboveAverage="0" equalAverage="0" bottom="0" percent="0" rank="0" text="" dxfId="5">
      <formula>ISNUMBER(SEARCH("Click but leave",M51))</formula>
    </cfRule>
    <cfRule type="expression" priority="14" aboveAverage="0" equalAverage="0" bottom="0" percent="0" rank="0" text="" dxfId="6">
      <formula>ISNUMBER(SEARCH("Topic miss",M51))</formula>
    </cfRule>
    <cfRule type="expression" priority="15" aboveAverage="0" equalAverage="0" bottom="0" percent="0" rank="0" text="" dxfId="6">
      <formula>ISNUMBER(SEARCH("Hook problem",M51))</formula>
    </cfRule>
  </conditionalFormatting>
  <conditionalFormatting sqref="H51:H60">
    <cfRule type="dataBar" priority="16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{44A3DD50-56C5-4DB8-B98B-4C527BDF2E5E}</x14:id>
        </ext>
      </extLst>
    </cfRule>
  </conditionalFormatting>
  <conditionalFormatting sqref="M64:M68">
    <cfRule type="expression" priority="17" aboveAverage="0" equalAverage="0" bottom="0" percent="0" rank="0" text="" dxfId="4">
      <formula>ISNUMBER(SEARCH("WINNER",M64))</formula>
    </cfRule>
    <cfRule type="expression" priority="18" aboveAverage="0" equalAverage="0" bottom="0" percent="0" rank="0" text="" dxfId="4">
      <formula>ISNUMBER(SEARCH("Winner Short",M64))</formula>
    </cfRule>
    <cfRule type="expression" priority="19" aboveAverage="0" equalAverage="0" bottom="0" percent="0" rank="0" text="" dxfId="5">
      <formula>ISNUMBER(SEARCH("weak packaging",M64))</formula>
    </cfRule>
    <cfRule type="expression" priority="20" aboveAverage="0" equalAverage="0" bottom="0" percent="0" rank="0" text="" dxfId="5">
      <formula>ISNUMBER(SEARCH("Click but leave",M64))</formula>
    </cfRule>
    <cfRule type="expression" priority="21" aboveAverage="0" equalAverage="0" bottom="0" percent="0" rank="0" text="" dxfId="6">
      <formula>ISNUMBER(SEARCH("Topic miss",M64))</formula>
    </cfRule>
    <cfRule type="expression" priority="22" aboveAverage="0" equalAverage="0" bottom="0" percent="0" rank="0" text="" dxfId="6">
      <formula>ISNUMBER(SEARCH("Hook problem",M64))</formula>
    </cfRule>
  </conditionalFormatting>
  <conditionalFormatting sqref="H64:H68">
    <cfRule type="dataBar" priority="23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{A2999E4B-2ECA-45DA-8D26-4FF6DDE64253}</x14:id>
        </ext>
      </extLst>
    </cfRule>
  </conditionalFormatting>
  <conditionalFormatting sqref="M72:M76">
    <cfRule type="expression" priority="24" aboveAverage="0" equalAverage="0" bottom="0" percent="0" rank="0" text="" dxfId="4">
      <formula>ISNUMBER(SEARCH("WINNER",M72))</formula>
    </cfRule>
    <cfRule type="expression" priority="25" aboveAverage="0" equalAverage="0" bottom="0" percent="0" rank="0" text="" dxfId="4">
      <formula>ISNUMBER(SEARCH("Winner Short",M72))</formula>
    </cfRule>
    <cfRule type="expression" priority="26" aboveAverage="0" equalAverage="0" bottom="0" percent="0" rank="0" text="" dxfId="5">
      <formula>ISNUMBER(SEARCH("weak packaging",M72))</formula>
    </cfRule>
    <cfRule type="expression" priority="27" aboveAverage="0" equalAverage="0" bottom="0" percent="0" rank="0" text="" dxfId="5">
      <formula>ISNUMBER(SEARCH("Click but leave",M72))</formula>
    </cfRule>
    <cfRule type="expression" priority="28" aboveAverage="0" equalAverage="0" bottom="0" percent="0" rank="0" text="" dxfId="6">
      <formula>ISNUMBER(SEARCH("Topic miss",M72))</formula>
    </cfRule>
    <cfRule type="expression" priority="29" aboveAverage="0" equalAverage="0" bottom="0" percent="0" rank="0" text="" dxfId="6">
      <formula>ISNUMBER(SEARCH("Hook problem",M72))</formula>
    </cfRule>
  </conditionalFormatting>
  <conditionalFormatting sqref="H72:H76">
    <cfRule type="dataBar" priority="30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{8DE4C78C-67A5-4050-BEBD-FAC0B06F86F6}</x14:id>
        </ext>
      </extLst>
    </cfRule>
  </conditionalFormatting>
  <conditionalFormatting sqref="D80:D86">
    <cfRule type="colorScale" priority="31">
      <colorScale>
        <cfvo type="min" val="0"/>
        <cfvo type="max" val="0"/>
        <color rgb="FFFFFFFF"/>
        <color rgb="FF63BE7B"/>
      </colorScale>
    </cfRule>
  </conditionalFormatting>
  <conditionalFormatting sqref="K80:K83">
    <cfRule type="colorScale" priority="32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A3DD50-56C5-4DB8-B98B-4C527BDF2E5E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H51:H60</xm:sqref>
        </x14:conditionalFormatting>
        <x14:conditionalFormatting xmlns:xm="http://schemas.microsoft.com/office/excel/2006/main">
          <x14:cfRule type="dataBar" id="{A2999E4B-2ECA-45DA-8D26-4FF6DDE64253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H64:H68</xm:sqref>
        </x14:conditionalFormatting>
        <x14:conditionalFormatting xmlns:xm="http://schemas.microsoft.com/office/excel/2006/main">
          <x14:cfRule type="dataBar" id="{8DE4C78C-67A5-4050-BEBD-FAC0B06F86F6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H72:H76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AI2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6" min="14" style="0" width="11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5" min="23" style="0" width="10"/>
    <col collapsed="false" customWidth="true" hidden="false" outlineLevel="0" max="28" min="26" style="0" width="12"/>
    <col collapsed="false" customWidth="true" hidden="false" outlineLevel="0" max="29" min="29" style="0" width="9"/>
    <col collapsed="false" customWidth="true" hidden="false" outlineLevel="0" max="30" min="30" style="0" width="46"/>
    <col collapsed="false" customWidth="true" hidden="false" outlineLevel="0" max="32" min="31" style="0" width="9"/>
    <col collapsed="false" customWidth="true" hidden="true" outlineLevel="1" max="35" min="33" style="0" width="6"/>
  </cols>
  <sheetData>
    <row r="1" customFormat="false" ht="36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153</v>
      </c>
    </row>
    <row r="3" customFormat="false" ht="15" hidden="false" customHeight="true" outlineLevel="0" collapsed="false">
      <c r="A3" s="60" t="s">
        <v>154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 t="s">
        <v>155</v>
      </c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customFormat="false" ht="45.75" hidden="false" customHeight="true" outlineLevel="0" collapsed="false">
      <c r="A4" s="15" t="s">
        <v>30</v>
      </c>
      <c r="B4" s="15" t="s">
        <v>156</v>
      </c>
      <c r="C4" s="15" t="s">
        <v>157</v>
      </c>
      <c r="D4" s="15" t="s">
        <v>33</v>
      </c>
      <c r="E4" s="15" t="s">
        <v>34</v>
      </c>
      <c r="F4" s="15" t="s">
        <v>35</v>
      </c>
      <c r="G4" s="15" t="s">
        <v>158</v>
      </c>
      <c r="H4" s="15" t="s">
        <v>159</v>
      </c>
      <c r="I4" s="15" t="s">
        <v>160</v>
      </c>
      <c r="J4" s="15" t="s">
        <v>103</v>
      </c>
      <c r="K4" s="15" t="s">
        <v>161</v>
      </c>
      <c r="L4" s="15" t="s">
        <v>162</v>
      </c>
      <c r="M4" s="15" t="s">
        <v>163</v>
      </c>
      <c r="N4" s="15" t="s">
        <v>164</v>
      </c>
      <c r="O4" s="15" t="s">
        <v>165</v>
      </c>
      <c r="P4" s="15" t="s">
        <v>166</v>
      </c>
      <c r="Q4" s="62" t="s">
        <v>167</v>
      </c>
      <c r="R4" s="62" t="s">
        <v>168</v>
      </c>
      <c r="S4" s="62" t="s">
        <v>169</v>
      </c>
      <c r="T4" s="62" t="s">
        <v>170</v>
      </c>
      <c r="U4" s="62" t="s">
        <v>171</v>
      </c>
      <c r="V4" s="62" t="s">
        <v>172</v>
      </c>
      <c r="W4" s="62" t="s">
        <v>111</v>
      </c>
      <c r="X4" s="62" t="s">
        <v>114</v>
      </c>
      <c r="Y4" s="62" t="s">
        <v>117</v>
      </c>
      <c r="Z4" s="62" t="s">
        <v>173</v>
      </c>
      <c r="AA4" s="62" t="s">
        <v>174</v>
      </c>
      <c r="AB4" s="62" t="s">
        <v>175</v>
      </c>
      <c r="AC4" s="62" t="s">
        <v>176</v>
      </c>
      <c r="AD4" s="62" t="s">
        <v>177</v>
      </c>
      <c r="AE4" s="62" t="s">
        <v>178</v>
      </c>
      <c r="AF4" s="62" t="s">
        <v>179</v>
      </c>
      <c r="AG4" s="63" t="s">
        <v>180</v>
      </c>
      <c r="AH4" s="63" t="s">
        <v>181</v>
      </c>
      <c r="AI4" s="63" t="s">
        <v>182</v>
      </c>
    </row>
    <row r="5" customFormat="false" ht="15" hidden="false" customHeight="false" outlineLevel="0" collapsed="false">
      <c r="A5" s="64"/>
      <c r="B5" s="65"/>
      <c r="C5" s="66"/>
      <c r="D5" s="67"/>
      <c r="E5" s="67"/>
      <c r="F5" s="67"/>
      <c r="G5" s="68"/>
      <c r="H5" s="69"/>
      <c r="I5" s="68"/>
      <c r="J5" s="70"/>
      <c r="K5" s="67"/>
      <c r="L5" s="67"/>
      <c r="M5" s="67"/>
      <c r="N5" s="67"/>
      <c r="O5" s="67"/>
      <c r="P5" s="71"/>
      <c r="Q5" s="72" t="str">
        <f aca="false">IF(A5="","",IF(C5&lt;&gt;"",C5,IF(AND(D5&lt;&gt;"",D5&lt;=180),"Short","Long")))</f>
        <v/>
      </c>
      <c r="R5" s="73" t="str">
        <f aca="false">IF(OR(A5="",D5=""),"",D5/60)</f>
        <v/>
      </c>
      <c r="S5" s="72" t="str">
        <f aca="false">IF(OR(A5="",B5=""),"",IF(AND(B5&gt;=DATE(2026,4,1),B5&lt;=DATE(2026,6,30)),"Yes","No"))</f>
        <v/>
      </c>
      <c r="T5" s="72" t="str">
        <f aca="false">IF(OR(A5="",B5=""),"",CHOOSE(WEEKDAY(B5),"Sun","Mon","Tue","Wed","Thu","Fri","Sat"))</f>
        <v/>
      </c>
      <c r="U5" s="72" t="str">
        <f aca="false">IF(OR(Q5&lt;&gt;"Long",D5=""),"",IF(D5&lt;480,"Under 8 min",IF(D5&lt;900,"8–15 min",IF(D5&lt;1500,"15–25 min","25+ min"))))</f>
        <v/>
      </c>
      <c r="V5" s="74" t="str">
        <f aca="false">IF(OR(A5="",N(E5)=0),"",(N(K5)+N(L5))/E5*100)</f>
        <v/>
      </c>
      <c r="W5" s="73" t="str">
        <f aca="false">IF(OR(A5="",N(E5)=0),"",N(L5)/E5*1000)</f>
        <v/>
      </c>
      <c r="X5" s="75" t="str">
        <f aca="false">IF(A5="","",N(N5)-N(O5))</f>
        <v/>
      </c>
      <c r="Y5" s="73" t="str">
        <f aca="false">IF(OR(A5="",N(E5)=0),"",X5/E5*1000)</f>
        <v/>
      </c>
      <c r="Z5" s="72" t="str">
        <f aca="false">IF(OR(A5="",G5=""),"",IF(Q5="Short","n/a (Short)",IF(G5&gt;=Benchmarks!$E$5,"Elite",IF(G5&gt;=Benchmarks!$D$5,"Strong",IF(G5&gt;=Benchmarks!$C$5,"Average","Needs work")))))</f>
        <v/>
      </c>
      <c r="AA5" s="72" t="str">
        <f aca="false">IF(OR(A5="",I5=""),"",IF(Q5="Short",IF(I5&gt;=Benchmarks!$E$7,"Elite",IF(I5&gt;=Benchmarks!$D$7,"Strong",IF(I5&gt;=Benchmarks!$C$7,"Average","Needs work"))),IF(I5&gt;=Benchmarks!$E$6,"Elite",IF(I5&gt;=Benchmarks!$D$6,"Strong",IF(I5&gt;=Benchmarks!$C$6,"Average","Needs work")))))</f>
        <v/>
      </c>
      <c r="AB5" s="72" t="str">
        <f aca="false">IF(V5="","",IF(V5&gt;=Benchmarks!$E$8,"Elite",IF(V5&gt;=Benchmarks!$D$8,"Strong",IF(V5&gt;=Benchmarks!$C$8,"Average","Needs work"))))</f>
        <v/>
      </c>
      <c r="AC5" s="73" t="str">
        <f aca="false">IF(COUNT(AG5:AI5)=0,"",AVERAGE(AG5:AI5))</f>
        <v/>
      </c>
      <c r="AD5" s="37" t="str">
        <f aca="false">IF(A5="","",IF(Q5="Short",IF(AH5="","Add % viewed to diagnose",IF(AND(AH5&gt;=3,N(AI5)&gt;=3),"Winner Short — expand it into a long-form video",IF(AH5&lt;=1,"Hook problem — viewers swipe away in the first seconds",IF(AI5=1,"Watched but no reaction — end on a question or opinion","Solid Short — keep iterating")))),IF(OR(AG5="",AH5=""),"Add CTR &amp; % viewed to diagnose",IF(AND(AG5&gt;=3,AH5&gt;=3),"WINNER — make a sequel, series or Shorts from it",IF(AND(AG5&gt;=3,AH5&lt;=2),"Click but leave — intro too slow or title over-promises",IF(AND(AG5&lt;=2,AH5&gt;=3),"Great video, weak packaging — A/B test title + thumbnail",IF(AND(AG5=1,AH5=1),"Topic miss — don't repeat this angle","Average — sharpen the hook and the title")))))))</f>
        <v/>
      </c>
      <c r="AE5" s="76" t="str">
        <f aca="false">IF(OR(A5="",N(E5)=0),"",Q5&amp;"-"&amp;(COUNTIFS($Q$5:$Q$204,Q5,$E$5:$E$204,"&gt;"&amp;E5)+COUNTIFS($Q$5:Q5,Q5,$E$5:E5,E5)))</f>
        <v/>
      </c>
      <c r="AF5" s="77" t="str">
        <f aca="false">IF(AND(Q5="Long",N(F5)&gt;=Benchmarks!$C$15,G5&lt;&gt;""),G5,"")</f>
        <v/>
      </c>
      <c r="AG5" s="78" t="str">
        <f aca="false">IF(Z5="Elite",4,IF(Z5="Strong",3,IF(Z5="Average",2,IF(Z5="Needs work",1,""))))</f>
        <v/>
      </c>
      <c r="AH5" s="78" t="str">
        <f aca="false">IF(AA5="Elite",4,IF(AA5="Strong",3,IF(AA5="Average",2,IF(AA5="Needs work",1,""))))</f>
        <v/>
      </c>
      <c r="AI5" s="78" t="str">
        <f aca="false">IF(AB5="Elite",4,IF(AB5="Strong",3,IF(AB5="Average",2,IF(AB5="Needs work",1,""))))</f>
        <v/>
      </c>
    </row>
    <row r="6" customFormat="false" ht="15" hidden="false" customHeight="false" outlineLevel="0" collapsed="false">
      <c r="A6" s="64"/>
      <c r="B6" s="65"/>
      <c r="C6" s="66"/>
      <c r="D6" s="67"/>
      <c r="E6" s="67"/>
      <c r="F6" s="67"/>
      <c r="G6" s="68"/>
      <c r="H6" s="69"/>
      <c r="I6" s="68"/>
      <c r="J6" s="70"/>
      <c r="K6" s="67"/>
      <c r="L6" s="67"/>
      <c r="M6" s="67"/>
      <c r="N6" s="67"/>
      <c r="O6" s="67"/>
      <c r="P6" s="71"/>
      <c r="Q6" s="72" t="str">
        <f aca="false">IF(A6="","",IF(C6&lt;&gt;"",C6,IF(AND(D6&lt;&gt;"",D6&lt;=180),"Short","Long")))</f>
        <v/>
      </c>
      <c r="R6" s="73" t="str">
        <f aca="false">IF(OR(A6="",D6=""),"",D6/60)</f>
        <v/>
      </c>
      <c r="S6" s="72" t="str">
        <f aca="false">IF(OR(A6="",B6=""),"",IF(AND(B6&gt;=DATE(2026,4,1),B6&lt;=DATE(2026,6,30)),"Yes","No"))</f>
        <v/>
      </c>
      <c r="T6" s="72" t="str">
        <f aca="false">IF(OR(A6="",B6=""),"",CHOOSE(WEEKDAY(B6),"Sun","Mon","Tue","Wed","Thu","Fri","Sat"))</f>
        <v/>
      </c>
      <c r="U6" s="72" t="str">
        <f aca="false">IF(OR(Q6&lt;&gt;"Long",D6=""),"",IF(D6&lt;480,"Under 8 min",IF(D6&lt;900,"8–15 min",IF(D6&lt;1500,"15–25 min","25+ min"))))</f>
        <v/>
      </c>
      <c r="V6" s="74" t="str">
        <f aca="false">IF(OR(A6="",N(E6)=0),"",(N(K6)+N(L6))/E6*100)</f>
        <v/>
      </c>
      <c r="W6" s="73" t="str">
        <f aca="false">IF(OR(A6="",N(E6)=0),"",N(L6)/E6*1000)</f>
        <v/>
      </c>
      <c r="X6" s="75" t="str">
        <f aca="false">IF(A6="","",N(N6)-N(O6))</f>
        <v/>
      </c>
      <c r="Y6" s="73" t="str">
        <f aca="false">IF(OR(A6="",N(E6)=0),"",X6/E6*1000)</f>
        <v/>
      </c>
      <c r="Z6" s="72" t="str">
        <f aca="false">IF(OR(A6="",G6=""),"",IF(Q6="Short","n/a (Short)",IF(G6&gt;=Benchmarks!$E$5,"Elite",IF(G6&gt;=Benchmarks!$D$5,"Strong",IF(G6&gt;=Benchmarks!$C$5,"Average","Needs work")))))</f>
        <v/>
      </c>
      <c r="AA6" s="72" t="str">
        <f aca="false">IF(OR(A6="",I6=""),"",IF(Q6="Short",IF(I6&gt;=Benchmarks!$E$7,"Elite",IF(I6&gt;=Benchmarks!$D$7,"Strong",IF(I6&gt;=Benchmarks!$C$7,"Average","Needs work"))),IF(I6&gt;=Benchmarks!$E$6,"Elite",IF(I6&gt;=Benchmarks!$D$6,"Strong",IF(I6&gt;=Benchmarks!$C$6,"Average","Needs work")))))</f>
        <v/>
      </c>
      <c r="AB6" s="72" t="str">
        <f aca="false">IF(V6="","",IF(V6&gt;=Benchmarks!$E$8,"Elite",IF(V6&gt;=Benchmarks!$D$8,"Strong",IF(V6&gt;=Benchmarks!$C$8,"Average","Needs work"))))</f>
        <v/>
      </c>
      <c r="AC6" s="73" t="str">
        <f aca="false">IF(COUNT(AG6:AI6)=0,"",AVERAGE(AG6:AI6))</f>
        <v/>
      </c>
      <c r="AD6" s="37" t="str">
        <f aca="false">IF(A6="","",IF(Q6="Short",IF(AH6="","Add % viewed to diagnose",IF(AND(AH6&gt;=3,N(AI6)&gt;=3),"Winner Short — expand it into a long-form video",IF(AH6&lt;=1,"Hook problem — viewers swipe away in the first seconds",IF(AI6=1,"Watched but no reaction — end on a question or opinion","Solid Short — keep iterating")))),IF(OR(AG6="",AH6=""),"Add CTR &amp; % viewed to diagnose",IF(AND(AG6&gt;=3,AH6&gt;=3),"WINNER — make a sequel, series or Shorts from it",IF(AND(AG6&gt;=3,AH6&lt;=2),"Click but leave — intro too slow or title over-promises",IF(AND(AG6&lt;=2,AH6&gt;=3),"Great video, weak packaging — A/B test title + thumbnail",IF(AND(AG6=1,AH6=1),"Topic miss — don't repeat this angle","Average — sharpen the hook and the title")))))))</f>
        <v/>
      </c>
      <c r="AE6" s="76" t="str">
        <f aca="false">IF(OR(A6="",N(E6)=0),"",Q6&amp;"-"&amp;(COUNTIFS($Q$5:$Q$204,Q6,$E$5:$E$204,"&gt;"&amp;E6)+COUNTIFS($Q$5:Q6,Q6,$E$5:E6,E6)))</f>
        <v/>
      </c>
      <c r="AF6" s="77" t="str">
        <f aca="false">IF(AND(Q6="Long",N(F6)&gt;=Benchmarks!$C$15,G6&lt;&gt;""),G6,"")</f>
        <v/>
      </c>
      <c r="AG6" s="78" t="str">
        <f aca="false">IF(Z6="Elite",4,IF(Z6="Strong",3,IF(Z6="Average",2,IF(Z6="Needs work",1,""))))</f>
        <v/>
      </c>
      <c r="AH6" s="78" t="str">
        <f aca="false">IF(AA6="Elite",4,IF(AA6="Strong",3,IF(AA6="Average",2,IF(AA6="Needs work",1,""))))</f>
        <v/>
      </c>
      <c r="AI6" s="78" t="str">
        <f aca="false">IF(AB6="Elite",4,IF(AB6="Strong",3,IF(AB6="Average",2,IF(AB6="Needs work",1,""))))</f>
        <v/>
      </c>
    </row>
    <row r="7" customFormat="false" ht="15" hidden="false" customHeight="false" outlineLevel="0" collapsed="false">
      <c r="A7" s="64"/>
      <c r="B7" s="65"/>
      <c r="C7" s="66"/>
      <c r="D7" s="67"/>
      <c r="E7" s="67"/>
      <c r="F7" s="67"/>
      <c r="G7" s="68"/>
      <c r="H7" s="69"/>
      <c r="I7" s="68"/>
      <c r="J7" s="70"/>
      <c r="K7" s="67"/>
      <c r="L7" s="67"/>
      <c r="M7" s="67"/>
      <c r="N7" s="67"/>
      <c r="O7" s="67"/>
      <c r="P7" s="71"/>
      <c r="Q7" s="72" t="str">
        <f aca="false">IF(A7="","",IF(C7&lt;&gt;"",C7,IF(AND(D7&lt;&gt;"",D7&lt;=180),"Short","Long")))</f>
        <v/>
      </c>
      <c r="R7" s="73" t="str">
        <f aca="false">IF(OR(A7="",D7=""),"",D7/60)</f>
        <v/>
      </c>
      <c r="S7" s="72" t="str">
        <f aca="false">IF(OR(A7="",B7=""),"",IF(AND(B7&gt;=DATE(2026,4,1),B7&lt;=DATE(2026,6,30)),"Yes","No"))</f>
        <v/>
      </c>
      <c r="T7" s="72" t="str">
        <f aca="false">IF(OR(A7="",B7=""),"",CHOOSE(WEEKDAY(B7),"Sun","Mon","Tue","Wed","Thu","Fri","Sat"))</f>
        <v/>
      </c>
      <c r="U7" s="72" t="str">
        <f aca="false">IF(OR(Q7&lt;&gt;"Long",D7=""),"",IF(D7&lt;480,"Under 8 min",IF(D7&lt;900,"8–15 min",IF(D7&lt;1500,"15–25 min","25+ min"))))</f>
        <v/>
      </c>
      <c r="V7" s="74" t="str">
        <f aca="false">IF(OR(A7="",N(E7)=0),"",(N(K7)+N(L7))/E7*100)</f>
        <v/>
      </c>
      <c r="W7" s="73" t="str">
        <f aca="false">IF(OR(A7="",N(E7)=0),"",N(L7)/E7*1000)</f>
        <v/>
      </c>
      <c r="X7" s="75" t="str">
        <f aca="false">IF(A7="","",N(N7)-N(O7))</f>
        <v/>
      </c>
      <c r="Y7" s="73" t="str">
        <f aca="false">IF(OR(A7="",N(E7)=0),"",X7/E7*1000)</f>
        <v/>
      </c>
      <c r="Z7" s="72" t="str">
        <f aca="false">IF(OR(A7="",G7=""),"",IF(Q7="Short","n/a (Short)",IF(G7&gt;=Benchmarks!$E$5,"Elite",IF(G7&gt;=Benchmarks!$D$5,"Strong",IF(G7&gt;=Benchmarks!$C$5,"Average","Needs work")))))</f>
        <v/>
      </c>
      <c r="AA7" s="72" t="str">
        <f aca="false">IF(OR(A7="",I7=""),"",IF(Q7="Short",IF(I7&gt;=Benchmarks!$E$7,"Elite",IF(I7&gt;=Benchmarks!$D$7,"Strong",IF(I7&gt;=Benchmarks!$C$7,"Average","Needs work"))),IF(I7&gt;=Benchmarks!$E$6,"Elite",IF(I7&gt;=Benchmarks!$D$6,"Strong",IF(I7&gt;=Benchmarks!$C$6,"Average","Needs work")))))</f>
        <v/>
      </c>
      <c r="AB7" s="72" t="str">
        <f aca="false">IF(V7="","",IF(V7&gt;=Benchmarks!$E$8,"Elite",IF(V7&gt;=Benchmarks!$D$8,"Strong",IF(V7&gt;=Benchmarks!$C$8,"Average","Needs work"))))</f>
        <v/>
      </c>
      <c r="AC7" s="73" t="str">
        <f aca="false">IF(COUNT(AG7:AI7)=0,"",AVERAGE(AG7:AI7))</f>
        <v/>
      </c>
      <c r="AD7" s="37" t="str">
        <f aca="false">IF(A7="","",IF(Q7="Short",IF(AH7="","Add % viewed to diagnose",IF(AND(AH7&gt;=3,N(AI7)&gt;=3),"Winner Short — expand it into a long-form video",IF(AH7&lt;=1,"Hook problem — viewers swipe away in the first seconds",IF(AI7=1,"Watched but no reaction — end on a question or opinion","Solid Short — keep iterating")))),IF(OR(AG7="",AH7=""),"Add CTR &amp; % viewed to diagnose",IF(AND(AG7&gt;=3,AH7&gt;=3),"WINNER — make a sequel, series or Shorts from it",IF(AND(AG7&gt;=3,AH7&lt;=2),"Click but leave — intro too slow or title over-promises",IF(AND(AG7&lt;=2,AH7&gt;=3),"Great video, weak packaging — A/B test title + thumbnail",IF(AND(AG7=1,AH7=1),"Topic miss — don't repeat this angle","Average — sharpen the hook and the title")))))))</f>
        <v/>
      </c>
      <c r="AE7" s="76" t="str">
        <f aca="false">IF(OR(A7="",N(E7)=0),"",Q7&amp;"-"&amp;(COUNTIFS($Q$5:$Q$204,Q7,$E$5:$E$204,"&gt;"&amp;E7)+COUNTIFS($Q$5:Q7,Q7,$E$5:E7,E7)))</f>
        <v/>
      </c>
      <c r="AF7" s="77" t="str">
        <f aca="false">IF(AND(Q7="Long",N(F7)&gt;=Benchmarks!$C$15,G7&lt;&gt;""),G7,"")</f>
        <v/>
      </c>
      <c r="AG7" s="78" t="str">
        <f aca="false">IF(Z7="Elite",4,IF(Z7="Strong",3,IF(Z7="Average",2,IF(Z7="Needs work",1,""))))</f>
        <v/>
      </c>
      <c r="AH7" s="78" t="str">
        <f aca="false">IF(AA7="Elite",4,IF(AA7="Strong",3,IF(AA7="Average",2,IF(AA7="Needs work",1,""))))</f>
        <v/>
      </c>
      <c r="AI7" s="78" t="str">
        <f aca="false">IF(AB7="Elite",4,IF(AB7="Strong",3,IF(AB7="Average",2,IF(AB7="Needs work",1,""))))</f>
        <v/>
      </c>
    </row>
    <row r="8" customFormat="false" ht="15" hidden="false" customHeight="false" outlineLevel="0" collapsed="false">
      <c r="A8" s="64"/>
      <c r="B8" s="65"/>
      <c r="C8" s="66"/>
      <c r="D8" s="67"/>
      <c r="E8" s="67"/>
      <c r="F8" s="67"/>
      <c r="G8" s="68"/>
      <c r="H8" s="69"/>
      <c r="I8" s="68"/>
      <c r="J8" s="70"/>
      <c r="K8" s="67"/>
      <c r="L8" s="67"/>
      <c r="M8" s="67"/>
      <c r="N8" s="67"/>
      <c r="O8" s="67"/>
      <c r="P8" s="71"/>
      <c r="Q8" s="72" t="str">
        <f aca="false">IF(A8="","",IF(C8&lt;&gt;"",C8,IF(AND(D8&lt;&gt;"",D8&lt;=180),"Short","Long")))</f>
        <v/>
      </c>
      <c r="R8" s="73" t="str">
        <f aca="false">IF(OR(A8="",D8=""),"",D8/60)</f>
        <v/>
      </c>
      <c r="S8" s="72" t="str">
        <f aca="false">IF(OR(A8="",B8=""),"",IF(AND(B8&gt;=DATE(2026,4,1),B8&lt;=DATE(2026,6,30)),"Yes","No"))</f>
        <v/>
      </c>
      <c r="T8" s="72" t="str">
        <f aca="false">IF(OR(A8="",B8=""),"",CHOOSE(WEEKDAY(B8),"Sun","Mon","Tue","Wed","Thu","Fri","Sat"))</f>
        <v/>
      </c>
      <c r="U8" s="72" t="str">
        <f aca="false">IF(OR(Q8&lt;&gt;"Long",D8=""),"",IF(D8&lt;480,"Under 8 min",IF(D8&lt;900,"8–15 min",IF(D8&lt;1500,"15–25 min","25+ min"))))</f>
        <v/>
      </c>
      <c r="V8" s="74" t="str">
        <f aca="false">IF(OR(A8="",N(E8)=0),"",(N(K8)+N(L8))/E8*100)</f>
        <v/>
      </c>
      <c r="W8" s="73" t="str">
        <f aca="false">IF(OR(A8="",N(E8)=0),"",N(L8)/E8*1000)</f>
        <v/>
      </c>
      <c r="X8" s="75" t="str">
        <f aca="false">IF(A8="","",N(N8)-N(O8))</f>
        <v/>
      </c>
      <c r="Y8" s="73" t="str">
        <f aca="false">IF(OR(A8="",N(E8)=0),"",X8/E8*1000)</f>
        <v/>
      </c>
      <c r="Z8" s="72" t="str">
        <f aca="false">IF(OR(A8="",G8=""),"",IF(Q8="Short","n/a (Short)",IF(G8&gt;=Benchmarks!$E$5,"Elite",IF(G8&gt;=Benchmarks!$D$5,"Strong",IF(G8&gt;=Benchmarks!$C$5,"Average","Needs work")))))</f>
        <v/>
      </c>
      <c r="AA8" s="72" t="str">
        <f aca="false">IF(OR(A8="",I8=""),"",IF(Q8="Short",IF(I8&gt;=Benchmarks!$E$7,"Elite",IF(I8&gt;=Benchmarks!$D$7,"Strong",IF(I8&gt;=Benchmarks!$C$7,"Average","Needs work"))),IF(I8&gt;=Benchmarks!$E$6,"Elite",IF(I8&gt;=Benchmarks!$D$6,"Strong",IF(I8&gt;=Benchmarks!$C$6,"Average","Needs work")))))</f>
        <v/>
      </c>
      <c r="AB8" s="72" t="str">
        <f aca="false">IF(V8="","",IF(V8&gt;=Benchmarks!$E$8,"Elite",IF(V8&gt;=Benchmarks!$D$8,"Strong",IF(V8&gt;=Benchmarks!$C$8,"Average","Needs work"))))</f>
        <v/>
      </c>
      <c r="AC8" s="73" t="str">
        <f aca="false">IF(COUNT(AG8:AI8)=0,"",AVERAGE(AG8:AI8))</f>
        <v/>
      </c>
      <c r="AD8" s="37" t="str">
        <f aca="false">IF(A8="","",IF(Q8="Short",IF(AH8="","Add % viewed to diagnose",IF(AND(AH8&gt;=3,N(AI8)&gt;=3),"Winner Short — expand it into a long-form video",IF(AH8&lt;=1,"Hook problem — viewers swipe away in the first seconds",IF(AI8=1,"Watched but no reaction — end on a question or opinion","Solid Short — keep iterating")))),IF(OR(AG8="",AH8=""),"Add CTR &amp; % viewed to diagnose",IF(AND(AG8&gt;=3,AH8&gt;=3),"WINNER — make a sequel, series or Shorts from it",IF(AND(AG8&gt;=3,AH8&lt;=2),"Click but leave — intro too slow or title over-promises",IF(AND(AG8&lt;=2,AH8&gt;=3),"Great video, weak packaging — A/B test title + thumbnail",IF(AND(AG8=1,AH8=1),"Topic miss — don't repeat this angle","Average — sharpen the hook and the title")))))))</f>
        <v/>
      </c>
      <c r="AE8" s="76" t="str">
        <f aca="false">IF(OR(A8="",N(E8)=0),"",Q8&amp;"-"&amp;(COUNTIFS($Q$5:$Q$204,Q8,$E$5:$E$204,"&gt;"&amp;E8)+COUNTIFS($Q$5:Q8,Q8,$E$5:E8,E8)))</f>
        <v/>
      </c>
      <c r="AF8" s="77" t="str">
        <f aca="false">IF(AND(Q8="Long",N(F8)&gt;=Benchmarks!$C$15,G8&lt;&gt;""),G8,"")</f>
        <v/>
      </c>
      <c r="AG8" s="78" t="str">
        <f aca="false">IF(Z8="Elite",4,IF(Z8="Strong",3,IF(Z8="Average",2,IF(Z8="Needs work",1,""))))</f>
        <v/>
      </c>
      <c r="AH8" s="78" t="str">
        <f aca="false">IF(AA8="Elite",4,IF(AA8="Strong",3,IF(AA8="Average",2,IF(AA8="Needs work",1,""))))</f>
        <v/>
      </c>
      <c r="AI8" s="78" t="str">
        <f aca="false">IF(AB8="Elite",4,IF(AB8="Strong",3,IF(AB8="Average",2,IF(AB8="Needs work",1,""))))</f>
        <v/>
      </c>
    </row>
    <row r="9" customFormat="false" ht="15" hidden="false" customHeight="false" outlineLevel="0" collapsed="false">
      <c r="A9" s="64"/>
      <c r="B9" s="65"/>
      <c r="C9" s="66"/>
      <c r="D9" s="67"/>
      <c r="E9" s="67"/>
      <c r="F9" s="67"/>
      <c r="G9" s="68"/>
      <c r="H9" s="69"/>
      <c r="I9" s="68"/>
      <c r="J9" s="70"/>
      <c r="K9" s="67"/>
      <c r="L9" s="67"/>
      <c r="M9" s="67"/>
      <c r="N9" s="67"/>
      <c r="O9" s="67"/>
      <c r="P9" s="71"/>
      <c r="Q9" s="72" t="str">
        <f aca="false">IF(A9="","",IF(C9&lt;&gt;"",C9,IF(AND(D9&lt;&gt;"",D9&lt;=180),"Short","Long")))</f>
        <v/>
      </c>
      <c r="R9" s="73" t="str">
        <f aca="false">IF(OR(A9="",D9=""),"",D9/60)</f>
        <v/>
      </c>
      <c r="S9" s="72" t="str">
        <f aca="false">IF(OR(A9="",B9=""),"",IF(AND(B9&gt;=DATE(2026,4,1),B9&lt;=DATE(2026,6,30)),"Yes","No"))</f>
        <v/>
      </c>
      <c r="T9" s="72" t="str">
        <f aca="false">IF(OR(A9="",B9=""),"",CHOOSE(WEEKDAY(B9),"Sun","Mon","Tue","Wed","Thu","Fri","Sat"))</f>
        <v/>
      </c>
      <c r="U9" s="72" t="str">
        <f aca="false">IF(OR(Q9&lt;&gt;"Long",D9=""),"",IF(D9&lt;480,"Under 8 min",IF(D9&lt;900,"8–15 min",IF(D9&lt;1500,"15–25 min","25+ min"))))</f>
        <v/>
      </c>
      <c r="V9" s="74" t="str">
        <f aca="false">IF(OR(A9="",N(E9)=0),"",(N(K9)+N(L9))/E9*100)</f>
        <v/>
      </c>
      <c r="W9" s="73" t="str">
        <f aca="false">IF(OR(A9="",N(E9)=0),"",N(L9)/E9*1000)</f>
        <v/>
      </c>
      <c r="X9" s="75" t="str">
        <f aca="false">IF(A9="","",N(N9)-N(O9))</f>
        <v/>
      </c>
      <c r="Y9" s="73" t="str">
        <f aca="false">IF(OR(A9="",N(E9)=0),"",X9/E9*1000)</f>
        <v/>
      </c>
      <c r="Z9" s="72" t="str">
        <f aca="false">IF(OR(A9="",G9=""),"",IF(Q9="Short","n/a (Short)",IF(G9&gt;=Benchmarks!$E$5,"Elite",IF(G9&gt;=Benchmarks!$D$5,"Strong",IF(G9&gt;=Benchmarks!$C$5,"Average","Needs work")))))</f>
        <v/>
      </c>
      <c r="AA9" s="72" t="str">
        <f aca="false">IF(OR(A9="",I9=""),"",IF(Q9="Short",IF(I9&gt;=Benchmarks!$E$7,"Elite",IF(I9&gt;=Benchmarks!$D$7,"Strong",IF(I9&gt;=Benchmarks!$C$7,"Average","Needs work"))),IF(I9&gt;=Benchmarks!$E$6,"Elite",IF(I9&gt;=Benchmarks!$D$6,"Strong",IF(I9&gt;=Benchmarks!$C$6,"Average","Needs work")))))</f>
        <v/>
      </c>
      <c r="AB9" s="72" t="str">
        <f aca="false">IF(V9="","",IF(V9&gt;=Benchmarks!$E$8,"Elite",IF(V9&gt;=Benchmarks!$D$8,"Strong",IF(V9&gt;=Benchmarks!$C$8,"Average","Needs work"))))</f>
        <v/>
      </c>
      <c r="AC9" s="73" t="str">
        <f aca="false">IF(COUNT(AG9:AI9)=0,"",AVERAGE(AG9:AI9))</f>
        <v/>
      </c>
      <c r="AD9" s="37" t="str">
        <f aca="false">IF(A9="","",IF(Q9="Short",IF(AH9="","Add % viewed to diagnose",IF(AND(AH9&gt;=3,N(AI9)&gt;=3),"Winner Short — expand it into a long-form video",IF(AH9&lt;=1,"Hook problem — viewers swipe away in the first seconds",IF(AI9=1,"Watched but no reaction — end on a question or opinion","Solid Short — keep iterating")))),IF(OR(AG9="",AH9=""),"Add CTR &amp; % viewed to diagnose",IF(AND(AG9&gt;=3,AH9&gt;=3),"WINNER — make a sequel, series or Shorts from it",IF(AND(AG9&gt;=3,AH9&lt;=2),"Click but leave — intro too slow or title over-promises",IF(AND(AG9&lt;=2,AH9&gt;=3),"Great video, weak packaging — A/B test title + thumbnail",IF(AND(AG9=1,AH9=1),"Topic miss — don't repeat this angle","Average — sharpen the hook and the title")))))))</f>
        <v/>
      </c>
      <c r="AE9" s="76" t="str">
        <f aca="false">IF(OR(A9="",N(E9)=0),"",Q9&amp;"-"&amp;(COUNTIFS($Q$5:$Q$204,Q9,$E$5:$E$204,"&gt;"&amp;E9)+COUNTIFS($Q$5:Q9,Q9,$E$5:E9,E9)))</f>
        <v/>
      </c>
      <c r="AF9" s="77" t="str">
        <f aca="false">IF(AND(Q9="Long",N(F9)&gt;=Benchmarks!$C$15,G9&lt;&gt;""),G9,"")</f>
        <v/>
      </c>
      <c r="AG9" s="78" t="str">
        <f aca="false">IF(Z9="Elite",4,IF(Z9="Strong",3,IF(Z9="Average",2,IF(Z9="Needs work",1,""))))</f>
        <v/>
      </c>
      <c r="AH9" s="78" t="str">
        <f aca="false">IF(AA9="Elite",4,IF(AA9="Strong",3,IF(AA9="Average",2,IF(AA9="Needs work",1,""))))</f>
        <v/>
      </c>
      <c r="AI9" s="78" t="str">
        <f aca="false">IF(AB9="Elite",4,IF(AB9="Strong",3,IF(AB9="Average",2,IF(AB9="Needs work",1,""))))</f>
        <v/>
      </c>
    </row>
    <row r="10" customFormat="false" ht="15" hidden="false" customHeight="false" outlineLevel="0" collapsed="false">
      <c r="A10" s="64"/>
      <c r="B10" s="65"/>
      <c r="C10" s="66"/>
      <c r="D10" s="67"/>
      <c r="E10" s="67"/>
      <c r="F10" s="67"/>
      <c r="G10" s="68"/>
      <c r="H10" s="69"/>
      <c r="I10" s="68"/>
      <c r="J10" s="70"/>
      <c r="K10" s="67"/>
      <c r="L10" s="67"/>
      <c r="M10" s="67"/>
      <c r="N10" s="67"/>
      <c r="O10" s="67"/>
      <c r="P10" s="71"/>
      <c r="Q10" s="72" t="str">
        <f aca="false">IF(A10="","",IF(C10&lt;&gt;"",C10,IF(AND(D10&lt;&gt;"",D10&lt;=180),"Short","Long")))</f>
        <v/>
      </c>
      <c r="R10" s="73" t="str">
        <f aca="false">IF(OR(A10="",D10=""),"",D10/60)</f>
        <v/>
      </c>
      <c r="S10" s="72" t="str">
        <f aca="false">IF(OR(A10="",B10=""),"",IF(AND(B10&gt;=DATE(2026,4,1),B10&lt;=DATE(2026,6,30)),"Yes","No"))</f>
        <v/>
      </c>
      <c r="T10" s="72" t="str">
        <f aca="false">IF(OR(A10="",B10=""),"",CHOOSE(WEEKDAY(B10),"Sun","Mon","Tue","Wed","Thu","Fri","Sat"))</f>
        <v/>
      </c>
      <c r="U10" s="72" t="str">
        <f aca="false">IF(OR(Q10&lt;&gt;"Long",D10=""),"",IF(D10&lt;480,"Under 8 min",IF(D10&lt;900,"8–15 min",IF(D10&lt;1500,"15–25 min","25+ min"))))</f>
        <v/>
      </c>
      <c r="V10" s="74" t="str">
        <f aca="false">IF(OR(A10="",N(E10)=0),"",(N(K10)+N(L10))/E10*100)</f>
        <v/>
      </c>
      <c r="W10" s="73" t="str">
        <f aca="false">IF(OR(A10="",N(E10)=0),"",N(L10)/E10*1000)</f>
        <v/>
      </c>
      <c r="X10" s="75" t="str">
        <f aca="false">IF(A10="","",N(N10)-N(O10))</f>
        <v/>
      </c>
      <c r="Y10" s="73" t="str">
        <f aca="false">IF(OR(A10="",N(E10)=0),"",X10/E10*1000)</f>
        <v/>
      </c>
      <c r="Z10" s="72" t="str">
        <f aca="false">IF(OR(A10="",G10=""),"",IF(Q10="Short","n/a (Short)",IF(G10&gt;=Benchmarks!$E$5,"Elite",IF(G10&gt;=Benchmarks!$D$5,"Strong",IF(G10&gt;=Benchmarks!$C$5,"Average","Needs work")))))</f>
        <v/>
      </c>
      <c r="AA10" s="72" t="str">
        <f aca="false">IF(OR(A10="",I10=""),"",IF(Q10="Short",IF(I10&gt;=Benchmarks!$E$7,"Elite",IF(I10&gt;=Benchmarks!$D$7,"Strong",IF(I10&gt;=Benchmarks!$C$7,"Average","Needs work"))),IF(I10&gt;=Benchmarks!$E$6,"Elite",IF(I10&gt;=Benchmarks!$D$6,"Strong",IF(I10&gt;=Benchmarks!$C$6,"Average","Needs work")))))</f>
        <v/>
      </c>
      <c r="AB10" s="72" t="str">
        <f aca="false">IF(V10="","",IF(V10&gt;=Benchmarks!$E$8,"Elite",IF(V10&gt;=Benchmarks!$D$8,"Strong",IF(V10&gt;=Benchmarks!$C$8,"Average","Needs work"))))</f>
        <v/>
      </c>
      <c r="AC10" s="73" t="str">
        <f aca="false">IF(COUNT(AG10:AI10)=0,"",AVERAGE(AG10:AI10))</f>
        <v/>
      </c>
      <c r="AD10" s="37" t="str">
        <f aca="false">IF(A10="","",IF(Q10="Short",IF(AH10="","Add % viewed to diagnose",IF(AND(AH10&gt;=3,N(AI10)&gt;=3),"Winner Short — expand it into a long-form video",IF(AH10&lt;=1,"Hook problem — viewers swipe away in the first seconds",IF(AI10=1,"Watched but no reaction — end on a question or opinion","Solid Short — keep iterating")))),IF(OR(AG10="",AH10=""),"Add CTR &amp; % viewed to diagnose",IF(AND(AG10&gt;=3,AH10&gt;=3),"WINNER — make a sequel, series or Shorts from it",IF(AND(AG10&gt;=3,AH10&lt;=2),"Click but leave — intro too slow or title over-promises",IF(AND(AG10&lt;=2,AH10&gt;=3),"Great video, weak packaging — A/B test title + thumbnail",IF(AND(AG10=1,AH10=1),"Topic miss — don't repeat this angle","Average — sharpen the hook and the title")))))))</f>
        <v/>
      </c>
      <c r="AE10" s="76" t="str">
        <f aca="false">IF(OR(A10="",N(E10)=0),"",Q10&amp;"-"&amp;(COUNTIFS($Q$5:$Q$204,Q10,$E$5:$E$204,"&gt;"&amp;E10)+COUNTIFS($Q$5:Q10,Q10,$E$5:E10,E10)))</f>
        <v/>
      </c>
      <c r="AF10" s="77" t="str">
        <f aca="false">IF(AND(Q10="Long",N(F10)&gt;=Benchmarks!$C$15,G10&lt;&gt;""),G10,"")</f>
        <v/>
      </c>
      <c r="AG10" s="78" t="str">
        <f aca="false">IF(Z10="Elite",4,IF(Z10="Strong",3,IF(Z10="Average",2,IF(Z10="Needs work",1,""))))</f>
        <v/>
      </c>
      <c r="AH10" s="78" t="str">
        <f aca="false">IF(AA10="Elite",4,IF(AA10="Strong",3,IF(AA10="Average",2,IF(AA10="Needs work",1,""))))</f>
        <v/>
      </c>
      <c r="AI10" s="78" t="str">
        <f aca="false">IF(AB10="Elite",4,IF(AB10="Strong",3,IF(AB10="Average",2,IF(AB10="Needs work",1,""))))</f>
        <v/>
      </c>
    </row>
    <row r="11" customFormat="false" ht="15" hidden="false" customHeight="false" outlineLevel="0" collapsed="false">
      <c r="A11" s="64"/>
      <c r="B11" s="65"/>
      <c r="C11" s="66"/>
      <c r="D11" s="67"/>
      <c r="E11" s="67"/>
      <c r="F11" s="67"/>
      <c r="G11" s="68"/>
      <c r="H11" s="69"/>
      <c r="I11" s="68"/>
      <c r="J11" s="70"/>
      <c r="K11" s="67"/>
      <c r="L11" s="67"/>
      <c r="M11" s="67"/>
      <c r="N11" s="67"/>
      <c r="O11" s="67"/>
      <c r="P11" s="71"/>
      <c r="Q11" s="72" t="str">
        <f aca="false">IF(A11="","",IF(C11&lt;&gt;"",C11,IF(AND(D11&lt;&gt;"",D11&lt;=180),"Short","Long")))</f>
        <v/>
      </c>
      <c r="R11" s="73" t="str">
        <f aca="false">IF(OR(A11="",D11=""),"",D11/60)</f>
        <v/>
      </c>
      <c r="S11" s="72" t="str">
        <f aca="false">IF(OR(A11="",B11=""),"",IF(AND(B11&gt;=DATE(2026,4,1),B11&lt;=DATE(2026,6,30)),"Yes","No"))</f>
        <v/>
      </c>
      <c r="T11" s="72" t="str">
        <f aca="false">IF(OR(A11="",B11=""),"",CHOOSE(WEEKDAY(B11),"Sun","Mon","Tue","Wed","Thu","Fri","Sat"))</f>
        <v/>
      </c>
      <c r="U11" s="72" t="str">
        <f aca="false">IF(OR(Q11&lt;&gt;"Long",D11=""),"",IF(D11&lt;480,"Under 8 min",IF(D11&lt;900,"8–15 min",IF(D11&lt;1500,"15–25 min","25+ min"))))</f>
        <v/>
      </c>
      <c r="V11" s="74" t="str">
        <f aca="false">IF(OR(A11="",N(E11)=0),"",(N(K11)+N(L11))/E11*100)</f>
        <v/>
      </c>
      <c r="W11" s="73" t="str">
        <f aca="false">IF(OR(A11="",N(E11)=0),"",N(L11)/E11*1000)</f>
        <v/>
      </c>
      <c r="X11" s="75" t="str">
        <f aca="false">IF(A11="","",N(N11)-N(O11))</f>
        <v/>
      </c>
      <c r="Y11" s="73" t="str">
        <f aca="false">IF(OR(A11="",N(E11)=0),"",X11/E11*1000)</f>
        <v/>
      </c>
      <c r="Z11" s="72" t="str">
        <f aca="false">IF(OR(A11="",G11=""),"",IF(Q11="Short","n/a (Short)",IF(G11&gt;=Benchmarks!$E$5,"Elite",IF(G11&gt;=Benchmarks!$D$5,"Strong",IF(G11&gt;=Benchmarks!$C$5,"Average","Needs work")))))</f>
        <v/>
      </c>
      <c r="AA11" s="72" t="str">
        <f aca="false">IF(OR(A11="",I11=""),"",IF(Q11="Short",IF(I11&gt;=Benchmarks!$E$7,"Elite",IF(I11&gt;=Benchmarks!$D$7,"Strong",IF(I11&gt;=Benchmarks!$C$7,"Average","Needs work"))),IF(I11&gt;=Benchmarks!$E$6,"Elite",IF(I11&gt;=Benchmarks!$D$6,"Strong",IF(I11&gt;=Benchmarks!$C$6,"Average","Needs work")))))</f>
        <v/>
      </c>
      <c r="AB11" s="72" t="str">
        <f aca="false">IF(V11="","",IF(V11&gt;=Benchmarks!$E$8,"Elite",IF(V11&gt;=Benchmarks!$D$8,"Strong",IF(V11&gt;=Benchmarks!$C$8,"Average","Needs work"))))</f>
        <v/>
      </c>
      <c r="AC11" s="73" t="str">
        <f aca="false">IF(COUNT(AG11:AI11)=0,"",AVERAGE(AG11:AI11))</f>
        <v/>
      </c>
      <c r="AD11" s="37" t="str">
        <f aca="false">IF(A11="","",IF(Q11="Short",IF(AH11="","Add % viewed to diagnose",IF(AND(AH11&gt;=3,N(AI11)&gt;=3),"Winner Short — expand it into a long-form video",IF(AH11&lt;=1,"Hook problem — viewers swipe away in the first seconds",IF(AI11=1,"Watched but no reaction — end on a question or opinion","Solid Short — keep iterating")))),IF(OR(AG11="",AH11=""),"Add CTR &amp; % viewed to diagnose",IF(AND(AG11&gt;=3,AH11&gt;=3),"WINNER — make a sequel, series or Shorts from it",IF(AND(AG11&gt;=3,AH11&lt;=2),"Click but leave — intro too slow or title over-promises",IF(AND(AG11&lt;=2,AH11&gt;=3),"Great video, weak packaging — A/B test title + thumbnail",IF(AND(AG11=1,AH11=1),"Topic miss — don't repeat this angle","Average — sharpen the hook and the title")))))))</f>
        <v/>
      </c>
      <c r="AE11" s="76" t="str">
        <f aca="false">IF(OR(A11="",N(E11)=0),"",Q11&amp;"-"&amp;(COUNTIFS($Q$5:$Q$204,Q11,$E$5:$E$204,"&gt;"&amp;E11)+COUNTIFS($Q$5:Q11,Q11,$E$5:E11,E11)))</f>
        <v/>
      </c>
      <c r="AF11" s="77" t="str">
        <f aca="false">IF(AND(Q11="Long",N(F11)&gt;=Benchmarks!$C$15,G11&lt;&gt;""),G11,"")</f>
        <v/>
      </c>
      <c r="AG11" s="78" t="str">
        <f aca="false">IF(Z11="Elite",4,IF(Z11="Strong",3,IF(Z11="Average",2,IF(Z11="Needs work",1,""))))</f>
        <v/>
      </c>
      <c r="AH11" s="78" t="str">
        <f aca="false">IF(AA11="Elite",4,IF(AA11="Strong",3,IF(AA11="Average",2,IF(AA11="Needs work",1,""))))</f>
        <v/>
      </c>
      <c r="AI11" s="78" t="str">
        <f aca="false">IF(AB11="Elite",4,IF(AB11="Strong",3,IF(AB11="Average",2,IF(AB11="Needs work",1,""))))</f>
        <v/>
      </c>
    </row>
    <row r="12" customFormat="false" ht="15" hidden="false" customHeight="false" outlineLevel="0" collapsed="false">
      <c r="A12" s="64"/>
      <c r="B12" s="65"/>
      <c r="C12" s="66"/>
      <c r="D12" s="67"/>
      <c r="E12" s="67"/>
      <c r="F12" s="67"/>
      <c r="G12" s="68"/>
      <c r="H12" s="69"/>
      <c r="I12" s="68"/>
      <c r="J12" s="70"/>
      <c r="K12" s="67"/>
      <c r="L12" s="67"/>
      <c r="M12" s="67"/>
      <c r="N12" s="67"/>
      <c r="O12" s="67"/>
      <c r="P12" s="71"/>
      <c r="Q12" s="72" t="str">
        <f aca="false">IF(A12="","",IF(C12&lt;&gt;"",C12,IF(AND(D12&lt;&gt;"",D12&lt;=180),"Short","Long")))</f>
        <v/>
      </c>
      <c r="R12" s="73" t="str">
        <f aca="false">IF(OR(A12="",D12=""),"",D12/60)</f>
        <v/>
      </c>
      <c r="S12" s="72" t="str">
        <f aca="false">IF(OR(A12="",B12=""),"",IF(AND(B12&gt;=DATE(2026,4,1),B12&lt;=DATE(2026,6,30)),"Yes","No"))</f>
        <v/>
      </c>
      <c r="T12" s="72" t="str">
        <f aca="false">IF(OR(A12="",B12=""),"",CHOOSE(WEEKDAY(B12),"Sun","Mon","Tue","Wed","Thu","Fri","Sat"))</f>
        <v/>
      </c>
      <c r="U12" s="72" t="str">
        <f aca="false">IF(OR(Q12&lt;&gt;"Long",D12=""),"",IF(D12&lt;480,"Under 8 min",IF(D12&lt;900,"8–15 min",IF(D12&lt;1500,"15–25 min","25+ min"))))</f>
        <v/>
      </c>
      <c r="V12" s="74" t="str">
        <f aca="false">IF(OR(A12="",N(E12)=0),"",(N(K12)+N(L12))/E12*100)</f>
        <v/>
      </c>
      <c r="W12" s="73" t="str">
        <f aca="false">IF(OR(A12="",N(E12)=0),"",N(L12)/E12*1000)</f>
        <v/>
      </c>
      <c r="X12" s="75" t="str">
        <f aca="false">IF(A12="","",N(N12)-N(O12))</f>
        <v/>
      </c>
      <c r="Y12" s="73" t="str">
        <f aca="false">IF(OR(A12="",N(E12)=0),"",X12/E12*1000)</f>
        <v/>
      </c>
      <c r="Z12" s="72" t="str">
        <f aca="false">IF(OR(A12="",G12=""),"",IF(Q12="Short","n/a (Short)",IF(G12&gt;=Benchmarks!$E$5,"Elite",IF(G12&gt;=Benchmarks!$D$5,"Strong",IF(G12&gt;=Benchmarks!$C$5,"Average","Needs work")))))</f>
        <v/>
      </c>
      <c r="AA12" s="72" t="str">
        <f aca="false">IF(OR(A12="",I12=""),"",IF(Q12="Short",IF(I12&gt;=Benchmarks!$E$7,"Elite",IF(I12&gt;=Benchmarks!$D$7,"Strong",IF(I12&gt;=Benchmarks!$C$7,"Average","Needs work"))),IF(I12&gt;=Benchmarks!$E$6,"Elite",IF(I12&gt;=Benchmarks!$D$6,"Strong",IF(I12&gt;=Benchmarks!$C$6,"Average","Needs work")))))</f>
        <v/>
      </c>
      <c r="AB12" s="72" t="str">
        <f aca="false">IF(V12="","",IF(V12&gt;=Benchmarks!$E$8,"Elite",IF(V12&gt;=Benchmarks!$D$8,"Strong",IF(V12&gt;=Benchmarks!$C$8,"Average","Needs work"))))</f>
        <v/>
      </c>
      <c r="AC12" s="73" t="str">
        <f aca="false">IF(COUNT(AG12:AI12)=0,"",AVERAGE(AG12:AI12))</f>
        <v/>
      </c>
      <c r="AD12" s="37" t="str">
        <f aca="false">IF(A12="","",IF(Q12="Short",IF(AH12="","Add % viewed to diagnose",IF(AND(AH12&gt;=3,N(AI12)&gt;=3),"Winner Short — expand it into a long-form video",IF(AH12&lt;=1,"Hook problem — viewers swipe away in the first seconds",IF(AI12=1,"Watched but no reaction — end on a question or opinion","Solid Short — keep iterating")))),IF(OR(AG12="",AH12=""),"Add CTR &amp; % viewed to diagnose",IF(AND(AG12&gt;=3,AH12&gt;=3),"WINNER — make a sequel, series or Shorts from it",IF(AND(AG12&gt;=3,AH12&lt;=2),"Click but leave — intro too slow or title over-promises",IF(AND(AG12&lt;=2,AH12&gt;=3),"Great video, weak packaging — A/B test title + thumbnail",IF(AND(AG12=1,AH12=1),"Topic miss — don't repeat this angle","Average — sharpen the hook and the title")))))))</f>
        <v/>
      </c>
      <c r="AE12" s="76" t="str">
        <f aca="false">IF(OR(A12="",N(E12)=0),"",Q12&amp;"-"&amp;(COUNTIFS($Q$5:$Q$204,Q12,$E$5:$E$204,"&gt;"&amp;E12)+COUNTIFS($Q$5:Q12,Q12,$E$5:E12,E12)))</f>
        <v/>
      </c>
      <c r="AF12" s="77" t="str">
        <f aca="false">IF(AND(Q12="Long",N(F12)&gt;=Benchmarks!$C$15,G12&lt;&gt;""),G12,"")</f>
        <v/>
      </c>
      <c r="AG12" s="78" t="str">
        <f aca="false">IF(Z12="Elite",4,IF(Z12="Strong",3,IF(Z12="Average",2,IF(Z12="Needs work",1,""))))</f>
        <v/>
      </c>
      <c r="AH12" s="78" t="str">
        <f aca="false">IF(AA12="Elite",4,IF(AA12="Strong",3,IF(AA12="Average",2,IF(AA12="Needs work",1,""))))</f>
        <v/>
      </c>
      <c r="AI12" s="78" t="str">
        <f aca="false">IF(AB12="Elite",4,IF(AB12="Strong",3,IF(AB12="Average",2,IF(AB12="Needs work",1,""))))</f>
        <v/>
      </c>
    </row>
    <row r="13" customFormat="false" ht="15" hidden="false" customHeight="false" outlineLevel="0" collapsed="false">
      <c r="A13" s="64"/>
      <c r="B13" s="65"/>
      <c r="C13" s="66"/>
      <c r="D13" s="67"/>
      <c r="E13" s="67"/>
      <c r="F13" s="67"/>
      <c r="G13" s="68"/>
      <c r="H13" s="69"/>
      <c r="I13" s="68"/>
      <c r="J13" s="70"/>
      <c r="K13" s="67"/>
      <c r="L13" s="67"/>
      <c r="M13" s="67"/>
      <c r="N13" s="67"/>
      <c r="O13" s="67"/>
      <c r="P13" s="71"/>
      <c r="Q13" s="72" t="str">
        <f aca="false">IF(A13="","",IF(C13&lt;&gt;"",C13,IF(AND(D13&lt;&gt;"",D13&lt;=180),"Short","Long")))</f>
        <v/>
      </c>
      <c r="R13" s="73" t="str">
        <f aca="false">IF(OR(A13="",D13=""),"",D13/60)</f>
        <v/>
      </c>
      <c r="S13" s="72" t="str">
        <f aca="false">IF(OR(A13="",B13=""),"",IF(AND(B13&gt;=DATE(2026,4,1),B13&lt;=DATE(2026,6,30)),"Yes","No"))</f>
        <v/>
      </c>
      <c r="T13" s="72" t="str">
        <f aca="false">IF(OR(A13="",B13=""),"",CHOOSE(WEEKDAY(B13),"Sun","Mon","Tue","Wed","Thu","Fri","Sat"))</f>
        <v/>
      </c>
      <c r="U13" s="72" t="str">
        <f aca="false">IF(OR(Q13&lt;&gt;"Long",D13=""),"",IF(D13&lt;480,"Under 8 min",IF(D13&lt;900,"8–15 min",IF(D13&lt;1500,"15–25 min","25+ min"))))</f>
        <v/>
      </c>
      <c r="V13" s="74" t="str">
        <f aca="false">IF(OR(A13="",N(E13)=0),"",(N(K13)+N(L13))/E13*100)</f>
        <v/>
      </c>
      <c r="W13" s="73" t="str">
        <f aca="false">IF(OR(A13="",N(E13)=0),"",N(L13)/E13*1000)</f>
        <v/>
      </c>
      <c r="X13" s="75" t="str">
        <f aca="false">IF(A13="","",N(N13)-N(O13))</f>
        <v/>
      </c>
      <c r="Y13" s="73" t="str">
        <f aca="false">IF(OR(A13="",N(E13)=0),"",X13/E13*1000)</f>
        <v/>
      </c>
      <c r="Z13" s="72" t="str">
        <f aca="false">IF(OR(A13="",G13=""),"",IF(Q13="Short","n/a (Short)",IF(G13&gt;=Benchmarks!$E$5,"Elite",IF(G13&gt;=Benchmarks!$D$5,"Strong",IF(G13&gt;=Benchmarks!$C$5,"Average","Needs work")))))</f>
        <v/>
      </c>
      <c r="AA13" s="72" t="str">
        <f aca="false">IF(OR(A13="",I13=""),"",IF(Q13="Short",IF(I13&gt;=Benchmarks!$E$7,"Elite",IF(I13&gt;=Benchmarks!$D$7,"Strong",IF(I13&gt;=Benchmarks!$C$7,"Average","Needs work"))),IF(I13&gt;=Benchmarks!$E$6,"Elite",IF(I13&gt;=Benchmarks!$D$6,"Strong",IF(I13&gt;=Benchmarks!$C$6,"Average","Needs work")))))</f>
        <v/>
      </c>
      <c r="AB13" s="72" t="str">
        <f aca="false">IF(V13="","",IF(V13&gt;=Benchmarks!$E$8,"Elite",IF(V13&gt;=Benchmarks!$D$8,"Strong",IF(V13&gt;=Benchmarks!$C$8,"Average","Needs work"))))</f>
        <v/>
      </c>
      <c r="AC13" s="73" t="str">
        <f aca="false">IF(COUNT(AG13:AI13)=0,"",AVERAGE(AG13:AI13))</f>
        <v/>
      </c>
      <c r="AD13" s="37" t="str">
        <f aca="false">IF(A13="","",IF(Q13="Short",IF(AH13="","Add % viewed to diagnose",IF(AND(AH13&gt;=3,N(AI13)&gt;=3),"Winner Short — expand it into a long-form video",IF(AH13&lt;=1,"Hook problem — viewers swipe away in the first seconds",IF(AI13=1,"Watched but no reaction — end on a question or opinion","Solid Short — keep iterating")))),IF(OR(AG13="",AH13=""),"Add CTR &amp; % viewed to diagnose",IF(AND(AG13&gt;=3,AH13&gt;=3),"WINNER — make a sequel, series or Shorts from it",IF(AND(AG13&gt;=3,AH13&lt;=2),"Click but leave — intro too slow or title over-promises",IF(AND(AG13&lt;=2,AH13&gt;=3),"Great video, weak packaging — A/B test title + thumbnail",IF(AND(AG13=1,AH13=1),"Topic miss — don't repeat this angle","Average — sharpen the hook and the title")))))))</f>
        <v/>
      </c>
      <c r="AE13" s="76" t="str">
        <f aca="false">IF(OR(A13="",N(E13)=0),"",Q13&amp;"-"&amp;(COUNTIFS($Q$5:$Q$204,Q13,$E$5:$E$204,"&gt;"&amp;E13)+COUNTIFS($Q$5:Q13,Q13,$E$5:E13,E13)))</f>
        <v/>
      </c>
      <c r="AF13" s="77" t="str">
        <f aca="false">IF(AND(Q13="Long",N(F13)&gt;=Benchmarks!$C$15,G13&lt;&gt;""),G13,"")</f>
        <v/>
      </c>
      <c r="AG13" s="78" t="str">
        <f aca="false">IF(Z13="Elite",4,IF(Z13="Strong",3,IF(Z13="Average",2,IF(Z13="Needs work",1,""))))</f>
        <v/>
      </c>
      <c r="AH13" s="78" t="str">
        <f aca="false">IF(AA13="Elite",4,IF(AA13="Strong",3,IF(AA13="Average",2,IF(AA13="Needs work",1,""))))</f>
        <v/>
      </c>
      <c r="AI13" s="78" t="str">
        <f aca="false">IF(AB13="Elite",4,IF(AB13="Strong",3,IF(AB13="Average",2,IF(AB13="Needs work",1,""))))</f>
        <v/>
      </c>
    </row>
    <row r="14" customFormat="false" ht="15" hidden="false" customHeight="false" outlineLevel="0" collapsed="false">
      <c r="A14" s="64"/>
      <c r="B14" s="65"/>
      <c r="C14" s="66"/>
      <c r="D14" s="67"/>
      <c r="E14" s="67"/>
      <c r="F14" s="67"/>
      <c r="G14" s="68"/>
      <c r="H14" s="69"/>
      <c r="I14" s="68"/>
      <c r="J14" s="70"/>
      <c r="K14" s="67"/>
      <c r="L14" s="67"/>
      <c r="M14" s="67"/>
      <c r="N14" s="67"/>
      <c r="O14" s="67"/>
      <c r="P14" s="71"/>
      <c r="Q14" s="72" t="str">
        <f aca="false">IF(A14="","",IF(C14&lt;&gt;"",C14,IF(AND(D14&lt;&gt;"",D14&lt;=180),"Short","Long")))</f>
        <v/>
      </c>
      <c r="R14" s="73" t="str">
        <f aca="false">IF(OR(A14="",D14=""),"",D14/60)</f>
        <v/>
      </c>
      <c r="S14" s="72" t="str">
        <f aca="false">IF(OR(A14="",B14=""),"",IF(AND(B14&gt;=DATE(2026,4,1),B14&lt;=DATE(2026,6,30)),"Yes","No"))</f>
        <v/>
      </c>
      <c r="T14" s="72" t="str">
        <f aca="false">IF(OR(A14="",B14=""),"",CHOOSE(WEEKDAY(B14),"Sun","Mon","Tue","Wed","Thu","Fri","Sat"))</f>
        <v/>
      </c>
      <c r="U14" s="72" t="str">
        <f aca="false">IF(OR(Q14&lt;&gt;"Long",D14=""),"",IF(D14&lt;480,"Under 8 min",IF(D14&lt;900,"8–15 min",IF(D14&lt;1500,"15–25 min","25+ min"))))</f>
        <v/>
      </c>
      <c r="V14" s="74" t="str">
        <f aca="false">IF(OR(A14="",N(E14)=0),"",(N(K14)+N(L14))/E14*100)</f>
        <v/>
      </c>
      <c r="W14" s="73" t="str">
        <f aca="false">IF(OR(A14="",N(E14)=0),"",N(L14)/E14*1000)</f>
        <v/>
      </c>
      <c r="X14" s="75" t="str">
        <f aca="false">IF(A14="","",N(N14)-N(O14))</f>
        <v/>
      </c>
      <c r="Y14" s="73" t="str">
        <f aca="false">IF(OR(A14="",N(E14)=0),"",X14/E14*1000)</f>
        <v/>
      </c>
      <c r="Z14" s="72" t="str">
        <f aca="false">IF(OR(A14="",G14=""),"",IF(Q14="Short","n/a (Short)",IF(G14&gt;=Benchmarks!$E$5,"Elite",IF(G14&gt;=Benchmarks!$D$5,"Strong",IF(G14&gt;=Benchmarks!$C$5,"Average","Needs work")))))</f>
        <v/>
      </c>
      <c r="AA14" s="72" t="str">
        <f aca="false">IF(OR(A14="",I14=""),"",IF(Q14="Short",IF(I14&gt;=Benchmarks!$E$7,"Elite",IF(I14&gt;=Benchmarks!$D$7,"Strong",IF(I14&gt;=Benchmarks!$C$7,"Average","Needs work"))),IF(I14&gt;=Benchmarks!$E$6,"Elite",IF(I14&gt;=Benchmarks!$D$6,"Strong",IF(I14&gt;=Benchmarks!$C$6,"Average","Needs work")))))</f>
        <v/>
      </c>
      <c r="AB14" s="72" t="str">
        <f aca="false">IF(V14="","",IF(V14&gt;=Benchmarks!$E$8,"Elite",IF(V14&gt;=Benchmarks!$D$8,"Strong",IF(V14&gt;=Benchmarks!$C$8,"Average","Needs work"))))</f>
        <v/>
      </c>
      <c r="AC14" s="73" t="str">
        <f aca="false">IF(COUNT(AG14:AI14)=0,"",AVERAGE(AG14:AI14))</f>
        <v/>
      </c>
      <c r="AD14" s="37" t="str">
        <f aca="false">IF(A14="","",IF(Q14="Short",IF(AH14="","Add % viewed to diagnose",IF(AND(AH14&gt;=3,N(AI14)&gt;=3),"Winner Short — expand it into a long-form video",IF(AH14&lt;=1,"Hook problem — viewers swipe away in the first seconds",IF(AI14=1,"Watched but no reaction — end on a question or opinion","Solid Short — keep iterating")))),IF(OR(AG14="",AH14=""),"Add CTR &amp; % viewed to diagnose",IF(AND(AG14&gt;=3,AH14&gt;=3),"WINNER — make a sequel, series or Shorts from it",IF(AND(AG14&gt;=3,AH14&lt;=2),"Click but leave — intro too slow or title over-promises",IF(AND(AG14&lt;=2,AH14&gt;=3),"Great video, weak packaging — A/B test title + thumbnail",IF(AND(AG14=1,AH14=1),"Topic miss — don't repeat this angle","Average — sharpen the hook and the title")))))))</f>
        <v/>
      </c>
      <c r="AE14" s="76" t="str">
        <f aca="false">IF(OR(A14="",N(E14)=0),"",Q14&amp;"-"&amp;(COUNTIFS($Q$5:$Q$204,Q14,$E$5:$E$204,"&gt;"&amp;E14)+COUNTIFS($Q$5:Q14,Q14,$E$5:E14,E14)))</f>
        <v/>
      </c>
      <c r="AF14" s="77" t="str">
        <f aca="false">IF(AND(Q14="Long",N(F14)&gt;=Benchmarks!$C$15,G14&lt;&gt;""),G14,"")</f>
        <v/>
      </c>
      <c r="AG14" s="78" t="str">
        <f aca="false">IF(Z14="Elite",4,IF(Z14="Strong",3,IF(Z14="Average",2,IF(Z14="Needs work",1,""))))</f>
        <v/>
      </c>
      <c r="AH14" s="78" t="str">
        <f aca="false">IF(AA14="Elite",4,IF(AA14="Strong",3,IF(AA14="Average",2,IF(AA14="Needs work",1,""))))</f>
        <v/>
      </c>
      <c r="AI14" s="78" t="str">
        <f aca="false">IF(AB14="Elite",4,IF(AB14="Strong",3,IF(AB14="Average",2,IF(AB14="Needs work",1,""))))</f>
        <v/>
      </c>
    </row>
    <row r="15" customFormat="false" ht="15" hidden="false" customHeight="false" outlineLevel="0" collapsed="false">
      <c r="A15" s="64"/>
      <c r="B15" s="65"/>
      <c r="C15" s="66"/>
      <c r="D15" s="67"/>
      <c r="E15" s="67"/>
      <c r="F15" s="67"/>
      <c r="G15" s="68"/>
      <c r="H15" s="69"/>
      <c r="I15" s="68"/>
      <c r="J15" s="70"/>
      <c r="K15" s="67"/>
      <c r="L15" s="67"/>
      <c r="M15" s="67"/>
      <c r="N15" s="67"/>
      <c r="O15" s="67"/>
      <c r="P15" s="71"/>
      <c r="Q15" s="72" t="str">
        <f aca="false">IF(A15="","",IF(C15&lt;&gt;"",C15,IF(AND(D15&lt;&gt;"",D15&lt;=180),"Short","Long")))</f>
        <v/>
      </c>
      <c r="R15" s="73" t="str">
        <f aca="false">IF(OR(A15="",D15=""),"",D15/60)</f>
        <v/>
      </c>
      <c r="S15" s="72" t="str">
        <f aca="false">IF(OR(A15="",B15=""),"",IF(AND(B15&gt;=DATE(2026,4,1),B15&lt;=DATE(2026,6,30)),"Yes","No"))</f>
        <v/>
      </c>
      <c r="T15" s="72" t="str">
        <f aca="false">IF(OR(A15="",B15=""),"",CHOOSE(WEEKDAY(B15),"Sun","Mon","Tue","Wed","Thu","Fri","Sat"))</f>
        <v/>
      </c>
      <c r="U15" s="72" t="str">
        <f aca="false">IF(OR(Q15&lt;&gt;"Long",D15=""),"",IF(D15&lt;480,"Under 8 min",IF(D15&lt;900,"8–15 min",IF(D15&lt;1500,"15–25 min","25+ min"))))</f>
        <v/>
      </c>
      <c r="V15" s="74" t="str">
        <f aca="false">IF(OR(A15="",N(E15)=0),"",(N(K15)+N(L15))/E15*100)</f>
        <v/>
      </c>
      <c r="W15" s="73" t="str">
        <f aca="false">IF(OR(A15="",N(E15)=0),"",N(L15)/E15*1000)</f>
        <v/>
      </c>
      <c r="X15" s="75" t="str">
        <f aca="false">IF(A15="","",N(N15)-N(O15))</f>
        <v/>
      </c>
      <c r="Y15" s="73" t="str">
        <f aca="false">IF(OR(A15="",N(E15)=0),"",X15/E15*1000)</f>
        <v/>
      </c>
      <c r="Z15" s="72" t="str">
        <f aca="false">IF(OR(A15="",G15=""),"",IF(Q15="Short","n/a (Short)",IF(G15&gt;=Benchmarks!$E$5,"Elite",IF(G15&gt;=Benchmarks!$D$5,"Strong",IF(G15&gt;=Benchmarks!$C$5,"Average","Needs work")))))</f>
        <v/>
      </c>
      <c r="AA15" s="72" t="str">
        <f aca="false">IF(OR(A15="",I15=""),"",IF(Q15="Short",IF(I15&gt;=Benchmarks!$E$7,"Elite",IF(I15&gt;=Benchmarks!$D$7,"Strong",IF(I15&gt;=Benchmarks!$C$7,"Average","Needs work"))),IF(I15&gt;=Benchmarks!$E$6,"Elite",IF(I15&gt;=Benchmarks!$D$6,"Strong",IF(I15&gt;=Benchmarks!$C$6,"Average","Needs work")))))</f>
        <v/>
      </c>
      <c r="AB15" s="72" t="str">
        <f aca="false">IF(V15="","",IF(V15&gt;=Benchmarks!$E$8,"Elite",IF(V15&gt;=Benchmarks!$D$8,"Strong",IF(V15&gt;=Benchmarks!$C$8,"Average","Needs work"))))</f>
        <v/>
      </c>
      <c r="AC15" s="73" t="str">
        <f aca="false">IF(COUNT(AG15:AI15)=0,"",AVERAGE(AG15:AI15))</f>
        <v/>
      </c>
      <c r="AD15" s="37" t="str">
        <f aca="false">IF(A15="","",IF(Q15="Short",IF(AH15="","Add % viewed to diagnose",IF(AND(AH15&gt;=3,N(AI15)&gt;=3),"Winner Short — expand it into a long-form video",IF(AH15&lt;=1,"Hook problem — viewers swipe away in the first seconds",IF(AI15=1,"Watched but no reaction — end on a question or opinion","Solid Short — keep iterating")))),IF(OR(AG15="",AH15=""),"Add CTR &amp; % viewed to diagnose",IF(AND(AG15&gt;=3,AH15&gt;=3),"WINNER — make a sequel, series or Shorts from it",IF(AND(AG15&gt;=3,AH15&lt;=2),"Click but leave — intro too slow or title over-promises",IF(AND(AG15&lt;=2,AH15&gt;=3),"Great video, weak packaging — A/B test title + thumbnail",IF(AND(AG15=1,AH15=1),"Topic miss — don't repeat this angle","Average — sharpen the hook and the title")))))))</f>
        <v/>
      </c>
      <c r="AE15" s="76" t="str">
        <f aca="false">IF(OR(A15="",N(E15)=0),"",Q15&amp;"-"&amp;(COUNTIFS($Q$5:$Q$204,Q15,$E$5:$E$204,"&gt;"&amp;E15)+COUNTIFS($Q$5:Q15,Q15,$E$5:E15,E15)))</f>
        <v/>
      </c>
      <c r="AF15" s="77" t="str">
        <f aca="false">IF(AND(Q15="Long",N(F15)&gt;=Benchmarks!$C$15,G15&lt;&gt;""),G15,"")</f>
        <v/>
      </c>
      <c r="AG15" s="78" t="str">
        <f aca="false">IF(Z15="Elite",4,IF(Z15="Strong",3,IF(Z15="Average",2,IF(Z15="Needs work",1,""))))</f>
        <v/>
      </c>
      <c r="AH15" s="78" t="str">
        <f aca="false">IF(AA15="Elite",4,IF(AA15="Strong",3,IF(AA15="Average",2,IF(AA15="Needs work",1,""))))</f>
        <v/>
      </c>
      <c r="AI15" s="78" t="str">
        <f aca="false">IF(AB15="Elite",4,IF(AB15="Strong",3,IF(AB15="Average",2,IF(AB15="Needs work",1,""))))</f>
        <v/>
      </c>
    </row>
    <row r="16" customFormat="false" ht="15" hidden="false" customHeight="false" outlineLevel="0" collapsed="false">
      <c r="A16" s="64"/>
      <c r="B16" s="65"/>
      <c r="C16" s="66"/>
      <c r="D16" s="67"/>
      <c r="E16" s="67"/>
      <c r="F16" s="67"/>
      <c r="G16" s="68"/>
      <c r="H16" s="69"/>
      <c r="I16" s="68"/>
      <c r="J16" s="70"/>
      <c r="K16" s="67"/>
      <c r="L16" s="67"/>
      <c r="M16" s="67"/>
      <c r="N16" s="67"/>
      <c r="O16" s="67"/>
      <c r="P16" s="71"/>
      <c r="Q16" s="72" t="str">
        <f aca="false">IF(A16="","",IF(C16&lt;&gt;"",C16,IF(AND(D16&lt;&gt;"",D16&lt;=180),"Short","Long")))</f>
        <v/>
      </c>
      <c r="R16" s="73" t="str">
        <f aca="false">IF(OR(A16="",D16=""),"",D16/60)</f>
        <v/>
      </c>
      <c r="S16" s="72" t="str">
        <f aca="false">IF(OR(A16="",B16=""),"",IF(AND(B16&gt;=DATE(2026,4,1),B16&lt;=DATE(2026,6,30)),"Yes","No"))</f>
        <v/>
      </c>
      <c r="T16" s="72" t="str">
        <f aca="false">IF(OR(A16="",B16=""),"",CHOOSE(WEEKDAY(B16),"Sun","Mon","Tue","Wed","Thu","Fri","Sat"))</f>
        <v/>
      </c>
      <c r="U16" s="72" t="str">
        <f aca="false">IF(OR(Q16&lt;&gt;"Long",D16=""),"",IF(D16&lt;480,"Under 8 min",IF(D16&lt;900,"8–15 min",IF(D16&lt;1500,"15–25 min","25+ min"))))</f>
        <v/>
      </c>
      <c r="V16" s="74" t="str">
        <f aca="false">IF(OR(A16="",N(E16)=0),"",(N(K16)+N(L16))/E16*100)</f>
        <v/>
      </c>
      <c r="W16" s="73" t="str">
        <f aca="false">IF(OR(A16="",N(E16)=0),"",N(L16)/E16*1000)</f>
        <v/>
      </c>
      <c r="X16" s="75" t="str">
        <f aca="false">IF(A16="","",N(N16)-N(O16))</f>
        <v/>
      </c>
      <c r="Y16" s="73" t="str">
        <f aca="false">IF(OR(A16="",N(E16)=0),"",X16/E16*1000)</f>
        <v/>
      </c>
      <c r="Z16" s="72" t="str">
        <f aca="false">IF(OR(A16="",G16=""),"",IF(Q16="Short","n/a (Short)",IF(G16&gt;=Benchmarks!$E$5,"Elite",IF(G16&gt;=Benchmarks!$D$5,"Strong",IF(G16&gt;=Benchmarks!$C$5,"Average","Needs work")))))</f>
        <v/>
      </c>
      <c r="AA16" s="72" t="str">
        <f aca="false">IF(OR(A16="",I16=""),"",IF(Q16="Short",IF(I16&gt;=Benchmarks!$E$7,"Elite",IF(I16&gt;=Benchmarks!$D$7,"Strong",IF(I16&gt;=Benchmarks!$C$7,"Average","Needs work"))),IF(I16&gt;=Benchmarks!$E$6,"Elite",IF(I16&gt;=Benchmarks!$D$6,"Strong",IF(I16&gt;=Benchmarks!$C$6,"Average","Needs work")))))</f>
        <v/>
      </c>
      <c r="AB16" s="72" t="str">
        <f aca="false">IF(V16="","",IF(V16&gt;=Benchmarks!$E$8,"Elite",IF(V16&gt;=Benchmarks!$D$8,"Strong",IF(V16&gt;=Benchmarks!$C$8,"Average","Needs work"))))</f>
        <v/>
      </c>
      <c r="AC16" s="73" t="str">
        <f aca="false">IF(COUNT(AG16:AI16)=0,"",AVERAGE(AG16:AI16))</f>
        <v/>
      </c>
      <c r="AD16" s="37" t="str">
        <f aca="false">IF(A16="","",IF(Q16="Short",IF(AH16="","Add % viewed to diagnose",IF(AND(AH16&gt;=3,N(AI16)&gt;=3),"Winner Short — expand it into a long-form video",IF(AH16&lt;=1,"Hook problem — viewers swipe away in the first seconds",IF(AI16=1,"Watched but no reaction — end on a question or opinion","Solid Short — keep iterating")))),IF(OR(AG16="",AH16=""),"Add CTR &amp; % viewed to diagnose",IF(AND(AG16&gt;=3,AH16&gt;=3),"WINNER — make a sequel, series or Shorts from it",IF(AND(AG16&gt;=3,AH16&lt;=2),"Click but leave — intro too slow or title over-promises",IF(AND(AG16&lt;=2,AH16&gt;=3),"Great video, weak packaging — A/B test title + thumbnail",IF(AND(AG16=1,AH16=1),"Topic miss — don't repeat this angle","Average — sharpen the hook and the title")))))))</f>
        <v/>
      </c>
      <c r="AE16" s="76" t="str">
        <f aca="false">IF(OR(A16="",N(E16)=0),"",Q16&amp;"-"&amp;(COUNTIFS($Q$5:$Q$204,Q16,$E$5:$E$204,"&gt;"&amp;E16)+COUNTIFS($Q$5:Q16,Q16,$E$5:E16,E16)))</f>
        <v/>
      </c>
      <c r="AF16" s="77" t="str">
        <f aca="false">IF(AND(Q16="Long",N(F16)&gt;=Benchmarks!$C$15,G16&lt;&gt;""),G16,"")</f>
        <v/>
      </c>
      <c r="AG16" s="78" t="str">
        <f aca="false">IF(Z16="Elite",4,IF(Z16="Strong",3,IF(Z16="Average",2,IF(Z16="Needs work",1,""))))</f>
        <v/>
      </c>
      <c r="AH16" s="78" t="str">
        <f aca="false">IF(AA16="Elite",4,IF(AA16="Strong",3,IF(AA16="Average",2,IF(AA16="Needs work",1,""))))</f>
        <v/>
      </c>
      <c r="AI16" s="78" t="str">
        <f aca="false">IF(AB16="Elite",4,IF(AB16="Strong",3,IF(AB16="Average",2,IF(AB16="Needs work",1,""))))</f>
        <v/>
      </c>
    </row>
    <row r="17" customFormat="false" ht="15" hidden="false" customHeight="false" outlineLevel="0" collapsed="false">
      <c r="A17" s="64"/>
      <c r="B17" s="65"/>
      <c r="C17" s="66"/>
      <c r="D17" s="67"/>
      <c r="E17" s="67"/>
      <c r="F17" s="67"/>
      <c r="G17" s="68"/>
      <c r="H17" s="69"/>
      <c r="I17" s="68"/>
      <c r="J17" s="70"/>
      <c r="K17" s="67"/>
      <c r="L17" s="67"/>
      <c r="M17" s="67"/>
      <c r="N17" s="67"/>
      <c r="O17" s="67"/>
      <c r="P17" s="71"/>
      <c r="Q17" s="72" t="str">
        <f aca="false">IF(A17="","",IF(C17&lt;&gt;"",C17,IF(AND(D17&lt;&gt;"",D17&lt;=180),"Short","Long")))</f>
        <v/>
      </c>
      <c r="R17" s="73" t="str">
        <f aca="false">IF(OR(A17="",D17=""),"",D17/60)</f>
        <v/>
      </c>
      <c r="S17" s="72" t="str">
        <f aca="false">IF(OR(A17="",B17=""),"",IF(AND(B17&gt;=DATE(2026,4,1),B17&lt;=DATE(2026,6,30)),"Yes","No"))</f>
        <v/>
      </c>
      <c r="T17" s="72" t="str">
        <f aca="false">IF(OR(A17="",B17=""),"",CHOOSE(WEEKDAY(B17),"Sun","Mon","Tue","Wed","Thu","Fri","Sat"))</f>
        <v/>
      </c>
      <c r="U17" s="72" t="str">
        <f aca="false">IF(OR(Q17&lt;&gt;"Long",D17=""),"",IF(D17&lt;480,"Under 8 min",IF(D17&lt;900,"8–15 min",IF(D17&lt;1500,"15–25 min","25+ min"))))</f>
        <v/>
      </c>
      <c r="V17" s="74" t="str">
        <f aca="false">IF(OR(A17="",N(E17)=0),"",(N(K17)+N(L17))/E17*100)</f>
        <v/>
      </c>
      <c r="W17" s="73" t="str">
        <f aca="false">IF(OR(A17="",N(E17)=0),"",N(L17)/E17*1000)</f>
        <v/>
      </c>
      <c r="X17" s="75" t="str">
        <f aca="false">IF(A17="","",N(N17)-N(O17))</f>
        <v/>
      </c>
      <c r="Y17" s="73" t="str">
        <f aca="false">IF(OR(A17="",N(E17)=0),"",X17/E17*1000)</f>
        <v/>
      </c>
      <c r="Z17" s="72" t="str">
        <f aca="false">IF(OR(A17="",G17=""),"",IF(Q17="Short","n/a (Short)",IF(G17&gt;=Benchmarks!$E$5,"Elite",IF(G17&gt;=Benchmarks!$D$5,"Strong",IF(G17&gt;=Benchmarks!$C$5,"Average","Needs work")))))</f>
        <v/>
      </c>
      <c r="AA17" s="72" t="str">
        <f aca="false">IF(OR(A17="",I17=""),"",IF(Q17="Short",IF(I17&gt;=Benchmarks!$E$7,"Elite",IF(I17&gt;=Benchmarks!$D$7,"Strong",IF(I17&gt;=Benchmarks!$C$7,"Average","Needs work"))),IF(I17&gt;=Benchmarks!$E$6,"Elite",IF(I17&gt;=Benchmarks!$D$6,"Strong",IF(I17&gt;=Benchmarks!$C$6,"Average","Needs work")))))</f>
        <v/>
      </c>
      <c r="AB17" s="72" t="str">
        <f aca="false">IF(V17="","",IF(V17&gt;=Benchmarks!$E$8,"Elite",IF(V17&gt;=Benchmarks!$D$8,"Strong",IF(V17&gt;=Benchmarks!$C$8,"Average","Needs work"))))</f>
        <v/>
      </c>
      <c r="AC17" s="73" t="str">
        <f aca="false">IF(COUNT(AG17:AI17)=0,"",AVERAGE(AG17:AI17))</f>
        <v/>
      </c>
      <c r="AD17" s="37" t="str">
        <f aca="false">IF(A17="","",IF(Q17="Short",IF(AH17="","Add % viewed to diagnose",IF(AND(AH17&gt;=3,N(AI17)&gt;=3),"Winner Short — expand it into a long-form video",IF(AH17&lt;=1,"Hook problem — viewers swipe away in the first seconds",IF(AI17=1,"Watched but no reaction — end on a question or opinion","Solid Short — keep iterating")))),IF(OR(AG17="",AH17=""),"Add CTR &amp; % viewed to diagnose",IF(AND(AG17&gt;=3,AH17&gt;=3),"WINNER — make a sequel, series or Shorts from it",IF(AND(AG17&gt;=3,AH17&lt;=2),"Click but leave — intro too slow or title over-promises",IF(AND(AG17&lt;=2,AH17&gt;=3),"Great video, weak packaging — A/B test title + thumbnail",IF(AND(AG17=1,AH17=1),"Topic miss — don't repeat this angle","Average — sharpen the hook and the title")))))))</f>
        <v/>
      </c>
      <c r="AE17" s="76" t="str">
        <f aca="false">IF(OR(A17="",N(E17)=0),"",Q17&amp;"-"&amp;(COUNTIFS($Q$5:$Q$204,Q17,$E$5:$E$204,"&gt;"&amp;E17)+COUNTIFS($Q$5:Q17,Q17,$E$5:E17,E17)))</f>
        <v/>
      </c>
      <c r="AF17" s="77" t="str">
        <f aca="false">IF(AND(Q17="Long",N(F17)&gt;=Benchmarks!$C$15,G17&lt;&gt;""),G17,"")</f>
        <v/>
      </c>
      <c r="AG17" s="78" t="str">
        <f aca="false">IF(Z17="Elite",4,IF(Z17="Strong",3,IF(Z17="Average",2,IF(Z17="Needs work",1,""))))</f>
        <v/>
      </c>
      <c r="AH17" s="78" t="str">
        <f aca="false">IF(AA17="Elite",4,IF(AA17="Strong",3,IF(AA17="Average",2,IF(AA17="Needs work",1,""))))</f>
        <v/>
      </c>
      <c r="AI17" s="78" t="str">
        <f aca="false">IF(AB17="Elite",4,IF(AB17="Strong",3,IF(AB17="Average",2,IF(AB17="Needs work",1,""))))</f>
        <v/>
      </c>
    </row>
    <row r="18" customFormat="false" ht="15" hidden="false" customHeight="false" outlineLevel="0" collapsed="false">
      <c r="A18" s="64"/>
      <c r="B18" s="65"/>
      <c r="C18" s="66"/>
      <c r="D18" s="67"/>
      <c r="E18" s="67"/>
      <c r="F18" s="67"/>
      <c r="G18" s="68"/>
      <c r="H18" s="69"/>
      <c r="I18" s="68"/>
      <c r="J18" s="70"/>
      <c r="K18" s="67"/>
      <c r="L18" s="67"/>
      <c r="M18" s="67"/>
      <c r="N18" s="67"/>
      <c r="O18" s="67"/>
      <c r="P18" s="71"/>
      <c r="Q18" s="72" t="str">
        <f aca="false">IF(A18="","",IF(C18&lt;&gt;"",C18,IF(AND(D18&lt;&gt;"",D18&lt;=180),"Short","Long")))</f>
        <v/>
      </c>
      <c r="R18" s="73" t="str">
        <f aca="false">IF(OR(A18="",D18=""),"",D18/60)</f>
        <v/>
      </c>
      <c r="S18" s="72" t="str">
        <f aca="false">IF(OR(A18="",B18=""),"",IF(AND(B18&gt;=DATE(2026,4,1),B18&lt;=DATE(2026,6,30)),"Yes","No"))</f>
        <v/>
      </c>
      <c r="T18" s="72" t="str">
        <f aca="false">IF(OR(A18="",B18=""),"",CHOOSE(WEEKDAY(B18),"Sun","Mon","Tue","Wed","Thu","Fri","Sat"))</f>
        <v/>
      </c>
      <c r="U18" s="72" t="str">
        <f aca="false">IF(OR(Q18&lt;&gt;"Long",D18=""),"",IF(D18&lt;480,"Under 8 min",IF(D18&lt;900,"8–15 min",IF(D18&lt;1500,"15–25 min","25+ min"))))</f>
        <v/>
      </c>
      <c r="V18" s="74" t="str">
        <f aca="false">IF(OR(A18="",N(E18)=0),"",(N(K18)+N(L18))/E18*100)</f>
        <v/>
      </c>
      <c r="W18" s="73" t="str">
        <f aca="false">IF(OR(A18="",N(E18)=0),"",N(L18)/E18*1000)</f>
        <v/>
      </c>
      <c r="X18" s="75" t="str">
        <f aca="false">IF(A18="","",N(N18)-N(O18))</f>
        <v/>
      </c>
      <c r="Y18" s="73" t="str">
        <f aca="false">IF(OR(A18="",N(E18)=0),"",X18/E18*1000)</f>
        <v/>
      </c>
      <c r="Z18" s="72" t="str">
        <f aca="false">IF(OR(A18="",G18=""),"",IF(Q18="Short","n/a (Short)",IF(G18&gt;=Benchmarks!$E$5,"Elite",IF(G18&gt;=Benchmarks!$D$5,"Strong",IF(G18&gt;=Benchmarks!$C$5,"Average","Needs work")))))</f>
        <v/>
      </c>
      <c r="AA18" s="72" t="str">
        <f aca="false">IF(OR(A18="",I18=""),"",IF(Q18="Short",IF(I18&gt;=Benchmarks!$E$7,"Elite",IF(I18&gt;=Benchmarks!$D$7,"Strong",IF(I18&gt;=Benchmarks!$C$7,"Average","Needs work"))),IF(I18&gt;=Benchmarks!$E$6,"Elite",IF(I18&gt;=Benchmarks!$D$6,"Strong",IF(I18&gt;=Benchmarks!$C$6,"Average","Needs work")))))</f>
        <v/>
      </c>
      <c r="AB18" s="72" t="str">
        <f aca="false">IF(V18="","",IF(V18&gt;=Benchmarks!$E$8,"Elite",IF(V18&gt;=Benchmarks!$D$8,"Strong",IF(V18&gt;=Benchmarks!$C$8,"Average","Needs work"))))</f>
        <v/>
      </c>
      <c r="AC18" s="73" t="str">
        <f aca="false">IF(COUNT(AG18:AI18)=0,"",AVERAGE(AG18:AI18))</f>
        <v/>
      </c>
      <c r="AD18" s="37" t="str">
        <f aca="false">IF(A18="","",IF(Q18="Short",IF(AH18="","Add % viewed to diagnose",IF(AND(AH18&gt;=3,N(AI18)&gt;=3),"Winner Short — expand it into a long-form video",IF(AH18&lt;=1,"Hook problem — viewers swipe away in the first seconds",IF(AI18=1,"Watched but no reaction — end on a question or opinion","Solid Short — keep iterating")))),IF(OR(AG18="",AH18=""),"Add CTR &amp; % viewed to diagnose",IF(AND(AG18&gt;=3,AH18&gt;=3),"WINNER — make a sequel, series or Shorts from it",IF(AND(AG18&gt;=3,AH18&lt;=2),"Click but leave — intro too slow or title over-promises",IF(AND(AG18&lt;=2,AH18&gt;=3),"Great video, weak packaging — A/B test title + thumbnail",IF(AND(AG18=1,AH18=1),"Topic miss — don't repeat this angle","Average — sharpen the hook and the title")))))))</f>
        <v/>
      </c>
      <c r="AE18" s="76" t="str">
        <f aca="false">IF(OR(A18="",N(E18)=0),"",Q18&amp;"-"&amp;(COUNTIFS($Q$5:$Q$204,Q18,$E$5:$E$204,"&gt;"&amp;E18)+COUNTIFS($Q$5:Q18,Q18,$E$5:E18,E18)))</f>
        <v/>
      </c>
      <c r="AF18" s="77" t="str">
        <f aca="false">IF(AND(Q18="Long",N(F18)&gt;=Benchmarks!$C$15,G18&lt;&gt;""),G18,"")</f>
        <v/>
      </c>
      <c r="AG18" s="78" t="str">
        <f aca="false">IF(Z18="Elite",4,IF(Z18="Strong",3,IF(Z18="Average",2,IF(Z18="Needs work",1,""))))</f>
        <v/>
      </c>
      <c r="AH18" s="78" t="str">
        <f aca="false">IF(AA18="Elite",4,IF(AA18="Strong",3,IF(AA18="Average",2,IF(AA18="Needs work",1,""))))</f>
        <v/>
      </c>
      <c r="AI18" s="78" t="str">
        <f aca="false">IF(AB18="Elite",4,IF(AB18="Strong",3,IF(AB18="Average",2,IF(AB18="Needs work",1,""))))</f>
        <v/>
      </c>
    </row>
    <row r="19" customFormat="false" ht="15" hidden="false" customHeight="false" outlineLevel="0" collapsed="false">
      <c r="A19" s="64"/>
      <c r="B19" s="65"/>
      <c r="C19" s="66"/>
      <c r="D19" s="67"/>
      <c r="E19" s="67"/>
      <c r="F19" s="67"/>
      <c r="G19" s="68"/>
      <c r="H19" s="69"/>
      <c r="I19" s="68"/>
      <c r="J19" s="70"/>
      <c r="K19" s="67"/>
      <c r="L19" s="67"/>
      <c r="M19" s="67"/>
      <c r="N19" s="67"/>
      <c r="O19" s="67"/>
      <c r="P19" s="71"/>
      <c r="Q19" s="72" t="str">
        <f aca="false">IF(A19="","",IF(C19&lt;&gt;"",C19,IF(AND(D19&lt;&gt;"",D19&lt;=180),"Short","Long")))</f>
        <v/>
      </c>
      <c r="R19" s="73" t="str">
        <f aca="false">IF(OR(A19="",D19=""),"",D19/60)</f>
        <v/>
      </c>
      <c r="S19" s="72" t="str">
        <f aca="false">IF(OR(A19="",B19=""),"",IF(AND(B19&gt;=DATE(2026,4,1),B19&lt;=DATE(2026,6,30)),"Yes","No"))</f>
        <v/>
      </c>
      <c r="T19" s="72" t="str">
        <f aca="false">IF(OR(A19="",B19=""),"",CHOOSE(WEEKDAY(B19),"Sun","Mon","Tue","Wed","Thu","Fri","Sat"))</f>
        <v/>
      </c>
      <c r="U19" s="72" t="str">
        <f aca="false">IF(OR(Q19&lt;&gt;"Long",D19=""),"",IF(D19&lt;480,"Under 8 min",IF(D19&lt;900,"8–15 min",IF(D19&lt;1500,"15–25 min","25+ min"))))</f>
        <v/>
      </c>
      <c r="V19" s="74" t="str">
        <f aca="false">IF(OR(A19="",N(E19)=0),"",(N(K19)+N(L19))/E19*100)</f>
        <v/>
      </c>
      <c r="W19" s="73" t="str">
        <f aca="false">IF(OR(A19="",N(E19)=0),"",N(L19)/E19*1000)</f>
        <v/>
      </c>
      <c r="X19" s="75" t="str">
        <f aca="false">IF(A19="","",N(N19)-N(O19))</f>
        <v/>
      </c>
      <c r="Y19" s="73" t="str">
        <f aca="false">IF(OR(A19="",N(E19)=0),"",X19/E19*1000)</f>
        <v/>
      </c>
      <c r="Z19" s="72" t="str">
        <f aca="false">IF(OR(A19="",G19=""),"",IF(Q19="Short","n/a (Short)",IF(G19&gt;=Benchmarks!$E$5,"Elite",IF(G19&gt;=Benchmarks!$D$5,"Strong",IF(G19&gt;=Benchmarks!$C$5,"Average","Needs work")))))</f>
        <v/>
      </c>
      <c r="AA19" s="72" t="str">
        <f aca="false">IF(OR(A19="",I19=""),"",IF(Q19="Short",IF(I19&gt;=Benchmarks!$E$7,"Elite",IF(I19&gt;=Benchmarks!$D$7,"Strong",IF(I19&gt;=Benchmarks!$C$7,"Average","Needs work"))),IF(I19&gt;=Benchmarks!$E$6,"Elite",IF(I19&gt;=Benchmarks!$D$6,"Strong",IF(I19&gt;=Benchmarks!$C$6,"Average","Needs work")))))</f>
        <v/>
      </c>
      <c r="AB19" s="72" t="str">
        <f aca="false">IF(V19="","",IF(V19&gt;=Benchmarks!$E$8,"Elite",IF(V19&gt;=Benchmarks!$D$8,"Strong",IF(V19&gt;=Benchmarks!$C$8,"Average","Needs work"))))</f>
        <v/>
      </c>
      <c r="AC19" s="73" t="str">
        <f aca="false">IF(COUNT(AG19:AI19)=0,"",AVERAGE(AG19:AI19))</f>
        <v/>
      </c>
      <c r="AD19" s="37" t="str">
        <f aca="false">IF(A19="","",IF(Q19="Short",IF(AH19="","Add % viewed to diagnose",IF(AND(AH19&gt;=3,N(AI19)&gt;=3),"Winner Short — expand it into a long-form video",IF(AH19&lt;=1,"Hook problem — viewers swipe away in the first seconds",IF(AI19=1,"Watched but no reaction — end on a question or opinion","Solid Short — keep iterating")))),IF(OR(AG19="",AH19=""),"Add CTR &amp; % viewed to diagnose",IF(AND(AG19&gt;=3,AH19&gt;=3),"WINNER — make a sequel, series or Shorts from it",IF(AND(AG19&gt;=3,AH19&lt;=2),"Click but leave — intro too slow or title over-promises",IF(AND(AG19&lt;=2,AH19&gt;=3),"Great video, weak packaging — A/B test title + thumbnail",IF(AND(AG19=1,AH19=1),"Topic miss — don't repeat this angle","Average — sharpen the hook and the title")))))))</f>
        <v/>
      </c>
      <c r="AE19" s="76" t="str">
        <f aca="false">IF(OR(A19="",N(E19)=0),"",Q19&amp;"-"&amp;(COUNTIFS($Q$5:$Q$204,Q19,$E$5:$E$204,"&gt;"&amp;E19)+COUNTIFS($Q$5:Q19,Q19,$E$5:E19,E19)))</f>
        <v/>
      </c>
      <c r="AF19" s="77" t="str">
        <f aca="false">IF(AND(Q19="Long",N(F19)&gt;=Benchmarks!$C$15,G19&lt;&gt;""),G19,"")</f>
        <v/>
      </c>
      <c r="AG19" s="78" t="str">
        <f aca="false">IF(Z19="Elite",4,IF(Z19="Strong",3,IF(Z19="Average",2,IF(Z19="Needs work",1,""))))</f>
        <v/>
      </c>
      <c r="AH19" s="78" t="str">
        <f aca="false">IF(AA19="Elite",4,IF(AA19="Strong",3,IF(AA19="Average",2,IF(AA19="Needs work",1,""))))</f>
        <v/>
      </c>
      <c r="AI19" s="78" t="str">
        <f aca="false">IF(AB19="Elite",4,IF(AB19="Strong",3,IF(AB19="Average",2,IF(AB19="Needs work",1,""))))</f>
        <v/>
      </c>
    </row>
    <row r="20" customFormat="false" ht="15" hidden="false" customHeight="false" outlineLevel="0" collapsed="false">
      <c r="A20" s="64"/>
      <c r="B20" s="65"/>
      <c r="C20" s="66"/>
      <c r="D20" s="67"/>
      <c r="E20" s="67"/>
      <c r="F20" s="67"/>
      <c r="G20" s="68"/>
      <c r="H20" s="69"/>
      <c r="I20" s="68"/>
      <c r="J20" s="70"/>
      <c r="K20" s="67"/>
      <c r="L20" s="67"/>
      <c r="M20" s="67"/>
      <c r="N20" s="67"/>
      <c r="O20" s="67"/>
      <c r="P20" s="71"/>
      <c r="Q20" s="72" t="str">
        <f aca="false">IF(A20="","",IF(C20&lt;&gt;"",C20,IF(AND(D20&lt;&gt;"",D20&lt;=180),"Short","Long")))</f>
        <v/>
      </c>
      <c r="R20" s="73" t="str">
        <f aca="false">IF(OR(A20="",D20=""),"",D20/60)</f>
        <v/>
      </c>
      <c r="S20" s="72" t="str">
        <f aca="false">IF(OR(A20="",B20=""),"",IF(AND(B20&gt;=DATE(2026,4,1),B20&lt;=DATE(2026,6,30)),"Yes","No"))</f>
        <v/>
      </c>
      <c r="T20" s="72" t="str">
        <f aca="false">IF(OR(A20="",B20=""),"",CHOOSE(WEEKDAY(B20),"Sun","Mon","Tue","Wed","Thu","Fri","Sat"))</f>
        <v/>
      </c>
      <c r="U20" s="72" t="str">
        <f aca="false">IF(OR(Q20&lt;&gt;"Long",D20=""),"",IF(D20&lt;480,"Under 8 min",IF(D20&lt;900,"8–15 min",IF(D20&lt;1500,"15–25 min","25+ min"))))</f>
        <v/>
      </c>
      <c r="V20" s="74" t="str">
        <f aca="false">IF(OR(A20="",N(E20)=0),"",(N(K20)+N(L20))/E20*100)</f>
        <v/>
      </c>
      <c r="W20" s="73" t="str">
        <f aca="false">IF(OR(A20="",N(E20)=0),"",N(L20)/E20*1000)</f>
        <v/>
      </c>
      <c r="X20" s="75" t="str">
        <f aca="false">IF(A20="","",N(N20)-N(O20))</f>
        <v/>
      </c>
      <c r="Y20" s="73" t="str">
        <f aca="false">IF(OR(A20="",N(E20)=0),"",X20/E20*1000)</f>
        <v/>
      </c>
      <c r="Z20" s="72" t="str">
        <f aca="false">IF(OR(A20="",G20=""),"",IF(Q20="Short","n/a (Short)",IF(G20&gt;=Benchmarks!$E$5,"Elite",IF(G20&gt;=Benchmarks!$D$5,"Strong",IF(G20&gt;=Benchmarks!$C$5,"Average","Needs work")))))</f>
        <v/>
      </c>
      <c r="AA20" s="72" t="str">
        <f aca="false">IF(OR(A20="",I20=""),"",IF(Q20="Short",IF(I20&gt;=Benchmarks!$E$7,"Elite",IF(I20&gt;=Benchmarks!$D$7,"Strong",IF(I20&gt;=Benchmarks!$C$7,"Average","Needs work"))),IF(I20&gt;=Benchmarks!$E$6,"Elite",IF(I20&gt;=Benchmarks!$D$6,"Strong",IF(I20&gt;=Benchmarks!$C$6,"Average","Needs work")))))</f>
        <v/>
      </c>
      <c r="AB20" s="72" t="str">
        <f aca="false">IF(V20="","",IF(V20&gt;=Benchmarks!$E$8,"Elite",IF(V20&gt;=Benchmarks!$D$8,"Strong",IF(V20&gt;=Benchmarks!$C$8,"Average","Needs work"))))</f>
        <v/>
      </c>
      <c r="AC20" s="73" t="str">
        <f aca="false">IF(COUNT(AG20:AI20)=0,"",AVERAGE(AG20:AI20))</f>
        <v/>
      </c>
      <c r="AD20" s="37" t="str">
        <f aca="false">IF(A20="","",IF(Q20="Short",IF(AH20="","Add % viewed to diagnose",IF(AND(AH20&gt;=3,N(AI20)&gt;=3),"Winner Short — expand it into a long-form video",IF(AH20&lt;=1,"Hook problem — viewers swipe away in the first seconds",IF(AI20=1,"Watched but no reaction — end on a question or opinion","Solid Short — keep iterating")))),IF(OR(AG20="",AH20=""),"Add CTR &amp; % viewed to diagnose",IF(AND(AG20&gt;=3,AH20&gt;=3),"WINNER — make a sequel, series or Shorts from it",IF(AND(AG20&gt;=3,AH20&lt;=2),"Click but leave — intro too slow or title over-promises",IF(AND(AG20&lt;=2,AH20&gt;=3),"Great video, weak packaging — A/B test title + thumbnail",IF(AND(AG20=1,AH20=1),"Topic miss — don't repeat this angle","Average — sharpen the hook and the title")))))))</f>
        <v/>
      </c>
      <c r="AE20" s="76" t="str">
        <f aca="false">IF(OR(A20="",N(E20)=0),"",Q20&amp;"-"&amp;(COUNTIFS($Q$5:$Q$204,Q20,$E$5:$E$204,"&gt;"&amp;E20)+COUNTIFS($Q$5:Q20,Q20,$E$5:E20,E20)))</f>
        <v/>
      </c>
      <c r="AF20" s="77" t="str">
        <f aca="false">IF(AND(Q20="Long",N(F20)&gt;=Benchmarks!$C$15,G20&lt;&gt;""),G20,"")</f>
        <v/>
      </c>
      <c r="AG20" s="78" t="str">
        <f aca="false">IF(Z20="Elite",4,IF(Z20="Strong",3,IF(Z20="Average",2,IF(Z20="Needs work",1,""))))</f>
        <v/>
      </c>
      <c r="AH20" s="78" t="str">
        <f aca="false">IF(AA20="Elite",4,IF(AA20="Strong",3,IF(AA20="Average",2,IF(AA20="Needs work",1,""))))</f>
        <v/>
      </c>
      <c r="AI20" s="78" t="str">
        <f aca="false">IF(AB20="Elite",4,IF(AB20="Strong",3,IF(AB20="Average",2,IF(AB20="Needs work",1,""))))</f>
        <v/>
      </c>
    </row>
    <row r="21" customFormat="false" ht="15" hidden="false" customHeight="false" outlineLevel="0" collapsed="false">
      <c r="A21" s="64"/>
      <c r="B21" s="65"/>
      <c r="C21" s="66"/>
      <c r="D21" s="67"/>
      <c r="E21" s="67"/>
      <c r="F21" s="67"/>
      <c r="G21" s="68"/>
      <c r="H21" s="69"/>
      <c r="I21" s="68"/>
      <c r="J21" s="70"/>
      <c r="K21" s="67"/>
      <c r="L21" s="67"/>
      <c r="M21" s="67"/>
      <c r="N21" s="67"/>
      <c r="O21" s="67"/>
      <c r="P21" s="71"/>
      <c r="Q21" s="72" t="str">
        <f aca="false">IF(A21="","",IF(C21&lt;&gt;"",C21,IF(AND(D21&lt;&gt;"",D21&lt;=180),"Short","Long")))</f>
        <v/>
      </c>
      <c r="R21" s="73" t="str">
        <f aca="false">IF(OR(A21="",D21=""),"",D21/60)</f>
        <v/>
      </c>
      <c r="S21" s="72" t="str">
        <f aca="false">IF(OR(A21="",B21=""),"",IF(AND(B21&gt;=DATE(2026,4,1),B21&lt;=DATE(2026,6,30)),"Yes","No"))</f>
        <v/>
      </c>
      <c r="T21" s="72" t="str">
        <f aca="false">IF(OR(A21="",B21=""),"",CHOOSE(WEEKDAY(B21),"Sun","Mon","Tue","Wed","Thu","Fri","Sat"))</f>
        <v/>
      </c>
      <c r="U21" s="72" t="str">
        <f aca="false">IF(OR(Q21&lt;&gt;"Long",D21=""),"",IF(D21&lt;480,"Under 8 min",IF(D21&lt;900,"8–15 min",IF(D21&lt;1500,"15–25 min","25+ min"))))</f>
        <v/>
      </c>
      <c r="V21" s="74" t="str">
        <f aca="false">IF(OR(A21="",N(E21)=0),"",(N(K21)+N(L21))/E21*100)</f>
        <v/>
      </c>
      <c r="W21" s="73" t="str">
        <f aca="false">IF(OR(A21="",N(E21)=0),"",N(L21)/E21*1000)</f>
        <v/>
      </c>
      <c r="X21" s="75" t="str">
        <f aca="false">IF(A21="","",N(N21)-N(O21))</f>
        <v/>
      </c>
      <c r="Y21" s="73" t="str">
        <f aca="false">IF(OR(A21="",N(E21)=0),"",X21/E21*1000)</f>
        <v/>
      </c>
      <c r="Z21" s="72" t="str">
        <f aca="false">IF(OR(A21="",G21=""),"",IF(Q21="Short","n/a (Short)",IF(G21&gt;=Benchmarks!$E$5,"Elite",IF(G21&gt;=Benchmarks!$D$5,"Strong",IF(G21&gt;=Benchmarks!$C$5,"Average","Needs work")))))</f>
        <v/>
      </c>
      <c r="AA21" s="72" t="str">
        <f aca="false">IF(OR(A21="",I21=""),"",IF(Q21="Short",IF(I21&gt;=Benchmarks!$E$7,"Elite",IF(I21&gt;=Benchmarks!$D$7,"Strong",IF(I21&gt;=Benchmarks!$C$7,"Average","Needs work"))),IF(I21&gt;=Benchmarks!$E$6,"Elite",IF(I21&gt;=Benchmarks!$D$6,"Strong",IF(I21&gt;=Benchmarks!$C$6,"Average","Needs work")))))</f>
        <v/>
      </c>
      <c r="AB21" s="72" t="str">
        <f aca="false">IF(V21="","",IF(V21&gt;=Benchmarks!$E$8,"Elite",IF(V21&gt;=Benchmarks!$D$8,"Strong",IF(V21&gt;=Benchmarks!$C$8,"Average","Needs work"))))</f>
        <v/>
      </c>
      <c r="AC21" s="73" t="str">
        <f aca="false">IF(COUNT(AG21:AI21)=0,"",AVERAGE(AG21:AI21))</f>
        <v/>
      </c>
      <c r="AD21" s="37" t="str">
        <f aca="false">IF(A21="","",IF(Q21="Short",IF(AH21="","Add % viewed to diagnose",IF(AND(AH21&gt;=3,N(AI21)&gt;=3),"Winner Short — expand it into a long-form video",IF(AH21&lt;=1,"Hook problem — viewers swipe away in the first seconds",IF(AI21=1,"Watched but no reaction — end on a question or opinion","Solid Short — keep iterating")))),IF(OR(AG21="",AH21=""),"Add CTR &amp; % viewed to diagnose",IF(AND(AG21&gt;=3,AH21&gt;=3),"WINNER — make a sequel, series or Shorts from it",IF(AND(AG21&gt;=3,AH21&lt;=2),"Click but leave — intro too slow or title over-promises",IF(AND(AG21&lt;=2,AH21&gt;=3),"Great video, weak packaging — A/B test title + thumbnail",IF(AND(AG21=1,AH21=1),"Topic miss — don't repeat this angle","Average — sharpen the hook and the title")))))))</f>
        <v/>
      </c>
      <c r="AE21" s="76" t="str">
        <f aca="false">IF(OR(A21="",N(E21)=0),"",Q21&amp;"-"&amp;(COUNTIFS($Q$5:$Q$204,Q21,$E$5:$E$204,"&gt;"&amp;E21)+COUNTIFS($Q$5:Q21,Q21,$E$5:E21,E21)))</f>
        <v/>
      </c>
      <c r="AF21" s="77" t="str">
        <f aca="false">IF(AND(Q21="Long",N(F21)&gt;=Benchmarks!$C$15,G21&lt;&gt;""),G21,"")</f>
        <v/>
      </c>
      <c r="AG21" s="78" t="str">
        <f aca="false">IF(Z21="Elite",4,IF(Z21="Strong",3,IF(Z21="Average",2,IF(Z21="Needs work",1,""))))</f>
        <v/>
      </c>
      <c r="AH21" s="78" t="str">
        <f aca="false">IF(AA21="Elite",4,IF(AA21="Strong",3,IF(AA21="Average",2,IF(AA21="Needs work",1,""))))</f>
        <v/>
      </c>
      <c r="AI21" s="78" t="str">
        <f aca="false">IF(AB21="Elite",4,IF(AB21="Strong",3,IF(AB21="Average",2,IF(AB21="Needs work",1,""))))</f>
        <v/>
      </c>
    </row>
    <row r="22" customFormat="false" ht="15" hidden="false" customHeight="false" outlineLevel="0" collapsed="false">
      <c r="A22" s="64"/>
      <c r="B22" s="65"/>
      <c r="C22" s="66"/>
      <c r="D22" s="67"/>
      <c r="E22" s="67"/>
      <c r="F22" s="67"/>
      <c r="G22" s="68"/>
      <c r="H22" s="69"/>
      <c r="I22" s="68"/>
      <c r="J22" s="70"/>
      <c r="K22" s="67"/>
      <c r="L22" s="67"/>
      <c r="M22" s="67"/>
      <c r="N22" s="67"/>
      <c r="O22" s="67"/>
      <c r="P22" s="71"/>
      <c r="Q22" s="72" t="str">
        <f aca="false">IF(A22="","",IF(C22&lt;&gt;"",C22,IF(AND(D22&lt;&gt;"",D22&lt;=180),"Short","Long")))</f>
        <v/>
      </c>
      <c r="R22" s="73" t="str">
        <f aca="false">IF(OR(A22="",D22=""),"",D22/60)</f>
        <v/>
      </c>
      <c r="S22" s="72" t="str">
        <f aca="false">IF(OR(A22="",B22=""),"",IF(AND(B22&gt;=DATE(2026,4,1),B22&lt;=DATE(2026,6,30)),"Yes","No"))</f>
        <v/>
      </c>
      <c r="T22" s="72" t="str">
        <f aca="false">IF(OR(A22="",B22=""),"",CHOOSE(WEEKDAY(B22),"Sun","Mon","Tue","Wed","Thu","Fri","Sat"))</f>
        <v/>
      </c>
      <c r="U22" s="72" t="str">
        <f aca="false">IF(OR(Q22&lt;&gt;"Long",D22=""),"",IF(D22&lt;480,"Under 8 min",IF(D22&lt;900,"8–15 min",IF(D22&lt;1500,"15–25 min","25+ min"))))</f>
        <v/>
      </c>
      <c r="V22" s="74" t="str">
        <f aca="false">IF(OR(A22="",N(E22)=0),"",(N(K22)+N(L22))/E22*100)</f>
        <v/>
      </c>
      <c r="W22" s="73" t="str">
        <f aca="false">IF(OR(A22="",N(E22)=0),"",N(L22)/E22*1000)</f>
        <v/>
      </c>
      <c r="X22" s="75" t="str">
        <f aca="false">IF(A22="","",N(N22)-N(O22))</f>
        <v/>
      </c>
      <c r="Y22" s="73" t="str">
        <f aca="false">IF(OR(A22="",N(E22)=0),"",X22/E22*1000)</f>
        <v/>
      </c>
      <c r="Z22" s="72" t="str">
        <f aca="false">IF(OR(A22="",G22=""),"",IF(Q22="Short","n/a (Short)",IF(G22&gt;=Benchmarks!$E$5,"Elite",IF(G22&gt;=Benchmarks!$D$5,"Strong",IF(G22&gt;=Benchmarks!$C$5,"Average","Needs work")))))</f>
        <v/>
      </c>
      <c r="AA22" s="72" t="str">
        <f aca="false">IF(OR(A22="",I22=""),"",IF(Q22="Short",IF(I22&gt;=Benchmarks!$E$7,"Elite",IF(I22&gt;=Benchmarks!$D$7,"Strong",IF(I22&gt;=Benchmarks!$C$7,"Average","Needs work"))),IF(I22&gt;=Benchmarks!$E$6,"Elite",IF(I22&gt;=Benchmarks!$D$6,"Strong",IF(I22&gt;=Benchmarks!$C$6,"Average","Needs work")))))</f>
        <v/>
      </c>
      <c r="AB22" s="72" t="str">
        <f aca="false">IF(V22="","",IF(V22&gt;=Benchmarks!$E$8,"Elite",IF(V22&gt;=Benchmarks!$D$8,"Strong",IF(V22&gt;=Benchmarks!$C$8,"Average","Needs work"))))</f>
        <v/>
      </c>
      <c r="AC22" s="73" t="str">
        <f aca="false">IF(COUNT(AG22:AI22)=0,"",AVERAGE(AG22:AI22))</f>
        <v/>
      </c>
      <c r="AD22" s="37" t="str">
        <f aca="false">IF(A22="","",IF(Q22="Short",IF(AH22="","Add % viewed to diagnose",IF(AND(AH22&gt;=3,N(AI22)&gt;=3),"Winner Short — expand it into a long-form video",IF(AH22&lt;=1,"Hook problem — viewers swipe away in the first seconds",IF(AI22=1,"Watched but no reaction — end on a question or opinion","Solid Short — keep iterating")))),IF(OR(AG22="",AH22=""),"Add CTR &amp; % viewed to diagnose",IF(AND(AG22&gt;=3,AH22&gt;=3),"WINNER — make a sequel, series or Shorts from it",IF(AND(AG22&gt;=3,AH22&lt;=2),"Click but leave — intro too slow or title over-promises",IF(AND(AG22&lt;=2,AH22&gt;=3),"Great video, weak packaging — A/B test title + thumbnail",IF(AND(AG22=1,AH22=1),"Topic miss — don't repeat this angle","Average — sharpen the hook and the title")))))))</f>
        <v/>
      </c>
      <c r="AE22" s="76" t="str">
        <f aca="false">IF(OR(A22="",N(E22)=0),"",Q22&amp;"-"&amp;(COUNTIFS($Q$5:$Q$204,Q22,$E$5:$E$204,"&gt;"&amp;E22)+COUNTIFS($Q$5:Q22,Q22,$E$5:E22,E22)))</f>
        <v/>
      </c>
      <c r="AF22" s="77" t="str">
        <f aca="false">IF(AND(Q22="Long",N(F22)&gt;=Benchmarks!$C$15,G22&lt;&gt;""),G22,"")</f>
        <v/>
      </c>
      <c r="AG22" s="78" t="str">
        <f aca="false">IF(Z22="Elite",4,IF(Z22="Strong",3,IF(Z22="Average",2,IF(Z22="Needs work",1,""))))</f>
        <v/>
      </c>
      <c r="AH22" s="78" t="str">
        <f aca="false">IF(AA22="Elite",4,IF(AA22="Strong",3,IF(AA22="Average",2,IF(AA22="Needs work",1,""))))</f>
        <v/>
      </c>
      <c r="AI22" s="78" t="str">
        <f aca="false">IF(AB22="Elite",4,IF(AB22="Strong",3,IF(AB22="Average",2,IF(AB22="Needs work",1,""))))</f>
        <v/>
      </c>
    </row>
    <row r="23" customFormat="false" ht="15" hidden="false" customHeight="false" outlineLevel="0" collapsed="false">
      <c r="A23" s="64"/>
      <c r="B23" s="65"/>
      <c r="C23" s="66"/>
      <c r="D23" s="67"/>
      <c r="E23" s="67"/>
      <c r="F23" s="67"/>
      <c r="G23" s="68"/>
      <c r="H23" s="69"/>
      <c r="I23" s="68"/>
      <c r="J23" s="70"/>
      <c r="K23" s="67"/>
      <c r="L23" s="67"/>
      <c r="M23" s="67"/>
      <c r="N23" s="67"/>
      <c r="O23" s="67"/>
      <c r="P23" s="71"/>
      <c r="Q23" s="72" t="str">
        <f aca="false">IF(A23="","",IF(C23&lt;&gt;"",C23,IF(AND(D23&lt;&gt;"",D23&lt;=180),"Short","Long")))</f>
        <v/>
      </c>
      <c r="R23" s="73" t="str">
        <f aca="false">IF(OR(A23="",D23=""),"",D23/60)</f>
        <v/>
      </c>
      <c r="S23" s="72" t="str">
        <f aca="false">IF(OR(A23="",B23=""),"",IF(AND(B23&gt;=DATE(2026,4,1),B23&lt;=DATE(2026,6,30)),"Yes","No"))</f>
        <v/>
      </c>
      <c r="T23" s="72" t="str">
        <f aca="false">IF(OR(A23="",B23=""),"",CHOOSE(WEEKDAY(B23),"Sun","Mon","Tue","Wed","Thu","Fri","Sat"))</f>
        <v/>
      </c>
      <c r="U23" s="72" t="str">
        <f aca="false">IF(OR(Q23&lt;&gt;"Long",D23=""),"",IF(D23&lt;480,"Under 8 min",IF(D23&lt;900,"8–15 min",IF(D23&lt;1500,"15–25 min","25+ min"))))</f>
        <v/>
      </c>
      <c r="V23" s="74" t="str">
        <f aca="false">IF(OR(A23="",N(E23)=0),"",(N(K23)+N(L23))/E23*100)</f>
        <v/>
      </c>
      <c r="W23" s="73" t="str">
        <f aca="false">IF(OR(A23="",N(E23)=0),"",N(L23)/E23*1000)</f>
        <v/>
      </c>
      <c r="X23" s="75" t="str">
        <f aca="false">IF(A23="","",N(N23)-N(O23))</f>
        <v/>
      </c>
      <c r="Y23" s="73" t="str">
        <f aca="false">IF(OR(A23="",N(E23)=0),"",X23/E23*1000)</f>
        <v/>
      </c>
      <c r="Z23" s="72" t="str">
        <f aca="false">IF(OR(A23="",G23=""),"",IF(Q23="Short","n/a (Short)",IF(G23&gt;=Benchmarks!$E$5,"Elite",IF(G23&gt;=Benchmarks!$D$5,"Strong",IF(G23&gt;=Benchmarks!$C$5,"Average","Needs work")))))</f>
        <v/>
      </c>
      <c r="AA23" s="72" t="str">
        <f aca="false">IF(OR(A23="",I23=""),"",IF(Q23="Short",IF(I23&gt;=Benchmarks!$E$7,"Elite",IF(I23&gt;=Benchmarks!$D$7,"Strong",IF(I23&gt;=Benchmarks!$C$7,"Average","Needs work"))),IF(I23&gt;=Benchmarks!$E$6,"Elite",IF(I23&gt;=Benchmarks!$D$6,"Strong",IF(I23&gt;=Benchmarks!$C$6,"Average","Needs work")))))</f>
        <v/>
      </c>
      <c r="AB23" s="72" t="str">
        <f aca="false">IF(V23="","",IF(V23&gt;=Benchmarks!$E$8,"Elite",IF(V23&gt;=Benchmarks!$D$8,"Strong",IF(V23&gt;=Benchmarks!$C$8,"Average","Needs work"))))</f>
        <v/>
      </c>
      <c r="AC23" s="73" t="str">
        <f aca="false">IF(COUNT(AG23:AI23)=0,"",AVERAGE(AG23:AI23))</f>
        <v/>
      </c>
      <c r="AD23" s="37" t="str">
        <f aca="false">IF(A23="","",IF(Q23="Short",IF(AH23="","Add % viewed to diagnose",IF(AND(AH23&gt;=3,N(AI23)&gt;=3),"Winner Short — expand it into a long-form video",IF(AH23&lt;=1,"Hook problem — viewers swipe away in the first seconds",IF(AI23=1,"Watched but no reaction — end on a question or opinion","Solid Short — keep iterating")))),IF(OR(AG23="",AH23=""),"Add CTR &amp; % viewed to diagnose",IF(AND(AG23&gt;=3,AH23&gt;=3),"WINNER — make a sequel, series or Shorts from it",IF(AND(AG23&gt;=3,AH23&lt;=2),"Click but leave — intro too slow or title over-promises",IF(AND(AG23&lt;=2,AH23&gt;=3),"Great video, weak packaging — A/B test title + thumbnail",IF(AND(AG23=1,AH23=1),"Topic miss — don't repeat this angle","Average — sharpen the hook and the title")))))))</f>
        <v/>
      </c>
      <c r="AE23" s="76" t="str">
        <f aca="false">IF(OR(A23="",N(E23)=0),"",Q23&amp;"-"&amp;(COUNTIFS($Q$5:$Q$204,Q23,$E$5:$E$204,"&gt;"&amp;E23)+COUNTIFS($Q$5:Q23,Q23,$E$5:E23,E23)))</f>
        <v/>
      </c>
      <c r="AF23" s="77" t="str">
        <f aca="false">IF(AND(Q23="Long",N(F23)&gt;=Benchmarks!$C$15,G23&lt;&gt;""),G23,"")</f>
        <v/>
      </c>
      <c r="AG23" s="78" t="str">
        <f aca="false">IF(Z23="Elite",4,IF(Z23="Strong",3,IF(Z23="Average",2,IF(Z23="Needs work",1,""))))</f>
        <v/>
      </c>
      <c r="AH23" s="78" t="str">
        <f aca="false">IF(AA23="Elite",4,IF(AA23="Strong",3,IF(AA23="Average",2,IF(AA23="Needs work",1,""))))</f>
        <v/>
      </c>
      <c r="AI23" s="78" t="str">
        <f aca="false">IF(AB23="Elite",4,IF(AB23="Strong",3,IF(AB23="Average",2,IF(AB23="Needs work",1,""))))</f>
        <v/>
      </c>
    </row>
    <row r="24" customFormat="false" ht="15" hidden="false" customHeight="false" outlineLevel="0" collapsed="false">
      <c r="A24" s="64"/>
      <c r="B24" s="65"/>
      <c r="C24" s="66"/>
      <c r="D24" s="67"/>
      <c r="E24" s="67"/>
      <c r="F24" s="67"/>
      <c r="G24" s="68"/>
      <c r="H24" s="69"/>
      <c r="I24" s="68"/>
      <c r="J24" s="70"/>
      <c r="K24" s="67"/>
      <c r="L24" s="67"/>
      <c r="M24" s="67"/>
      <c r="N24" s="67"/>
      <c r="O24" s="67"/>
      <c r="P24" s="71"/>
      <c r="Q24" s="72" t="str">
        <f aca="false">IF(A24="","",IF(C24&lt;&gt;"",C24,IF(AND(D24&lt;&gt;"",D24&lt;=180),"Short","Long")))</f>
        <v/>
      </c>
      <c r="R24" s="73" t="str">
        <f aca="false">IF(OR(A24="",D24=""),"",D24/60)</f>
        <v/>
      </c>
      <c r="S24" s="72" t="str">
        <f aca="false">IF(OR(A24="",B24=""),"",IF(AND(B24&gt;=DATE(2026,4,1),B24&lt;=DATE(2026,6,30)),"Yes","No"))</f>
        <v/>
      </c>
      <c r="T24" s="72" t="str">
        <f aca="false">IF(OR(A24="",B24=""),"",CHOOSE(WEEKDAY(B24),"Sun","Mon","Tue","Wed","Thu","Fri","Sat"))</f>
        <v/>
      </c>
      <c r="U24" s="72" t="str">
        <f aca="false">IF(OR(Q24&lt;&gt;"Long",D24=""),"",IF(D24&lt;480,"Under 8 min",IF(D24&lt;900,"8–15 min",IF(D24&lt;1500,"15–25 min","25+ min"))))</f>
        <v/>
      </c>
      <c r="V24" s="74" t="str">
        <f aca="false">IF(OR(A24="",N(E24)=0),"",(N(K24)+N(L24))/E24*100)</f>
        <v/>
      </c>
      <c r="W24" s="73" t="str">
        <f aca="false">IF(OR(A24="",N(E24)=0),"",N(L24)/E24*1000)</f>
        <v/>
      </c>
      <c r="X24" s="75" t="str">
        <f aca="false">IF(A24="","",N(N24)-N(O24))</f>
        <v/>
      </c>
      <c r="Y24" s="73" t="str">
        <f aca="false">IF(OR(A24="",N(E24)=0),"",X24/E24*1000)</f>
        <v/>
      </c>
      <c r="Z24" s="72" t="str">
        <f aca="false">IF(OR(A24="",G24=""),"",IF(Q24="Short","n/a (Short)",IF(G24&gt;=Benchmarks!$E$5,"Elite",IF(G24&gt;=Benchmarks!$D$5,"Strong",IF(G24&gt;=Benchmarks!$C$5,"Average","Needs work")))))</f>
        <v/>
      </c>
      <c r="AA24" s="72" t="str">
        <f aca="false">IF(OR(A24="",I24=""),"",IF(Q24="Short",IF(I24&gt;=Benchmarks!$E$7,"Elite",IF(I24&gt;=Benchmarks!$D$7,"Strong",IF(I24&gt;=Benchmarks!$C$7,"Average","Needs work"))),IF(I24&gt;=Benchmarks!$E$6,"Elite",IF(I24&gt;=Benchmarks!$D$6,"Strong",IF(I24&gt;=Benchmarks!$C$6,"Average","Needs work")))))</f>
        <v/>
      </c>
      <c r="AB24" s="72" t="str">
        <f aca="false">IF(V24="","",IF(V24&gt;=Benchmarks!$E$8,"Elite",IF(V24&gt;=Benchmarks!$D$8,"Strong",IF(V24&gt;=Benchmarks!$C$8,"Average","Needs work"))))</f>
        <v/>
      </c>
      <c r="AC24" s="73" t="str">
        <f aca="false">IF(COUNT(AG24:AI24)=0,"",AVERAGE(AG24:AI24))</f>
        <v/>
      </c>
      <c r="AD24" s="37" t="str">
        <f aca="false">IF(A24="","",IF(Q24="Short",IF(AH24="","Add % viewed to diagnose",IF(AND(AH24&gt;=3,N(AI24)&gt;=3),"Winner Short — expand it into a long-form video",IF(AH24&lt;=1,"Hook problem — viewers swipe away in the first seconds",IF(AI24=1,"Watched but no reaction — end on a question or opinion","Solid Short — keep iterating")))),IF(OR(AG24="",AH24=""),"Add CTR &amp; % viewed to diagnose",IF(AND(AG24&gt;=3,AH24&gt;=3),"WINNER — make a sequel, series or Shorts from it",IF(AND(AG24&gt;=3,AH24&lt;=2),"Click but leave — intro too slow or title over-promises",IF(AND(AG24&lt;=2,AH24&gt;=3),"Great video, weak packaging — A/B test title + thumbnail",IF(AND(AG24=1,AH24=1),"Topic miss — don't repeat this angle","Average — sharpen the hook and the title")))))))</f>
        <v/>
      </c>
      <c r="AE24" s="76" t="str">
        <f aca="false">IF(OR(A24="",N(E24)=0),"",Q24&amp;"-"&amp;(COUNTIFS($Q$5:$Q$204,Q24,$E$5:$E$204,"&gt;"&amp;E24)+COUNTIFS($Q$5:Q24,Q24,$E$5:E24,E24)))</f>
        <v/>
      </c>
      <c r="AF24" s="77" t="str">
        <f aca="false">IF(AND(Q24="Long",N(F24)&gt;=Benchmarks!$C$15,G24&lt;&gt;""),G24,"")</f>
        <v/>
      </c>
      <c r="AG24" s="78" t="str">
        <f aca="false">IF(Z24="Elite",4,IF(Z24="Strong",3,IF(Z24="Average",2,IF(Z24="Needs work",1,""))))</f>
        <v/>
      </c>
      <c r="AH24" s="78" t="str">
        <f aca="false">IF(AA24="Elite",4,IF(AA24="Strong",3,IF(AA24="Average",2,IF(AA24="Needs work",1,""))))</f>
        <v/>
      </c>
      <c r="AI24" s="78" t="str">
        <f aca="false">IF(AB24="Elite",4,IF(AB24="Strong",3,IF(AB24="Average",2,IF(AB24="Needs work",1,""))))</f>
        <v/>
      </c>
    </row>
    <row r="25" customFormat="false" ht="15" hidden="false" customHeight="false" outlineLevel="0" collapsed="false">
      <c r="A25" s="64"/>
      <c r="B25" s="65"/>
      <c r="C25" s="66"/>
      <c r="D25" s="67"/>
      <c r="E25" s="67"/>
      <c r="F25" s="67"/>
      <c r="G25" s="68"/>
      <c r="H25" s="69"/>
      <c r="I25" s="68"/>
      <c r="J25" s="70"/>
      <c r="K25" s="67"/>
      <c r="L25" s="67"/>
      <c r="M25" s="67"/>
      <c r="N25" s="67"/>
      <c r="O25" s="67"/>
      <c r="P25" s="71"/>
      <c r="Q25" s="72" t="str">
        <f aca="false">IF(A25="","",IF(C25&lt;&gt;"",C25,IF(AND(D25&lt;&gt;"",D25&lt;=180),"Short","Long")))</f>
        <v/>
      </c>
      <c r="R25" s="73" t="str">
        <f aca="false">IF(OR(A25="",D25=""),"",D25/60)</f>
        <v/>
      </c>
      <c r="S25" s="72" t="str">
        <f aca="false">IF(OR(A25="",B25=""),"",IF(AND(B25&gt;=DATE(2026,4,1),B25&lt;=DATE(2026,6,30)),"Yes","No"))</f>
        <v/>
      </c>
      <c r="T25" s="72" t="str">
        <f aca="false">IF(OR(A25="",B25=""),"",CHOOSE(WEEKDAY(B25),"Sun","Mon","Tue","Wed","Thu","Fri","Sat"))</f>
        <v/>
      </c>
      <c r="U25" s="72" t="str">
        <f aca="false">IF(OR(Q25&lt;&gt;"Long",D25=""),"",IF(D25&lt;480,"Under 8 min",IF(D25&lt;900,"8–15 min",IF(D25&lt;1500,"15–25 min","25+ min"))))</f>
        <v/>
      </c>
      <c r="V25" s="74" t="str">
        <f aca="false">IF(OR(A25="",N(E25)=0),"",(N(K25)+N(L25))/E25*100)</f>
        <v/>
      </c>
      <c r="W25" s="73" t="str">
        <f aca="false">IF(OR(A25="",N(E25)=0),"",N(L25)/E25*1000)</f>
        <v/>
      </c>
      <c r="X25" s="75" t="str">
        <f aca="false">IF(A25="","",N(N25)-N(O25))</f>
        <v/>
      </c>
      <c r="Y25" s="73" t="str">
        <f aca="false">IF(OR(A25="",N(E25)=0),"",X25/E25*1000)</f>
        <v/>
      </c>
      <c r="Z25" s="72" t="str">
        <f aca="false">IF(OR(A25="",G25=""),"",IF(Q25="Short","n/a (Short)",IF(G25&gt;=Benchmarks!$E$5,"Elite",IF(G25&gt;=Benchmarks!$D$5,"Strong",IF(G25&gt;=Benchmarks!$C$5,"Average","Needs work")))))</f>
        <v/>
      </c>
      <c r="AA25" s="72" t="str">
        <f aca="false">IF(OR(A25="",I25=""),"",IF(Q25="Short",IF(I25&gt;=Benchmarks!$E$7,"Elite",IF(I25&gt;=Benchmarks!$D$7,"Strong",IF(I25&gt;=Benchmarks!$C$7,"Average","Needs work"))),IF(I25&gt;=Benchmarks!$E$6,"Elite",IF(I25&gt;=Benchmarks!$D$6,"Strong",IF(I25&gt;=Benchmarks!$C$6,"Average","Needs work")))))</f>
        <v/>
      </c>
      <c r="AB25" s="72" t="str">
        <f aca="false">IF(V25="","",IF(V25&gt;=Benchmarks!$E$8,"Elite",IF(V25&gt;=Benchmarks!$D$8,"Strong",IF(V25&gt;=Benchmarks!$C$8,"Average","Needs work"))))</f>
        <v/>
      </c>
      <c r="AC25" s="73" t="str">
        <f aca="false">IF(COUNT(AG25:AI25)=0,"",AVERAGE(AG25:AI25))</f>
        <v/>
      </c>
      <c r="AD25" s="37" t="str">
        <f aca="false">IF(A25="","",IF(Q25="Short",IF(AH25="","Add % viewed to diagnose",IF(AND(AH25&gt;=3,N(AI25)&gt;=3),"Winner Short — expand it into a long-form video",IF(AH25&lt;=1,"Hook problem — viewers swipe away in the first seconds",IF(AI25=1,"Watched but no reaction — end on a question or opinion","Solid Short — keep iterating")))),IF(OR(AG25="",AH25=""),"Add CTR &amp; % viewed to diagnose",IF(AND(AG25&gt;=3,AH25&gt;=3),"WINNER — make a sequel, series or Shorts from it",IF(AND(AG25&gt;=3,AH25&lt;=2),"Click but leave — intro too slow or title over-promises",IF(AND(AG25&lt;=2,AH25&gt;=3),"Great video, weak packaging — A/B test title + thumbnail",IF(AND(AG25=1,AH25=1),"Topic miss — don't repeat this angle","Average — sharpen the hook and the title")))))))</f>
        <v/>
      </c>
      <c r="AE25" s="76" t="str">
        <f aca="false">IF(OR(A25="",N(E25)=0),"",Q25&amp;"-"&amp;(COUNTIFS($Q$5:$Q$204,Q25,$E$5:$E$204,"&gt;"&amp;E25)+COUNTIFS($Q$5:Q25,Q25,$E$5:E25,E25)))</f>
        <v/>
      </c>
      <c r="AF25" s="77" t="str">
        <f aca="false">IF(AND(Q25="Long",N(F25)&gt;=Benchmarks!$C$15,G25&lt;&gt;""),G25,"")</f>
        <v/>
      </c>
      <c r="AG25" s="78" t="str">
        <f aca="false">IF(Z25="Elite",4,IF(Z25="Strong",3,IF(Z25="Average",2,IF(Z25="Needs work",1,""))))</f>
        <v/>
      </c>
      <c r="AH25" s="78" t="str">
        <f aca="false">IF(AA25="Elite",4,IF(AA25="Strong",3,IF(AA25="Average",2,IF(AA25="Needs work",1,""))))</f>
        <v/>
      </c>
      <c r="AI25" s="78" t="str">
        <f aca="false">IF(AB25="Elite",4,IF(AB25="Strong",3,IF(AB25="Average",2,IF(AB25="Needs work",1,""))))</f>
        <v/>
      </c>
    </row>
    <row r="26" customFormat="false" ht="15" hidden="false" customHeight="false" outlineLevel="0" collapsed="false">
      <c r="A26" s="64"/>
      <c r="B26" s="65"/>
      <c r="C26" s="66"/>
      <c r="D26" s="67"/>
      <c r="E26" s="67"/>
      <c r="F26" s="67"/>
      <c r="G26" s="68"/>
      <c r="H26" s="69"/>
      <c r="I26" s="68"/>
      <c r="J26" s="70"/>
      <c r="K26" s="67"/>
      <c r="L26" s="67"/>
      <c r="M26" s="67"/>
      <c r="N26" s="67"/>
      <c r="O26" s="67"/>
      <c r="P26" s="71"/>
      <c r="Q26" s="72" t="str">
        <f aca="false">IF(A26="","",IF(C26&lt;&gt;"",C26,IF(AND(D26&lt;&gt;"",D26&lt;=180),"Short","Long")))</f>
        <v/>
      </c>
      <c r="R26" s="73" t="str">
        <f aca="false">IF(OR(A26="",D26=""),"",D26/60)</f>
        <v/>
      </c>
      <c r="S26" s="72" t="str">
        <f aca="false">IF(OR(A26="",B26=""),"",IF(AND(B26&gt;=DATE(2026,4,1),B26&lt;=DATE(2026,6,30)),"Yes","No"))</f>
        <v/>
      </c>
      <c r="T26" s="72" t="str">
        <f aca="false">IF(OR(A26="",B26=""),"",CHOOSE(WEEKDAY(B26),"Sun","Mon","Tue","Wed","Thu","Fri","Sat"))</f>
        <v/>
      </c>
      <c r="U26" s="72" t="str">
        <f aca="false">IF(OR(Q26&lt;&gt;"Long",D26=""),"",IF(D26&lt;480,"Under 8 min",IF(D26&lt;900,"8–15 min",IF(D26&lt;1500,"15–25 min","25+ min"))))</f>
        <v/>
      </c>
      <c r="V26" s="74" t="str">
        <f aca="false">IF(OR(A26="",N(E26)=0),"",(N(K26)+N(L26))/E26*100)</f>
        <v/>
      </c>
      <c r="W26" s="73" t="str">
        <f aca="false">IF(OR(A26="",N(E26)=0),"",N(L26)/E26*1000)</f>
        <v/>
      </c>
      <c r="X26" s="75" t="str">
        <f aca="false">IF(A26="","",N(N26)-N(O26))</f>
        <v/>
      </c>
      <c r="Y26" s="73" t="str">
        <f aca="false">IF(OR(A26="",N(E26)=0),"",X26/E26*1000)</f>
        <v/>
      </c>
      <c r="Z26" s="72" t="str">
        <f aca="false">IF(OR(A26="",G26=""),"",IF(Q26="Short","n/a (Short)",IF(G26&gt;=Benchmarks!$E$5,"Elite",IF(G26&gt;=Benchmarks!$D$5,"Strong",IF(G26&gt;=Benchmarks!$C$5,"Average","Needs work")))))</f>
        <v/>
      </c>
      <c r="AA26" s="72" t="str">
        <f aca="false">IF(OR(A26="",I26=""),"",IF(Q26="Short",IF(I26&gt;=Benchmarks!$E$7,"Elite",IF(I26&gt;=Benchmarks!$D$7,"Strong",IF(I26&gt;=Benchmarks!$C$7,"Average","Needs work"))),IF(I26&gt;=Benchmarks!$E$6,"Elite",IF(I26&gt;=Benchmarks!$D$6,"Strong",IF(I26&gt;=Benchmarks!$C$6,"Average","Needs work")))))</f>
        <v/>
      </c>
      <c r="AB26" s="72" t="str">
        <f aca="false">IF(V26="","",IF(V26&gt;=Benchmarks!$E$8,"Elite",IF(V26&gt;=Benchmarks!$D$8,"Strong",IF(V26&gt;=Benchmarks!$C$8,"Average","Needs work"))))</f>
        <v/>
      </c>
      <c r="AC26" s="73" t="str">
        <f aca="false">IF(COUNT(AG26:AI26)=0,"",AVERAGE(AG26:AI26))</f>
        <v/>
      </c>
      <c r="AD26" s="37" t="str">
        <f aca="false">IF(A26="","",IF(Q26="Short",IF(AH26="","Add % viewed to diagnose",IF(AND(AH26&gt;=3,N(AI26)&gt;=3),"Winner Short — expand it into a long-form video",IF(AH26&lt;=1,"Hook problem — viewers swipe away in the first seconds",IF(AI26=1,"Watched but no reaction — end on a question or opinion","Solid Short — keep iterating")))),IF(OR(AG26="",AH26=""),"Add CTR &amp; % viewed to diagnose",IF(AND(AG26&gt;=3,AH26&gt;=3),"WINNER — make a sequel, series or Shorts from it",IF(AND(AG26&gt;=3,AH26&lt;=2),"Click but leave — intro too slow or title over-promises",IF(AND(AG26&lt;=2,AH26&gt;=3),"Great video, weak packaging — A/B test title + thumbnail",IF(AND(AG26=1,AH26=1),"Topic miss — don't repeat this angle","Average — sharpen the hook and the title")))))))</f>
        <v/>
      </c>
      <c r="AE26" s="76" t="str">
        <f aca="false">IF(OR(A26="",N(E26)=0),"",Q26&amp;"-"&amp;(COUNTIFS($Q$5:$Q$204,Q26,$E$5:$E$204,"&gt;"&amp;E26)+COUNTIFS($Q$5:Q26,Q26,$E$5:E26,E26)))</f>
        <v/>
      </c>
      <c r="AF26" s="77" t="str">
        <f aca="false">IF(AND(Q26="Long",N(F26)&gt;=Benchmarks!$C$15,G26&lt;&gt;""),G26,"")</f>
        <v/>
      </c>
      <c r="AG26" s="78" t="str">
        <f aca="false">IF(Z26="Elite",4,IF(Z26="Strong",3,IF(Z26="Average",2,IF(Z26="Needs work",1,""))))</f>
        <v/>
      </c>
      <c r="AH26" s="78" t="str">
        <f aca="false">IF(AA26="Elite",4,IF(AA26="Strong",3,IF(AA26="Average",2,IF(AA26="Needs work",1,""))))</f>
        <v/>
      </c>
      <c r="AI26" s="78" t="str">
        <f aca="false">IF(AB26="Elite",4,IF(AB26="Strong",3,IF(AB26="Average",2,IF(AB26="Needs work",1,""))))</f>
        <v/>
      </c>
    </row>
    <row r="27" customFormat="false" ht="15" hidden="false" customHeight="false" outlineLevel="0" collapsed="false">
      <c r="A27" s="64"/>
      <c r="B27" s="65"/>
      <c r="C27" s="66"/>
      <c r="D27" s="67"/>
      <c r="E27" s="67"/>
      <c r="F27" s="67"/>
      <c r="G27" s="68"/>
      <c r="H27" s="69"/>
      <c r="I27" s="68"/>
      <c r="J27" s="70"/>
      <c r="K27" s="67"/>
      <c r="L27" s="67"/>
      <c r="M27" s="67"/>
      <c r="N27" s="67"/>
      <c r="O27" s="67"/>
      <c r="P27" s="71"/>
      <c r="Q27" s="72" t="str">
        <f aca="false">IF(A27="","",IF(C27&lt;&gt;"",C27,IF(AND(D27&lt;&gt;"",D27&lt;=180),"Short","Long")))</f>
        <v/>
      </c>
      <c r="R27" s="73" t="str">
        <f aca="false">IF(OR(A27="",D27=""),"",D27/60)</f>
        <v/>
      </c>
      <c r="S27" s="72" t="str">
        <f aca="false">IF(OR(A27="",B27=""),"",IF(AND(B27&gt;=DATE(2026,4,1),B27&lt;=DATE(2026,6,30)),"Yes","No"))</f>
        <v/>
      </c>
      <c r="T27" s="72" t="str">
        <f aca="false">IF(OR(A27="",B27=""),"",CHOOSE(WEEKDAY(B27),"Sun","Mon","Tue","Wed","Thu","Fri","Sat"))</f>
        <v/>
      </c>
      <c r="U27" s="72" t="str">
        <f aca="false">IF(OR(Q27&lt;&gt;"Long",D27=""),"",IF(D27&lt;480,"Under 8 min",IF(D27&lt;900,"8–15 min",IF(D27&lt;1500,"15–25 min","25+ min"))))</f>
        <v/>
      </c>
      <c r="V27" s="74" t="str">
        <f aca="false">IF(OR(A27="",N(E27)=0),"",(N(K27)+N(L27))/E27*100)</f>
        <v/>
      </c>
      <c r="W27" s="73" t="str">
        <f aca="false">IF(OR(A27="",N(E27)=0),"",N(L27)/E27*1000)</f>
        <v/>
      </c>
      <c r="X27" s="75" t="str">
        <f aca="false">IF(A27="","",N(N27)-N(O27))</f>
        <v/>
      </c>
      <c r="Y27" s="73" t="str">
        <f aca="false">IF(OR(A27="",N(E27)=0),"",X27/E27*1000)</f>
        <v/>
      </c>
      <c r="Z27" s="72" t="str">
        <f aca="false">IF(OR(A27="",G27=""),"",IF(Q27="Short","n/a (Short)",IF(G27&gt;=Benchmarks!$E$5,"Elite",IF(G27&gt;=Benchmarks!$D$5,"Strong",IF(G27&gt;=Benchmarks!$C$5,"Average","Needs work")))))</f>
        <v/>
      </c>
      <c r="AA27" s="72" t="str">
        <f aca="false">IF(OR(A27="",I27=""),"",IF(Q27="Short",IF(I27&gt;=Benchmarks!$E$7,"Elite",IF(I27&gt;=Benchmarks!$D$7,"Strong",IF(I27&gt;=Benchmarks!$C$7,"Average","Needs work"))),IF(I27&gt;=Benchmarks!$E$6,"Elite",IF(I27&gt;=Benchmarks!$D$6,"Strong",IF(I27&gt;=Benchmarks!$C$6,"Average","Needs work")))))</f>
        <v/>
      </c>
      <c r="AB27" s="72" t="str">
        <f aca="false">IF(V27="","",IF(V27&gt;=Benchmarks!$E$8,"Elite",IF(V27&gt;=Benchmarks!$D$8,"Strong",IF(V27&gt;=Benchmarks!$C$8,"Average","Needs work"))))</f>
        <v/>
      </c>
      <c r="AC27" s="73" t="str">
        <f aca="false">IF(COUNT(AG27:AI27)=0,"",AVERAGE(AG27:AI27))</f>
        <v/>
      </c>
      <c r="AD27" s="37" t="str">
        <f aca="false">IF(A27="","",IF(Q27="Short",IF(AH27="","Add % viewed to diagnose",IF(AND(AH27&gt;=3,N(AI27)&gt;=3),"Winner Short — expand it into a long-form video",IF(AH27&lt;=1,"Hook problem — viewers swipe away in the first seconds",IF(AI27=1,"Watched but no reaction — end on a question or opinion","Solid Short — keep iterating")))),IF(OR(AG27="",AH27=""),"Add CTR &amp; % viewed to diagnose",IF(AND(AG27&gt;=3,AH27&gt;=3),"WINNER — make a sequel, series or Shorts from it",IF(AND(AG27&gt;=3,AH27&lt;=2),"Click but leave — intro too slow or title over-promises",IF(AND(AG27&lt;=2,AH27&gt;=3),"Great video, weak packaging — A/B test title + thumbnail",IF(AND(AG27=1,AH27=1),"Topic miss — don't repeat this angle","Average — sharpen the hook and the title")))))))</f>
        <v/>
      </c>
      <c r="AE27" s="76" t="str">
        <f aca="false">IF(OR(A27="",N(E27)=0),"",Q27&amp;"-"&amp;(COUNTIFS($Q$5:$Q$204,Q27,$E$5:$E$204,"&gt;"&amp;E27)+COUNTIFS($Q$5:Q27,Q27,$E$5:E27,E27)))</f>
        <v/>
      </c>
      <c r="AF27" s="77" t="str">
        <f aca="false">IF(AND(Q27="Long",N(F27)&gt;=Benchmarks!$C$15,G27&lt;&gt;""),G27,"")</f>
        <v/>
      </c>
      <c r="AG27" s="78" t="str">
        <f aca="false">IF(Z27="Elite",4,IF(Z27="Strong",3,IF(Z27="Average",2,IF(Z27="Needs work",1,""))))</f>
        <v/>
      </c>
      <c r="AH27" s="78" t="str">
        <f aca="false">IF(AA27="Elite",4,IF(AA27="Strong",3,IF(AA27="Average",2,IF(AA27="Needs work",1,""))))</f>
        <v/>
      </c>
      <c r="AI27" s="78" t="str">
        <f aca="false">IF(AB27="Elite",4,IF(AB27="Strong",3,IF(AB27="Average",2,IF(AB27="Needs work",1,""))))</f>
        <v/>
      </c>
    </row>
    <row r="28" customFormat="false" ht="15" hidden="false" customHeight="false" outlineLevel="0" collapsed="false">
      <c r="A28" s="64"/>
      <c r="B28" s="65"/>
      <c r="C28" s="66"/>
      <c r="D28" s="67"/>
      <c r="E28" s="67"/>
      <c r="F28" s="67"/>
      <c r="G28" s="68"/>
      <c r="H28" s="69"/>
      <c r="I28" s="68"/>
      <c r="J28" s="70"/>
      <c r="K28" s="67"/>
      <c r="L28" s="67"/>
      <c r="M28" s="67"/>
      <c r="N28" s="67"/>
      <c r="O28" s="67"/>
      <c r="P28" s="71"/>
      <c r="Q28" s="72" t="str">
        <f aca="false">IF(A28="","",IF(C28&lt;&gt;"",C28,IF(AND(D28&lt;&gt;"",D28&lt;=180),"Short","Long")))</f>
        <v/>
      </c>
      <c r="R28" s="73" t="str">
        <f aca="false">IF(OR(A28="",D28=""),"",D28/60)</f>
        <v/>
      </c>
      <c r="S28" s="72" t="str">
        <f aca="false">IF(OR(A28="",B28=""),"",IF(AND(B28&gt;=DATE(2026,4,1),B28&lt;=DATE(2026,6,30)),"Yes","No"))</f>
        <v/>
      </c>
      <c r="T28" s="72" t="str">
        <f aca="false">IF(OR(A28="",B28=""),"",CHOOSE(WEEKDAY(B28),"Sun","Mon","Tue","Wed","Thu","Fri","Sat"))</f>
        <v/>
      </c>
      <c r="U28" s="72" t="str">
        <f aca="false">IF(OR(Q28&lt;&gt;"Long",D28=""),"",IF(D28&lt;480,"Under 8 min",IF(D28&lt;900,"8–15 min",IF(D28&lt;1500,"15–25 min","25+ min"))))</f>
        <v/>
      </c>
      <c r="V28" s="74" t="str">
        <f aca="false">IF(OR(A28="",N(E28)=0),"",(N(K28)+N(L28))/E28*100)</f>
        <v/>
      </c>
      <c r="W28" s="73" t="str">
        <f aca="false">IF(OR(A28="",N(E28)=0),"",N(L28)/E28*1000)</f>
        <v/>
      </c>
      <c r="X28" s="75" t="str">
        <f aca="false">IF(A28="","",N(N28)-N(O28))</f>
        <v/>
      </c>
      <c r="Y28" s="73" t="str">
        <f aca="false">IF(OR(A28="",N(E28)=0),"",X28/E28*1000)</f>
        <v/>
      </c>
      <c r="Z28" s="72" t="str">
        <f aca="false">IF(OR(A28="",G28=""),"",IF(Q28="Short","n/a (Short)",IF(G28&gt;=Benchmarks!$E$5,"Elite",IF(G28&gt;=Benchmarks!$D$5,"Strong",IF(G28&gt;=Benchmarks!$C$5,"Average","Needs work")))))</f>
        <v/>
      </c>
      <c r="AA28" s="72" t="str">
        <f aca="false">IF(OR(A28="",I28=""),"",IF(Q28="Short",IF(I28&gt;=Benchmarks!$E$7,"Elite",IF(I28&gt;=Benchmarks!$D$7,"Strong",IF(I28&gt;=Benchmarks!$C$7,"Average","Needs work"))),IF(I28&gt;=Benchmarks!$E$6,"Elite",IF(I28&gt;=Benchmarks!$D$6,"Strong",IF(I28&gt;=Benchmarks!$C$6,"Average","Needs work")))))</f>
        <v/>
      </c>
      <c r="AB28" s="72" t="str">
        <f aca="false">IF(V28="","",IF(V28&gt;=Benchmarks!$E$8,"Elite",IF(V28&gt;=Benchmarks!$D$8,"Strong",IF(V28&gt;=Benchmarks!$C$8,"Average","Needs work"))))</f>
        <v/>
      </c>
      <c r="AC28" s="73" t="str">
        <f aca="false">IF(COUNT(AG28:AI28)=0,"",AVERAGE(AG28:AI28))</f>
        <v/>
      </c>
      <c r="AD28" s="37" t="str">
        <f aca="false">IF(A28="","",IF(Q28="Short",IF(AH28="","Add % viewed to diagnose",IF(AND(AH28&gt;=3,N(AI28)&gt;=3),"Winner Short — expand it into a long-form video",IF(AH28&lt;=1,"Hook problem — viewers swipe away in the first seconds",IF(AI28=1,"Watched but no reaction — end on a question or opinion","Solid Short — keep iterating")))),IF(OR(AG28="",AH28=""),"Add CTR &amp; % viewed to diagnose",IF(AND(AG28&gt;=3,AH28&gt;=3),"WINNER — make a sequel, series or Shorts from it",IF(AND(AG28&gt;=3,AH28&lt;=2),"Click but leave — intro too slow or title over-promises",IF(AND(AG28&lt;=2,AH28&gt;=3),"Great video, weak packaging — A/B test title + thumbnail",IF(AND(AG28=1,AH28=1),"Topic miss — don't repeat this angle","Average — sharpen the hook and the title")))))))</f>
        <v/>
      </c>
      <c r="AE28" s="76" t="str">
        <f aca="false">IF(OR(A28="",N(E28)=0),"",Q28&amp;"-"&amp;(COUNTIFS($Q$5:$Q$204,Q28,$E$5:$E$204,"&gt;"&amp;E28)+COUNTIFS($Q$5:Q28,Q28,$E$5:E28,E28)))</f>
        <v/>
      </c>
      <c r="AF28" s="77" t="str">
        <f aca="false">IF(AND(Q28="Long",N(F28)&gt;=Benchmarks!$C$15,G28&lt;&gt;""),G28,"")</f>
        <v/>
      </c>
      <c r="AG28" s="78" t="str">
        <f aca="false">IF(Z28="Elite",4,IF(Z28="Strong",3,IF(Z28="Average",2,IF(Z28="Needs work",1,""))))</f>
        <v/>
      </c>
      <c r="AH28" s="78" t="str">
        <f aca="false">IF(AA28="Elite",4,IF(AA28="Strong",3,IF(AA28="Average",2,IF(AA28="Needs work",1,""))))</f>
        <v/>
      </c>
      <c r="AI28" s="78" t="str">
        <f aca="false">IF(AB28="Elite",4,IF(AB28="Strong",3,IF(AB28="Average",2,IF(AB28="Needs work",1,""))))</f>
        <v/>
      </c>
    </row>
    <row r="29" customFormat="false" ht="15" hidden="false" customHeight="false" outlineLevel="0" collapsed="false">
      <c r="A29" s="64"/>
      <c r="B29" s="65"/>
      <c r="C29" s="66"/>
      <c r="D29" s="67"/>
      <c r="E29" s="67"/>
      <c r="F29" s="67"/>
      <c r="G29" s="68"/>
      <c r="H29" s="69"/>
      <c r="I29" s="68"/>
      <c r="J29" s="70"/>
      <c r="K29" s="67"/>
      <c r="L29" s="67"/>
      <c r="M29" s="67"/>
      <c r="N29" s="67"/>
      <c r="O29" s="67"/>
      <c r="P29" s="71"/>
      <c r="Q29" s="72" t="str">
        <f aca="false">IF(A29="","",IF(C29&lt;&gt;"",C29,IF(AND(D29&lt;&gt;"",D29&lt;=180),"Short","Long")))</f>
        <v/>
      </c>
      <c r="R29" s="73" t="str">
        <f aca="false">IF(OR(A29="",D29=""),"",D29/60)</f>
        <v/>
      </c>
      <c r="S29" s="72" t="str">
        <f aca="false">IF(OR(A29="",B29=""),"",IF(AND(B29&gt;=DATE(2026,4,1),B29&lt;=DATE(2026,6,30)),"Yes","No"))</f>
        <v/>
      </c>
      <c r="T29" s="72" t="str">
        <f aca="false">IF(OR(A29="",B29=""),"",CHOOSE(WEEKDAY(B29),"Sun","Mon","Tue","Wed","Thu","Fri","Sat"))</f>
        <v/>
      </c>
      <c r="U29" s="72" t="str">
        <f aca="false">IF(OR(Q29&lt;&gt;"Long",D29=""),"",IF(D29&lt;480,"Under 8 min",IF(D29&lt;900,"8–15 min",IF(D29&lt;1500,"15–25 min","25+ min"))))</f>
        <v/>
      </c>
      <c r="V29" s="74" t="str">
        <f aca="false">IF(OR(A29="",N(E29)=0),"",(N(K29)+N(L29))/E29*100)</f>
        <v/>
      </c>
      <c r="W29" s="73" t="str">
        <f aca="false">IF(OR(A29="",N(E29)=0),"",N(L29)/E29*1000)</f>
        <v/>
      </c>
      <c r="X29" s="75" t="str">
        <f aca="false">IF(A29="","",N(N29)-N(O29))</f>
        <v/>
      </c>
      <c r="Y29" s="73" t="str">
        <f aca="false">IF(OR(A29="",N(E29)=0),"",X29/E29*1000)</f>
        <v/>
      </c>
      <c r="Z29" s="72" t="str">
        <f aca="false">IF(OR(A29="",G29=""),"",IF(Q29="Short","n/a (Short)",IF(G29&gt;=Benchmarks!$E$5,"Elite",IF(G29&gt;=Benchmarks!$D$5,"Strong",IF(G29&gt;=Benchmarks!$C$5,"Average","Needs work")))))</f>
        <v/>
      </c>
      <c r="AA29" s="72" t="str">
        <f aca="false">IF(OR(A29="",I29=""),"",IF(Q29="Short",IF(I29&gt;=Benchmarks!$E$7,"Elite",IF(I29&gt;=Benchmarks!$D$7,"Strong",IF(I29&gt;=Benchmarks!$C$7,"Average","Needs work"))),IF(I29&gt;=Benchmarks!$E$6,"Elite",IF(I29&gt;=Benchmarks!$D$6,"Strong",IF(I29&gt;=Benchmarks!$C$6,"Average","Needs work")))))</f>
        <v/>
      </c>
      <c r="AB29" s="72" t="str">
        <f aca="false">IF(V29="","",IF(V29&gt;=Benchmarks!$E$8,"Elite",IF(V29&gt;=Benchmarks!$D$8,"Strong",IF(V29&gt;=Benchmarks!$C$8,"Average","Needs work"))))</f>
        <v/>
      </c>
      <c r="AC29" s="73" t="str">
        <f aca="false">IF(COUNT(AG29:AI29)=0,"",AVERAGE(AG29:AI29))</f>
        <v/>
      </c>
      <c r="AD29" s="37" t="str">
        <f aca="false">IF(A29="","",IF(Q29="Short",IF(AH29="","Add % viewed to diagnose",IF(AND(AH29&gt;=3,N(AI29)&gt;=3),"Winner Short — expand it into a long-form video",IF(AH29&lt;=1,"Hook problem — viewers swipe away in the first seconds",IF(AI29=1,"Watched but no reaction — end on a question or opinion","Solid Short — keep iterating")))),IF(OR(AG29="",AH29=""),"Add CTR &amp; % viewed to diagnose",IF(AND(AG29&gt;=3,AH29&gt;=3),"WINNER — make a sequel, series or Shorts from it",IF(AND(AG29&gt;=3,AH29&lt;=2),"Click but leave — intro too slow or title over-promises",IF(AND(AG29&lt;=2,AH29&gt;=3),"Great video, weak packaging — A/B test title + thumbnail",IF(AND(AG29=1,AH29=1),"Topic miss — don't repeat this angle","Average — sharpen the hook and the title")))))))</f>
        <v/>
      </c>
      <c r="AE29" s="76" t="str">
        <f aca="false">IF(OR(A29="",N(E29)=0),"",Q29&amp;"-"&amp;(COUNTIFS($Q$5:$Q$204,Q29,$E$5:$E$204,"&gt;"&amp;E29)+COUNTIFS($Q$5:Q29,Q29,$E$5:E29,E29)))</f>
        <v/>
      </c>
      <c r="AF29" s="77" t="str">
        <f aca="false">IF(AND(Q29="Long",N(F29)&gt;=Benchmarks!$C$15,G29&lt;&gt;""),G29,"")</f>
        <v/>
      </c>
      <c r="AG29" s="78" t="str">
        <f aca="false">IF(Z29="Elite",4,IF(Z29="Strong",3,IF(Z29="Average",2,IF(Z29="Needs work",1,""))))</f>
        <v/>
      </c>
      <c r="AH29" s="78" t="str">
        <f aca="false">IF(AA29="Elite",4,IF(AA29="Strong",3,IF(AA29="Average",2,IF(AA29="Needs work",1,""))))</f>
        <v/>
      </c>
      <c r="AI29" s="78" t="str">
        <f aca="false">IF(AB29="Elite",4,IF(AB29="Strong",3,IF(AB29="Average",2,IF(AB29="Needs work",1,""))))</f>
        <v/>
      </c>
    </row>
    <row r="30" customFormat="false" ht="15" hidden="false" customHeight="false" outlineLevel="0" collapsed="false">
      <c r="A30" s="64"/>
      <c r="B30" s="65"/>
      <c r="C30" s="66"/>
      <c r="D30" s="67"/>
      <c r="E30" s="67"/>
      <c r="F30" s="67"/>
      <c r="G30" s="68"/>
      <c r="H30" s="69"/>
      <c r="I30" s="68"/>
      <c r="J30" s="70"/>
      <c r="K30" s="67"/>
      <c r="L30" s="67"/>
      <c r="M30" s="67"/>
      <c r="N30" s="67"/>
      <c r="O30" s="67"/>
      <c r="P30" s="71"/>
      <c r="Q30" s="72" t="str">
        <f aca="false">IF(A30="","",IF(C30&lt;&gt;"",C30,IF(AND(D30&lt;&gt;"",D30&lt;=180),"Short","Long")))</f>
        <v/>
      </c>
      <c r="R30" s="73" t="str">
        <f aca="false">IF(OR(A30="",D30=""),"",D30/60)</f>
        <v/>
      </c>
      <c r="S30" s="72" t="str">
        <f aca="false">IF(OR(A30="",B30=""),"",IF(AND(B30&gt;=DATE(2026,4,1),B30&lt;=DATE(2026,6,30)),"Yes","No"))</f>
        <v/>
      </c>
      <c r="T30" s="72" t="str">
        <f aca="false">IF(OR(A30="",B30=""),"",CHOOSE(WEEKDAY(B30),"Sun","Mon","Tue","Wed","Thu","Fri","Sat"))</f>
        <v/>
      </c>
      <c r="U30" s="72" t="str">
        <f aca="false">IF(OR(Q30&lt;&gt;"Long",D30=""),"",IF(D30&lt;480,"Under 8 min",IF(D30&lt;900,"8–15 min",IF(D30&lt;1500,"15–25 min","25+ min"))))</f>
        <v/>
      </c>
      <c r="V30" s="74" t="str">
        <f aca="false">IF(OR(A30="",N(E30)=0),"",(N(K30)+N(L30))/E30*100)</f>
        <v/>
      </c>
      <c r="W30" s="73" t="str">
        <f aca="false">IF(OR(A30="",N(E30)=0),"",N(L30)/E30*1000)</f>
        <v/>
      </c>
      <c r="X30" s="75" t="str">
        <f aca="false">IF(A30="","",N(N30)-N(O30))</f>
        <v/>
      </c>
      <c r="Y30" s="73" t="str">
        <f aca="false">IF(OR(A30="",N(E30)=0),"",X30/E30*1000)</f>
        <v/>
      </c>
      <c r="Z30" s="72" t="str">
        <f aca="false">IF(OR(A30="",G30=""),"",IF(Q30="Short","n/a (Short)",IF(G30&gt;=Benchmarks!$E$5,"Elite",IF(G30&gt;=Benchmarks!$D$5,"Strong",IF(G30&gt;=Benchmarks!$C$5,"Average","Needs work")))))</f>
        <v/>
      </c>
      <c r="AA30" s="72" t="str">
        <f aca="false">IF(OR(A30="",I30=""),"",IF(Q30="Short",IF(I30&gt;=Benchmarks!$E$7,"Elite",IF(I30&gt;=Benchmarks!$D$7,"Strong",IF(I30&gt;=Benchmarks!$C$7,"Average","Needs work"))),IF(I30&gt;=Benchmarks!$E$6,"Elite",IF(I30&gt;=Benchmarks!$D$6,"Strong",IF(I30&gt;=Benchmarks!$C$6,"Average","Needs work")))))</f>
        <v/>
      </c>
      <c r="AB30" s="72" t="str">
        <f aca="false">IF(V30="","",IF(V30&gt;=Benchmarks!$E$8,"Elite",IF(V30&gt;=Benchmarks!$D$8,"Strong",IF(V30&gt;=Benchmarks!$C$8,"Average","Needs work"))))</f>
        <v/>
      </c>
      <c r="AC30" s="73" t="str">
        <f aca="false">IF(COUNT(AG30:AI30)=0,"",AVERAGE(AG30:AI30))</f>
        <v/>
      </c>
      <c r="AD30" s="37" t="str">
        <f aca="false">IF(A30="","",IF(Q30="Short",IF(AH30="","Add % viewed to diagnose",IF(AND(AH30&gt;=3,N(AI30)&gt;=3),"Winner Short — expand it into a long-form video",IF(AH30&lt;=1,"Hook problem — viewers swipe away in the first seconds",IF(AI30=1,"Watched but no reaction — end on a question or opinion","Solid Short — keep iterating")))),IF(OR(AG30="",AH30=""),"Add CTR &amp; % viewed to diagnose",IF(AND(AG30&gt;=3,AH30&gt;=3),"WINNER — make a sequel, series or Shorts from it",IF(AND(AG30&gt;=3,AH30&lt;=2),"Click but leave — intro too slow or title over-promises",IF(AND(AG30&lt;=2,AH30&gt;=3),"Great video, weak packaging — A/B test title + thumbnail",IF(AND(AG30=1,AH30=1),"Topic miss — don't repeat this angle","Average — sharpen the hook and the title")))))))</f>
        <v/>
      </c>
      <c r="AE30" s="76" t="str">
        <f aca="false">IF(OR(A30="",N(E30)=0),"",Q30&amp;"-"&amp;(COUNTIFS($Q$5:$Q$204,Q30,$E$5:$E$204,"&gt;"&amp;E30)+COUNTIFS($Q$5:Q30,Q30,$E$5:E30,E30)))</f>
        <v/>
      </c>
      <c r="AF30" s="77" t="str">
        <f aca="false">IF(AND(Q30="Long",N(F30)&gt;=Benchmarks!$C$15,G30&lt;&gt;""),G30,"")</f>
        <v/>
      </c>
      <c r="AG30" s="78" t="str">
        <f aca="false">IF(Z30="Elite",4,IF(Z30="Strong",3,IF(Z30="Average",2,IF(Z30="Needs work",1,""))))</f>
        <v/>
      </c>
      <c r="AH30" s="78" t="str">
        <f aca="false">IF(AA30="Elite",4,IF(AA30="Strong",3,IF(AA30="Average",2,IF(AA30="Needs work",1,""))))</f>
        <v/>
      </c>
      <c r="AI30" s="78" t="str">
        <f aca="false">IF(AB30="Elite",4,IF(AB30="Strong",3,IF(AB30="Average",2,IF(AB30="Needs work",1,""))))</f>
        <v/>
      </c>
    </row>
    <row r="31" customFormat="false" ht="15" hidden="false" customHeight="false" outlineLevel="0" collapsed="false">
      <c r="A31" s="64"/>
      <c r="B31" s="65"/>
      <c r="C31" s="66"/>
      <c r="D31" s="67"/>
      <c r="E31" s="67"/>
      <c r="F31" s="67"/>
      <c r="G31" s="68"/>
      <c r="H31" s="69"/>
      <c r="I31" s="68"/>
      <c r="J31" s="70"/>
      <c r="K31" s="67"/>
      <c r="L31" s="67"/>
      <c r="M31" s="67"/>
      <c r="N31" s="67"/>
      <c r="O31" s="67"/>
      <c r="P31" s="71"/>
      <c r="Q31" s="72" t="str">
        <f aca="false">IF(A31="","",IF(C31&lt;&gt;"",C31,IF(AND(D31&lt;&gt;"",D31&lt;=180),"Short","Long")))</f>
        <v/>
      </c>
      <c r="R31" s="73" t="str">
        <f aca="false">IF(OR(A31="",D31=""),"",D31/60)</f>
        <v/>
      </c>
      <c r="S31" s="72" t="str">
        <f aca="false">IF(OR(A31="",B31=""),"",IF(AND(B31&gt;=DATE(2026,4,1),B31&lt;=DATE(2026,6,30)),"Yes","No"))</f>
        <v/>
      </c>
      <c r="T31" s="72" t="str">
        <f aca="false">IF(OR(A31="",B31=""),"",CHOOSE(WEEKDAY(B31),"Sun","Mon","Tue","Wed","Thu","Fri","Sat"))</f>
        <v/>
      </c>
      <c r="U31" s="72" t="str">
        <f aca="false">IF(OR(Q31&lt;&gt;"Long",D31=""),"",IF(D31&lt;480,"Under 8 min",IF(D31&lt;900,"8–15 min",IF(D31&lt;1500,"15–25 min","25+ min"))))</f>
        <v/>
      </c>
      <c r="V31" s="74" t="str">
        <f aca="false">IF(OR(A31="",N(E31)=0),"",(N(K31)+N(L31))/E31*100)</f>
        <v/>
      </c>
      <c r="W31" s="73" t="str">
        <f aca="false">IF(OR(A31="",N(E31)=0),"",N(L31)/E31*1000)</f>
        <v/>
      </c>
      <c r="X31" s="75" t="str">
        <f aca="false">IF(A31="","",N(N31)-N(O31))</f>
        <v/>
      </c>
      <c r="Y31" s="73" t="str">
        <f aca="false">IF(OR(A31="",N(E31)=0),"",X31/E31*1000)</f>
        <v/>
      </c>
      <c r="Z31" s="72" t="str">
        <f aca="false">IF(OR(A31="",G31=""),"",IF(Q31="Short","n/a (Short)",IF(G31&gt;=Benchmarks!$E$5,"Elite",IF(G31&gt;=Benchmarks!$D$5,"Strong",IF(G31&gt;=Benchmarks!$C$5,"Average","Needs work")))))</f>
        <v/>
      </c>
      <c r="AA31" s="72" t="str">
        <f aca="false">IF(OR(A31="",I31=""),"",IF(Q31="Short",IF(I31&gt;=Benchmarks!$E$7,"Elite",IF(I31&gt;=Benchmarks!$D$7,"Strong",IF(I31&gt;=Benchmarks!$C$7,"Average","Needs work"))),IF(I31&gt;=Benchmarks!$E$6,"Elite",IF(I31&gt;=Benchmarks!$D$6,"Strong",IF(I31&gt;=Benchmarks!$C$6,"Average","Needs work")))))</f>
        <v/>
      </c>
      <c r="AB31" s="72" t="str">
        <f aca="false">IF(V31="","",IF(V31&gt;=Benchmarks!$E$8,"Elite",IF(V31&gt;=Benchmarks!$D$8,"Strong",IF(V31&gt;=Benchmarks!$C$8,"Average","Needs work"))))</f>
        <v/>
      </c>
      <c r="AC31" s="73" t="str">
        <f aca="false">IF(COUNT(AG31:AI31)=0,"",AVERAGE(AG31:AI31))</f>
        <v/>
      </c>
      <c r="AD31" s="37" t="str">
        <f aca="false">IF(A31="","",IF(Q31="Short",IF(AH31="","Add % viewed to diagnose",IF(AND(AH31&gt;=3,N(AI31)&gt;=3),"Winner Short — expand it into a long-form video",IF(AH31&lt;=1,"Hook problem — viewers swipe away in the first seconds",IF(AI31=1,"Watched but no reaction — end on a question or opinion","Solid Short — keep iterating")))),IF(OR(AG31="",AH31=""),"Add CTR &amp; % viewed to diagnose",IF(AND(AG31&gt;=3,AH31&gt;=3),"WINNER — make a sequel, series or Shorts from it",IF(AND(AG31&gt;=3,AH31&lt;=2),"Click but leave — intro too slow or title over-promises",IF(AND(AG31&lt;=2,AH31&gt;=3),"Great video, weak packaging — A/B test title + thumbnail",IF(AND(AG31=1,AH31=1),"Topic miss — don't repeat this angle","Average — sharpen the hook and the title")))))))</f>
        <v/>
      </c>
      <c r="AE31" s="76" t="str">
        <f aca="false">IF(OR(A31="",N(E31)=0),"",Q31&amp;"-"&amp;(COUNTIFS($Q$5:$Q$204,Q31,$E$5:$E$204,"&gt;"&amp;E31)+COUNTIFS($Q$5:Q31,Q31,$E$5:E31,E31)))</f>
        <v/>
      </c>
      <c r="AF31" s="77" t="str">
        <f aca="false">IF(AND(Q31="Long",N(F31)&gt;=Benchmarks!$C$15,G31&lt;&gt;""),G31,"")</f>
        <v/>
      </c>
      <c r="AG31" s="78" t="str">
        <f aca="false">IF(Z31="Elite",4,IF(Z31="Strong",3,IF(Z31="Average",2,IF(Z31="Needs work",1,""))))</f>
        <v/>
      </c>
      <c r="AH31" s="78" t="str">
        <f aca="false">IF(AA31="Elite",4,IF(AA31="Strong",3,IF(AA31="Average",2,IF(AA31="Needs work",1,""))))</f>
        <v/>
      </c>
      <c r="AI31" s="78" t="str">
        <f aca="false">IF(AB31="Elite",4,IF(AB31="Strong",3,IF(AB31="Average",2,IF(AB31="Needs work",1,""))))</f>
        <v/>
      </c>
    </row>
    <row r="32" customFormat="false" ht="15" hidden="false" customHeight="false" outlineLevel="0" collapsed="false">
      <c r="A32" s="64"/>
      <c r="B32" s="65"/>
      <c r="C32" s="66"/>
      <c r="D32" s="67"/>
      <c r="E32" s="67"/>
      <c r="F32" s="67"/>
      <c r="G32" s="68"/>
      <c r="H32" s="69"/>
      <c r="I32" s="68"/>
      <c r="J32" s="70"/>
      <c r="K32" s="67"/>
      <c r="L32" s="67"/>
      <c r="M32" s="67"/>
      <c r="N32" s="67"/>
      <c r="O32" s="67"/>
      <c r="P32" s="71"/>
      <c r="Q32" s="72" t="str">
        <f aca="false">IF(A32="","",IF(C32&lt;&gt;"",C32,IF(AND(D32&lt;&gt;"",D32&lt;=180),"Short","Long")))</f>
        <v/>
      </c>
      <c r="R32" s="73" t="str">
        <f aca="false">IF(OR(A32="",D32=""),"",D32/60)</f>
        <v/>
      </c>
      <c r="S32" s="72" t="str">
        <f aca="false">IF(OR(A32="",B32=""),"",IF(AND(B32&gt;=DATE(2026,4,1),B32&lt;=DATE(2026,6,30)),"Yes","No"))</f>
        <v/>
      </c>
      <c r="T32" s="72" t="str">
        <f aca="false">IF(OR(A32="",B32=""),"",CHOOSE(WEEKDAY(B32),"Sun","Mon","Tue","Wed","Thu","Fri","Sat"))</f>
        <v/>
      </c>
      <c r="U32" s="72" t="str">
        <f aca="false">IF(OR(Q32&lt;&gt;"Long",D32=""),"",IF(D32&lt;480,"Under 8 min",IF(D32&lt;900,"8–15 min",IF(D32&lt;1500,"15–25 min","25+ min"))))</f>
        <v/>
      </c>
      <c r="V32" s="74" t="str">
        <f aca="false">IF(OR(A32="",N(E32)=0),"",(N(K32)+N(L32))/E32*100)</f>
        <v/>
      </c>
      <c r="W32" s="73" t="str">
        <f aca="false">IF(OR(A32="",N(E32)=0),"",N(L32)/E32*1000)</f>
        <v/>
      </c>
      <c r="X32" s="75" t="str">
        <f aca="false">IF(A32="","",N(N32)-N(O32))</f>
        <v/>
      </c>
      <c r="Y32" s="73" t="str">
        <f aca="false">IF(OR(A32="",N(E32)=0),"",X32/E32*1000)</f>
        <v/>
      </c>
      <c r="Z32" s="72" t="str">
        <f aca="false">IF(OR(A32="",G32=""),"",IF(Q32="Short","n/a (Short)",IF(G32&gt;=Benchmarks!$E$5,"Elite",IF(G32&gt;=Benchmarks!$D$5,"Strong",IF(G32&gt;=Benchmarks!$C$5,"Average","Needs work")))))</f>
        <v/>
      </c>
      <c r="AA32" s="72" t="str">
        <f aca="false">IF(OR(A32="",I32=""),"",IF(Q32="Short",IF(I32&gt;=Benchmarks!$E$7,"Elite",IF(I32&gt;=Benchmarks!$D$7,"Strong",IF(I32&gt;=Benchmarks!$C$7,"Average","Needs work"))),IF(I32&gt;=Benchmarks!$E$6,"Elite",IF(I32&gt;=Benchmarks!$D$6,"Strong",IF(I32&gt;=Benchmarks!$C$6,"Average","Needs work")))))</f>
        <v/>
      </c>
      <c r="AB32" s="72" t="str">
        <f aca="false">IF(V32="","",IF(V32&gt;=Benchmarks!$E$8,"Elite",IF(V32&gt;=Benchmarks!$D$8,"Strong",IF(V32&gt;=Benchmarks!$C$8,"Average","Needs work"))))</f>
        <v/>
      </c>
      <c r="AC32" s="73" t="str">
        <f aca="false">IF(COUNT(AG32:AI32)=0,"",AVERAGE(AG32:AI32))</f>
        <v/>
      </c>
      <c r="AD32" s="37" t="str">
        <f aca="false">IF(A32="","",IF(Q32="Short",IF(AH32="","Add % viewed to diagnose",IF(AND(AH32&gt;=3,N(AI32)&gt;=3),"Winner Short — expand it into a long-form video",IF(AH32&lt;=1,"Hook problem — viewers swipe away in the first seconds",IF(AI32=1,"Watched but no reaction — end on a question or opinion","Solid Short — keep iterating")))),IF(OR(AG32="",AH32=""),"Add CTR &amp; % viewed to diagnose",IF(AND(AG32&gt;=3,AH32&gt;=3),"WINNER — make a sequel, series or Shorts from it",IF(AND(AG32&gt;=3,AH32&lt;=2),"Click but leave — intro too slow or title over-promises",IF(AND(AG32&lt;=2,AH32&gt;=3),"Great video, weak packaging — A/B test title + thumbnail",IF(AND(AG32=1,AH32=1),"Topic miss — don't repeat this angle","Average — sharpen the hook and the title")))))))</f>
        <v/>
      </c>
      <c r="AE32" s="76" t="str">
        <f aca="false">IF(OR(A32="",N(E32)=0),"",Q32&amp;"-"&amp;(COUNTIFS($Q$5:$Q$204,Q32,$E$5:$E$204,"&gt;"&amp;E32)+COUNTIFS($Q$5:Q32,Q32,$E$5:E32,E32)))</f>
        <v/>
      </c>
      <c r="AF32" s="77" t="str">
        <f aca="false">IF(AND(Q32="Long",N(F32)&gt;=Benchmarks!$C$15,G32&lt;&gt;""),G32,"")</f>
        <v/>
      </c>
      <c r="AG32" s="78" t="str">
        <f aca="false">IF(Z32="Elite",4,IF(Z32="Strong",3,IF(Z32="Average",2,IF(Z32="Needs work",1,""))))</f>
        <v/>
      </c>
      <c r="AH32" s="78" t="str">
        <f aca="false">IF(AA32="Elite",4,IF(AA32="Strong",3,IF(AA32="Average",2,IF(AA32="Needs work",1,""))))</f>
        <v/>
      </c>
      <c r="AI32" s="78" t="str">
        <f aca="false">IF(AB32="Elite",4,IF(AB32="Strong",3,IF(AB32="Average",2,IF(AB32="Needs work",1,""))))</f>
        <v/>
      </c>
    </row>
    <row r="33" customFormat="false" ht="15" hidden="false" customHeight="false" outlineLevel="0" collapsed="false">
      <c r="A33" s="64"/>
      <c r="B33" s="65"/>
      <c r="C33" s="66"/>
      <c r="D33" s="67"/>
      <c r="E33" s="67"/>
      <c r="F33" s="67"/>
      <c r="G33" s="68"/>
      <c r="H33" s="69"/>
      <c r="I33" s="68"/>
      <c r="J33" s="70"/>
      <c r="K33" s="67"/>
      <c r="L33" s="67"/>
      <c r="M33" s="67"/>
      <c r="N33" s="67"/>
      <c r="O33" s="67"/>
      <c r="P33" s="71"/>
      <c r="Q33" s="72" t="str">
        <f aca="false">IF(A33="","",IF(C33&lt;&gt;"",C33,IF(AND(D33&lt;&gt;"",D33&lt;=180),"Short","Long")))</f>
        <v/>
      </c>
      <c r="R33" s="73" t="str">
        <f aca="false">IF(OR(A33="",D33=""),"",D33/60)</f>
        <v/>
      </c>
      <c r="S33" s="72" t="str">
        <f aca="false">IF(OR(A33="",B33=""),"",IF(AND(B33&gt;=DATE(2026,4,1),B33&lt;=DATE(2026,6,30)),"Yes","No"))</f>
        <v/>
      </c>
      <c r="T33" s="72" t="str">
        <f aca="false">IF(OR(A33="",B33=""),"",CHOOSE(WEEKDAY(B33),"Sun","Mon","Tue","Wed","Thu","Fri","Sat"))</f>
        <v/>
      </c>
      <c r="U33" s="72" t="str">
        <f aca="false">IF(OR(Q33&lt;&gt;"Long",D33=""),"",IF(D33&lt;480,"Under 8 min",IF(D33&lt;900,"8–15 min",IF(D33&lt;1500,"15–25 min","25+ min"))))</f>
        <v/>
      </c>
      <c r="V33" s="74" t="str">
        <f aca="false">IF(OR(A33="",N(E33)=0),"",(N(K33)+N(L33))/E33*100)</f>
        <v/>
      </c>
      <c r="W33" s="73" t="str">
        <f aca="false">IF(OR(A33="",N(E33)=0),"",N(L33)/E33*1000)</f>
        <v/>
      </c>
      <c r="X33" s="75" t="str">
        <f aca="false">IF(A33="","",N(N33)-N(O33))</f>
        <v/>
      </c>
      <c r="Y33" s="73" t="str">
        <f aca="false">IF(OR(A33="",N(E33)=0),"",X33/E33*1000)</f>
        <v/>
      </c>
      <c r="Z33" s="72" t="str">
        <f aca="false">IF(OR(A33="",G33=""),"",IF(Q33="Short","n/a (Short)",IF(G33&gt;=Benchmarks!$E$5,"Elite",IF(G33&gt;=Benchmarks!$D$5,"Strong",IF(G33&gt;=Benchmarks!$C$5,"Average","Needs work")))))</f>
        <v/>
      </c>
      <c r="AA33" s="72" t="str">
        <f aca="false">IF(OR(A33="",I33=""),"",IF(Q33="Short",IF(I33&gt;=Benchmarks!$E$7,"Elite",IF(I33&gt;=Benchmarks!$D$7,"Strong",IF(I33&gt;=Benchmarks!$C$7,"Average","Needs work"))),IF(I33&gt;=Benchmarks!$E$6,"Elite",IF(I33&gt;=Benchmarks!$D$6,"Strong",IF(I33&gt;=Benchmarks!$C$6,"Average","Needs work")))))</f>
        <v/>
      </c>
      <c r="AB33" s="72" t="str">
        <f aca="false">IF(V33="","",IF(V33&gt;=Benchmarks!$E$8,"Elite",IF(V33&gt;=Benchmarks!$D$8,"Strong",IF(V33&gt;=Benchmarks!$C$8,"Average","Needs work"))))</f>
        <v/>
      </c>
      <c r="AC33" s="73" t="str">
        <f aca="false">IF(COUNT(AG33:AI33)=0,"",AVERAGE(AG33:AI33))</f>
        <v/>
      </c>
      <c r="AD33" s="37" t="str">
        <f aca="false">IF(A33="","",IF(Q33="Short",IF(AH33="","Add % viewed to diagnose",IF(AND(AH33&gt;=3,N(AI33)&gt;=3),"Winner Short — expand it into a long-form video",IF(AH33&lt;=1,"Hook problem — viewers swipe away in the first seconds",IF(AI33=1,"Watched but no reaction — end on a question or opinion","Solid Short — keep iterating")))),IF(OR(AG33="",AH33=""),"Add CTR &amp; % viewed to diagnose",IF(AND(AG33&gt;=3,AH33&gt;=3),"WINNER — make a sequel, series or Shorts from it",IF(AND(AG33&gt;=3,AH33&lt;=2),"Click but leave — intro too slow or title over-promises",IF(AND(AG33&lt;=2,AH33&gt;=3),"Great video, weak packaging — A/B test title + thumbnail",IF(AND(AG33=1,AH33=1),"Topic miss — don't repeat this angle","Average — sharpen the hook and the title")))))))</f>
        <v/>
      </c>
      <c r="AE33" s="76" t="str">
        <f aca="false">IF(OR(A33="",N(E33)=0),"",Q33&amp;"-"&amp;(COUNTIFS($Q$5:$Q$204,Q33,$E$5:$E$204,"&gt;"&amp;E33)+COUNTIFS($Q$5:Q33,Q33,$E$5:E33,E33)))</f>
        <v/>
      </c>
      <c r="AF33" s="77" t="str">
        <f aca="false">IF(AND(Q33="Long",N(F33)&gt;=Benchmarks!$C$15,G33&lt;&gt;""),G33,"")</f>
        <v/>
      </c>
      <c r="AG33" s="78" t="str">
        <f aca="false">IF(Z33="Elite",4,IF(Z33="Strong",3,IF(Z33="Average",2,IF(Z33="Needs work",1,""))))</f>
        <v/>
      </c>
      <c r="AH33" s="78" t="str">
        <f aca="false">IF(AA33="Elite",4,IF(AA33="Strong",3,IF(AA33="Average",2,IF(AA33="Needs work",1,""))))</f>
        <v/>
      </c>
      <c r="AI33" s="78" t="str">
        <f aca="false">IF(AB33="Elite",4,IF(AB33="Strong",3,IF(AB33="Average",2,IF(AB33="Needs work",1,""))))</f>
        <v/>
      </c>
    </row>
    <row r="34" customFormat="false" ht="15" hidden="false" customHeight="false" outlineLevel="0" collapsed="false">
      <c r="A34" s="64"/>
      <c r="B34" s="65"/>
      <c r="C34" s="66"/>
      <c r="D34" s="67"/>
      <c r="E34" s="67"/>
      <c r="F34" s="67"/>
      <c r="G34" s="68"/>
      <c r="H34" s="69"/>
      <c r="I34" s="68"/>
      <c r="J34" s="70"/>
      <c r="K34" s="67"/>
      <c r="L34" s="67"/>
      <c r="M34" s="67"/>
      <c r="N34" s="67"/>
      <c r="O34" s="67"/>
      <c r="P34" s="71"/>
      <c r="Q34" s="72" t="str">
        <f aca="false">IF(A34="","",IF(C34&lt;&gt;"",C34,IF(AND(D34&lt;&gt;"",D34&lt;=180),"Short","Long")))</f>
        <v/>
      </c>
      <c r="R34" s="73" t="str">
        <f aca="false">IF(OR(A34="",D34=""),"",D34/60)</f>
        <v/>
      </c>
      <c r="S34" s="72" t="str">
        <f aca="false">IF(OR(A34="",B34=""),"",IF(AND(B34&gt;=DATE(2026,4,1),B34&lt;=DATE(2026,6,30)),"Yes","No"))</f>
        <v/>
      </c>
      <c r="T34" s="72" t="str">
        <f aca="false">IF(OR(A34="",B34=""),"",CHOOSE(WEEKDAY(B34),"Sun","Mon","Tue","Wed","Thu","Fri","Sat"))</f>
        <v/>
      </c>
      <c r="U34" s="72" t="str">
        <f aca="false">IF(OR(Q34&lt;&gt;"Long",D34=""),"",IF(D34&lt;480,"Under 8 min",IF(D34&lt;900,"8–15 min",IF(D34&lt;1500,"15–25 min","25+ min"))))</f>
        <v/>
      </c>
      <c r="V34" s="74" t="str">
        <f aca="false">IF(OR(A34="",N(E34)=0),"",(N(K34)+N(L34))/E34*100)</f>
        <v/>
      </c>
      <c r="W34" s="73" t="str">
        <f aca="false">IF(OR(A34="",N(E34)=0),"",N(L34)/E34*1000)</f>
        <v/>
      </c>
      <c r="X34" s="75" t="str">
        <f aca="false">IF(A34="","",N(N34)-N(O34))</f>
        <v/>
      </c>
      <c r="Y34" s="73" t="str">
        <f aca="false">IF(OR(A34="",N(E34)=0),"",X34/E34*1000)</f>
        <v/>
      </c>
      <c r="Z34" s="72" t="str">
        <f aca="false">IF(OR(A34="",G34=""),"",IF(Q34="Short","n/a (Short)",IF(G34&gt;=Benchmarks!$E$5,"Elite",IF(G34&gt;=Benchmarks!$D$5,"Strong",IF(G34&gt;=Benchmarks!$C$5,"Average","Needs work")))))</f>
        <v/>
      </c>
      <c r="AA34" s="72" t="str">
        <f aca="false">IF(OR(A34="",I34=""),"",IF(Q34="Short",IF(I34&gt;=Benchmarks!$E$7,"Elite",IF(I34&gt;=Benchmarks!$D$7,"Strong",IF(I34&gt;=Benchmarks!$C$7,"Average","Needs work"))),IF(I34&gt;=Benchmarks!$E$6,"Elite",IF(I34&gt;=Benchmarks!$D$6,"Strong",IF(I34&gt;=Benchmarks!$C$6,"Average","Needs work")))))</f>
        <v/>
      </c>
      <c r="AB34" s="72" t="str">
        <f aca="false">IF(V34="","",IF(V34&gt;=Benchmarks!$E$8,"Elite",IF(V34&gt;=Benchmarks!$D$8,"Strong",IF(V34&gt;=Benchmarks!$C$8,"Average","Needs work"))))</f>
        <v/>
      </c>
      <c r="AC34" s="73" t="str">
        <f aca="false">IF(COUNT(AG34:AI34)=0,"",AVERAGE(AG34:AI34))</f>
        <v/>
      </c>
      <c r="AD34" s="37" t="str">
        <f aca="false">IF(A34="","",IF(Q34="Short",IF(AH34="","Add % viewed to diagnose",IF(AND(AH34&gt;=3,N(AI34)&gt;=3),"Winner Short — expand it into a long-form video",IF(AH34&lt;=1,"Hook problem — viewers swipe away in the first seconds",IF(AI34=1,"Watched but no reaction — end on a question or opinion","Solid Short — keep iterating")))),IF(OR(AG34="",AH34=""),"Add CTR &amp; % viewed to diagnose",IF(AND(AG34&gt;=3,AH34&gt;=3),"WINNER — make a sequel, series or Shorts from it",IF(AND(AG34&gt;=3,AH34&lt;=2),"Click but leave — intro too slow or title over-promises",IF(AND(AG34&lt;=2,AH34&gt;=3),"Great video, weak packaging — A/B test title + thumbnail",IF(AND(AG34=1,AH34=1),"Topic miss — don't repeat this angle","Average — sharpen the hook and the title")))))))</f>
        <v/>
      </c>
      <c r="AE34" s="76" t="str">
        <f aca="false">IF(OR(A34="",N(E34)=0),"",Q34&amp;"-"&amp;(COUNTIFS($Q$5:$Q$204,Q34,$E$5:$E$204,"&gt;"&amp;E34)+COUNTIFS($Q$5:Q34,Q34,$E$5:E34,E34)))</f>
        <v/>
      </c>
      <c r="AF34" s="77" t="str">
        <f aca="false">IF(AND(Q34="Long",N(F34)&gt;=Benchmarks!$C$15,G34&lt;&gt;""),G34,"")</f>
        <v/>
      </c>
      <c r="AG34" s="78" t="str">
        <f aca="false">IF(Z34="Elite",4,IF(Z34="Strong",3,IF(Z34="Average",2,IF(Z34="Needs work",1,""))))</f>
        <v/>
      </c>
      <c r="AH34" s="78" t="str">
        <f aca="false">IF(AA34="Elite",4,IF(AA34="Strong",3,IF(AA34="Average",2,IF(AA34="Needs work",1,""))))</f>
        <v/>
      </c>
      <c r="AI34" s="78" t="str">
        <f aca="false">IF(AB34="Elite",4,IF(AB34="Strong",3,IF(AB34="Average",2,IF(AB34="Needs work",1,""))))</f>
        <v/>
      </c>
    </row>
    <row r="35" customFormat="false" ht="15" hidden="false" customHeight="false" outlineLevel="0" collapsed="false">
      <c r="A35" s="64"/>
      <c r="B35" s="65"/>
      <c r="C35" s="66"/>
      <c r="D35" s="67"/>
      <c r="E35" s="67"/>
      <c r="F35" s="67"/>
      <c r="G35" s="68"/>
      <c r="H35" s="69"/>
      <c r="I35" s="68"/>
      <c r="J35" s="70"/>
      <c r="K35" s="67"/>
      <c r="L35" s="67"/>
      <c r="M35" s="67"/>
      <c r="N35" s="67"/>
      <c r="O35" s="67"/>
      <c r="P35" s="71"/>
      <c r="Q35" s="72" t="str">
        <f aca="false">IF(A35="","",IF(C35&lt;&gt;"",C35,IF(AND(D35&lt;&gt;"",D35&lt;=180),"Short","Long")))</f>
        <v/>
      </c>
      <c r="R35" s="73" t="str">
        <f aca="false">IF(OR(A35="",D35=""),"",D35/60)</f>
        <v/>
      </c>
      <c r="S35" s="72" t="str">
        <f aca="false">IF(OR(A35="",B35=""),"",IF(AND(B35&gt;=DATE(2026,4,1),B35&lt;=DATE(2026,6,30)),"Yes","No"))</f>
        <v/>
      </c>
      <c r="T35" s="72" t="str">
        <f aca="false">IF(OR(A35="",B35=""),"",CHOOSE(WEEKDAY(B35),"Sun","Mon","Tue","Wed","Thu","Fri","Sat"))</f>
        <v/>
      </c>
      <c r="U35" s="72" t="str">
        <f aca="false">IF(OR(Q35&lt;&gt;"Long",D35=""),"",IF(D35&lt;480,"Under 8 min",IF(D35&lt;900,"8–15 min",IF(D35&lt;1500,"15–25 min","25+ min"))))</f>
        <v/>
      </c>
      <c r="V35" s="74" t="str">
        <f aca="false">IF(OR(A35="",N(E35)=0),"",(N(K35)+N(L35))/E35*100)</f>
        <v/>
      </c>
      <c r="W35" s="73" t="str">
        <f aca="false">IF(OR(A35="",N(E35)=0),"",N(L35)/E35*1000)</f>
        <v/>
      </c>
      <c r="X35" s="75" t="str">
        <f aca="false">IF(A35="","",N(N35)-N(O35))</f>
        <v/>
      </c>
      <c r="Y35" s="73" t="str">
        <f aca="false">IF(OR(A35="",N(E35)=0),"",X35/E35*1000)</f>
        <v/>
      </c>
      <c r="Z35" s="72" t="str">
        <f aca="false">IF(OR(A35="",G35=""),"",IF(Q35="Short","n/a (Short)",IF(G35&gt;=Benchmarks!$E$5,"Elite",IF(G35&gt;=Benchmarks!$D$5,"Strong",IF(G35&gt;=Benchmarks!$C$5,"Average","Needs work")))))</f>
        <v/>
      </c>
      <c r="AA35" s="72" t="str">
        <f aca="false">IF(OR(A35="",I35=""),"",IF(Q35="Short",IF(I35&gt;=Benchmarks!$E$7,"Elite",IF(I35&gt;=Benchmarks!$D$7,"Strong",IF(I35&gt;=Benchmarks!$C$7,"Average","Needs work"))),IF(I35&gt;=Benchmarks!$E$6,"Elite",IF(I35&gt;=Benchmarks!$D$6,"Strong",IF(I35&gt;=Benchmarks!$C$6,"Average","Needs work")))))</f>
        <v/>
      </c>
      <c r="AB35" s="72" t="str">
        <f aca="false">IF(V35="","",IF(V35&gt;=Benchmarks!$E$8,"Elite",IF(V35&gt;=Benchmarks!$D$8,"Strong",IF(V35&gt;=Benchmarks!$C$8,"Average","Needs work"))))</f>
        <v/>
      </c>
      <c r="AC35" s="73" t="str">
        <f aca="false">IF(COUNT(AG35:AI35)=0,"",AVERAGE(AG35:AI35))</f>
        <v/>
      </c>
      <c r="AD35" s="37" t="str">
        <f aca="false">IF(A35="","",IF(Q35="Short",IF(AH35="","Add % viewed to diagnose",IF(AND(AH35&gt;=3,N(AI35)&gt;=3),"Winner Short — expand it into a long-form video",IF(AH35&lt;=1,"Hook problem — viewers swipe away in the first seconds",IF(AI35=1,"Watched but no reaction — end on a question or opinion","Solid Short — keep iterating")))),IF(OR(AG35="",AH35=""),"Add CTR &amp; % viewed to diagnose",IF(AND(AG35&gt;=3,AH35&gt;=3),"WINNER — make a sequel, series or Shorts from it",IF(AND(AG35&gt;=3,AH35&lt;=2),"Click but leave — intro too slow or title over-promises",IF(AND(AG35&lt;=2,AH35&gt;=3),"Great video, weak packaging — A/B test title + thumbnail",IF(AND(AG35=1,AH35=1),"Topic miss — don't repeat this angle","Average — sharpen the hook and the title")))))))</f>
        <v/>
      </c>
      <c r="AE35" s="76" t="str">
        <f aca="false">IF(OR(A35="",N(E35)=0),"",Q35&amp;"-"&amp;(COUNTIFS($Q$5:$Q$204,Q35,$E$5:$E$204,"&gt;"&amp;E35)+COUNTIFS($Q$5:Q35,Q35,$E$5:E35,E35)))</f>
        <v/>
      </c>
      <c r="AF35" s="77" t="str">
        <f aca="false">IF(AND(Q35="Long",N(F35)&gt;=Benchmarks!$C$15,G35&lt;&gt;""),G35,"")</f>
        <v/>
      </c>
      <c r="AG35" s="78" t="str">
        <f aca="false">IF(Z35="Elite",4,IF(Z35="Strong",3,IF(Z35="Average",2,IF(Z35="Needs work",1,""))))</f>
        <v/>
      </c>
      <c r="AH35" s="78" t="str">
        <f aca="false">IF(AA35="Elite",4,IF(AA35="Strong",3,IF(AA35="Average",2,IF(AA35="Needs work",1,""))))</f>
        <v/>
      </c>
      <c r="AI35" s="78" t="str">
        <f aca="false">IF(AB35="Elite",4,IF(AB35="Strong",3,IF(AB35="Average",2,IF(AB35="Needs work",1,""))))</f>
        <v/>
      </c>
    </row>
    <row r="36" customFormat="false" ht="15" hidden="false" customHeight="false" outlineLevel="0" collapsed="false">
      <c r="A36" s="64"/>
      <c r="B36" s="65"/>
      <c r="C36" s="66"/>
      <c r="D36" s="67"/>
      <c r="E36" s="67"/>
      <c r="F36" s="67"/>
      <c r="G36" s="68"/>
      <c r="H36" s="69"/>
      <c r="I36" s="68"/>
      <c r="J36" s="70"/>
      <c r="K36" s="67"/>
      <c r="L36" s="67"/>
      <c r="M36" s="67"/>
      <c r="N36" s="67"/>
      <c r="O36" s="67"/>
      <c r="P36" s="71"/>
      <c r="Q36" s="72" t="str">
        <f aca="false">IF(A36="","",IF(C36&lt;&gt;"",C36,IF(AND(D36&lt;&gt;"",D36&lt;=180),"Short","Long")))</f>
        <v/>
      </c>
      <c r="R36" s="73" t="str">
        <f aca="false">IF(OR(A36="",D36=""),"",D36/60)</f>
        <v/>
      </c>
      <c r="S36" s="72" t="str">
        <f aca="false">IF(OR(A36="",B36=""),"",IF(AND(B36&gt;=DATE(2026,4,1),B36&lt;=DATE(2026,6,30)),"Yes","No"))</f>
        <v/>
      </c>
      <c r="T36" s="72" t="str">
        <f aca="false">IF(OR(A36="",B36=""),"",CHOOSE(WEEKDAY(B36),"Sun","Mon","Tue","Wed","Thu","Fri","Sat"))</f>
        <v/>
      </c>
      <c r="U36" s="72" t="str">
        <f aca="false">IF(OR(Q36&lt;&gt;"Long",D36=""),"",IF(D36&lt;480,"Under 8 min",IF(D36&lt;900,"8–15 min",IF(D36&lt;1500,"15–25 min","25+ min"))))</f>
        <v/>
      </c>
      <c r="V36" s="74" t="str">
        <f aca="false">IF(OR(A36="",N(E36)=0),"",(N(K36)+N(L36))/E36*100)</f>
        <v/>
      </c>
      <c r="W36" s="73" t="str">
        <f aca="false">IF(OR(A36="",N(E36)=0),"",N(L36)/E36*1000)</f>
        <v/>
      </c>
      <c r="X36" s="75" t="str">
        <f aca="false">IF(A36="","",N(N36)-N(O36))</f>
        <v/>
      </c>
      <c r="Y36" s="73" t="str">
        <f aca="false">IF(OR(A36="",N(E36)=0),"",X36/E36*1000)</f>
        <v/>
      </c>
      <c r="Z36" s="72" t="str">
        <f aca="false">IF(OR(A36="",G36=""),"",IF(Q36="Short","n/a (Short)",IF(G36&gt;=Benchmarks!$E$5,"Elite",IF(G36&gt;=Benchmarks!$D$5,"Strong",IF(G36&gt;=Benchmarks!$C$5,"Average","Needs work")))))</f>
        <v/>
      </c>
      <c r="AA36" s="72" t="str">
        <f aca="false">IF(OR(A36="",I36=""),"",IF(Q36="Short",IF(I36&gt;=Benchmarks!$E$7,"Elite",IF(I36&gt;=Benchmarks!$D$7,"Strong",IF(I36&gt;=Benchmarks!$C$7,"Average","Needs work"))),IF(I36&gt;=Benchmarks!$E$6,"Elite",IF(I36&gt;=Benchmarks!$D$6,"Strong",IF(I36&gt;=Benchmarks!$C$6,"Average","Needs work")))))</f>
        <v/>
      </c>
      <c r="AB36" s="72" t="str">
        <f aca="false">IF(V36="","",IF(V36&gt;=Benchmarks!$E$8,"Elite",IF(V36&gt;=Benchmarks!$D$8,"Strong",IF(V36&gt;=Benchmarks!$C$8,"Average","Needs work"))))</f>
        <v/>
      </c>
      <c r="AC36" s="73" t="str">
        <f aca="false">IF(COUNT(AG36:AI36)=0,"",AVERAGE(AG36:AI36))</f>
        <v/>
      </c>
      <c r="AD36" s="37" t="str">
        <f aca="false">IF(A36="","",IF(Q36="Short",IF(AH36="","Add % viewed to diagnose",IF(AND(AH36&gt;=3,N(AI36)&gt;=3),"Winner Short — expand it into a long-form video",IF(AH36&lt;=1,"Hook problem — viewers swipe away in the first seconds",IF(AI36=1,"Watched but no reaction — end on a question or opinion","Solid Short — keep iterating")))),IF(OR(AG36="",AH36=""),"Add CTR &amp; % viewed to diagnose",IF(AND(AG36&gt;=3,AH36&gt;=3),"WINNER — make a sequel, series or Shorts from it",IF(AND(AG36&gt;=3,AH36&lt;=2),"Click but leave — intro too slow or title over-promises",IF(AND(AG36&lt;=2,AH36&gt;=3),"Great video, weak packaging — A/B test title + thumbnail",IF(AND(AG36=1,AH36=1),"Topic miss — don't repeat this angle","Average — sharpen the hook and the title")))))))</f>
        <v/>
      </c>
      <c r="AE36" s="76" t="str">
        <f aca="false">IF(OR(A36="",N(E36)=0),"",Q36&amp;"-"&amp;(COUNTIFS($Q$5:$Q$204,Q36,$E$5:$E$204,"&gt;"&amp;E36)+COUNTIFS($Q$5:Q36,Q36,$E$5:E36,E36)))</f>
        <v/>
      </c>
      <c r="AF36" s="77" t="str">
        <f aca="false">IF(AND(Q36="Long",N(F36)&gt;=Benchmarks!$C$15,G36&lt;&gt;""),G36,"")</f>
        <v/>
      </c>
      <c r="AG36" s="78" t="str">
        <f aca="false">IF(Z36="Elite",4,IF(Z36="Strong",3,IF(Z36="Average",2,IF(Z36="Needs work",1,""))))</f>
        <v/>
      </c>
      <c r="AH36" s="78" t="str">
        <f aca="false">IF(AA36="Elite",4,IF(AA36="Strong",3,IF(AA36="Average",2,IF(AA36="Needs work",1,""))))</f>
        <v/>
      </c>
      <c r="AI36" s="78" t="str">
        <f aca="false">IF(AB36="Elite",4,IF(AB36="Strong",3,IF(AB36="Average",2,IF(AB36="Needs work",1,""))))</f>
        <v/>
      </c>
    </row>
    <row r="37" customFormat="false" ht="15" hidden="false" customHeight="false" outlineLevel="0" collapsed="false">
      <c r="A37" s="64"/>
      <c r="B37" s="65"/>
      <c r="C37" s="66"/>
      <c r="D37" s="67"/>
      <c r="E37" s="67"/>
      <c r="F37" s="67"/>
      <c r="G37" s="68"/>
      <c r="H37" s="69"/>
      <c r="I37" s="68"/>
      <c r="J37" s="70"/>
      <c r="K37" s="67"/>
      <c r="L37" s="67"/>
      <c r="M37" s="67"/>
      <c r="N37" s="67"/>
      <c r="O37" s="67"/>
      <c r="P37" s="71"/>
      <c r="Q37" s="72" t="str">
        <f aca="false">IF(A37="","",IF(C37&lt;&gt;"",C37,IF(AND(D37&lt;&gt;"",D37&lt;=180),"Short","Long")))</f>
        <v/>
      </c>
      <c r="R37" s="73" t="str">
        <f aca="false">IF(OR(A37="",D37=""),"",D37/60)</f>
        <v/>
      </c>
      <c r="S37" s="72" t="str">
        <f aca="false">IF(OR(A37="",B37=""),"",IF(AND(B37&gt;=DATE(2026,4,1),B37&lt;=DATE(2026,6,30)),"Yes","No"))</f>
        <v/>
      </c>
      <c r="T37" s="72" t="str">
        <f aca="false">IF(OR(A37="",B37=""),"",CHOOSE(WEEKDAY(B37),"Sun","Mon","Tue","Wed","Thu","Fri","Sat"))</f>
        <v/>
      </c>
      <c r="U37" s="72" t="str">
        <f aca="false">IF(OR(Q37&lt;&gt;"Long",D37=""),"",IF(D37&lt;480,"Under 8 min",IF(D37&lt;900,"8–15 min",IF(D37&lt;1500,"15–25 min","25+ min"))))</f>
        <v/>
      </c>
      <c r="V37" s="74" t="str">
        <f aca="false">IF(OR(A37="",N(E37)=0),"",(N(K37)+N(L37))/E37*100)</f>
        <v/>
      </c>
      <c r="W37" s="73" t="str">
        <f aca="false">IF(OR(A37="",N(E37)=0),"",N(L37)/E37*1000)</f>
        <v/>
      </c>
      <c r="X37" s="75" t="str">
        <f aca="false">IF(A37="","",N(N37)-N(O37))</f>
        <v/>
      </c>
      <c r="Y37" s="73" t="str">
        <f aca="false">IF(OR(A37="",N(E37)=0),"",X37/E37*1000)</f>
        <v/>
      </c>
      <c r="Z37" s="72" t="str">
        <f aca="false">IF(OR(A37="",G37=""),"",IF(Q37="Short","n/a (Short)",IF(G37&gt;=Benchmarks!$E$5,"Elite",IF(G37&gt;=Benchmarks!$D$5,"Strong",IF(G37&gt;=Benchmarks!$C$5,"Average","Needs work")))))</f>
        <v/>
      </c>
      <c r="AA37" s="72" t="str">
        <f aca="false">IF(OR(A37="",I37=""),"",IF(Q37="Short",IF(I37&gt;=Benchmarks!$E$7,"Elite",IF(I37&gt;=Benchmarks!$D$7,"Strong",IF(I37&gt;=Benchmarks!$C$7,"Average","Needs work"))),IF(I37&gt;=Benchmarks!$E$6,"Elite",IF(I37&gt;=Benchmarks!$D$6,"Strong",IF(I37&gt;=Benchmarks!$C$6,"Average","Needs work")))))</f>
        <v/>
      </c>
      <c r="AB37" s="72" t="str">
        <f aca="false">IF(V37="","",IF(V37&gt;=Benchmarks!$E$8,"Elite",IF(V37&gt;=Benchmarks!$D$8,"Strong",IF(V37&gt;=Benchmarks!$C$8,"Average","Needs work"))))</f>
        <v/>
      </c>
      <c r="AC37" s="73" t="str">
        <f aca="false">IF(COUNT(AG37:AI37)=0,"",AVERAGE(AG37:AI37))</f>
        <v/>
      </c>
      <c r="AD37" s="37" t="str">
        <f aca="false">IF(A37="","",IF(Q37="Short",IF(AH37="","Add % viewed to diagnose",IF(AND(AH37&gt;=3,N(AI37)&gt;=3),"Winner Short — expand it into a long-form video",IF(AH37&lt;=1,"Hook problem — viewers swipe away in the first seconds",IF(AI37=1,"Watched but no reaction — end on a question or opinion","Solid Short — keep iterating")))),IF(OR(AG37="",AH37=""),"Add CTR &amp; % viewed to diagnose",IF(AND(AG37&gt;=3,AH37&gt;=3),"WINNER — make a sequel, series or Shorts from it",IF(AND(AG37&gt;=3,AH37&lt;=2),"Click but leave — intro too slow or title over-promises",IF(AND(AG37&lt;=2,AH37&gt;=3),"Great video, weak packaging — A/B test title + thumbnail",IF(AND(AG37=1,AH37=1),"Topic miss — don't repeat this angle","Average — sharpen the hook and the title")))))))</f>
        <v/>
      </c>
      <c r="AE37" s="76" t="str">
        <f aca="false">IF(OR(A37="",N(E37)=0),"",Q37&amp;"-"&amp;(COUNTIFS($Q$5:$Q$204,Q37,$E$5:$E$204,"&gt;"&amp;E37)+COUNTIFS($Q$5:Q37,Q37,$E$5:E37,E37)))</f>
        <v/>
      </c>
      <c r="AF37" s="77" t="str">
        <f aca="false">IF(AND(Q37="Long",N(F37)&gt;=Benchmarks!$C$15,G37&lt;&gt;""),G37,"")</f>
        <v/>
      </c>
      <c r="AG37" s="78" t="str">
        <f aca="false">IF(Z37="Elite",4,IF(Z37="Strong",3,IF(Z37="Average",2,IF(Z37="Needs work",1,""))))</f>
        <v/>
      </c>
      <c r="AH37" s="78" t="str">
        <f aca="false">IF(AA37="Elite",4,IF(AA37="Strong",3,IF(AA37="Average",2,IF(AA37="Needs work",1,""))))</f>
        <v/>
      </c>
      <c r="AI37" s="78" t="str">
        <f aca="false">IF(AB37="Elite",4,IF(AB37="Strong",3,IF(AB37="Average",2,IF(AB37="Needs work",1,""))))</f>
        <v/>
      </c>
    </row>
    <row r="38" customFormat="false" ht="15" hidden="false" customHeight="false" outlineLevel="0" collapsed="false">
      <c r="A38" s="64"/>
      <c r="B38" s="65"/>
      <c r="C38" s="66"/>
      <c r="D38" s="67"/>
      <c r="E38" s="67"/>
      <c r="F38" s="67"/>
      <c r="G38" s="68"/>
      <c r="H38" s="69"/>
      <c r="I38" s="68"/>
      <c r="J38" s="70"/>
      <c r="K38" s="67"/>
      <c r="L38" s="67"/>
      <c r="M38" s="67"/>
      <c r="N38" s="67"/>
      <c r="O38" s="67"/>
      <c r="P38" s="71"/>
      <c r="Q38" s="72" t="str">
        <f aca="false">IF(A38="","",IF(C38&lt;&gt;"",C38,IF(AND(D38&lt;&gt;"",D38&lt;=180),"Short","Long")))</f>
        <v/>
      </c>
      <c r="R38" s="73" t="str">
        <f aca="false">IF(OR(A38="",D38=""),"",D38/60)</f>
        <v/>
      </c>
      <c r="S38" s="72" t="str">
        <f aca="false">IF(OR(A38="",B38=""),"",IF(AND(B38&gt;=DATE(2026,4,1),B38&lt;=DATE(2026,6,30)),"Yes","No"))</f>
        <v/>
      </c>
      <c r="T38" s="72" t="str">
        <f aca="false">IF(OR(A38="",B38=""),"",CHOOSE(WEEKDAY(B38),"Sun","Mon","Tue","Wed","Thu","Fri","Sat"))</f>
        <v/>
      </c>
      <c r="U38" s="72" t="str">
        <f aca="false">IF(OR(Q38&lt;&gt;"Long",D38=""),"",IF(D38&lt;480,"Under 8 min",IF(D38&lt;900,"8–15 min",IF(D38&lt;1500,"15–25 min","25+ min"))))</f>
        <v/>
      </c>
      <c r="V38" s="74" t="str">
        <f aca="false">IF(OR(A38="",N(E38)=0),"",(N(K38)+N(L38))/E38*100)</f>
        <v/>
      </c>
      <c r="W38" s="73" t="str">
        <f aca="false">IF(OR(A38="",N(E38)=0),"",N(L38)/E38*1000)</f>
        <v/>
      </c>
      <c r="X38" s="75" t="str">
        <f aca="false">IF(A38="","",N(N38)-N(O38))</f>
        <v/>
      </c>
      <c r="Y38" s="73" t="str">
        <f aca="false">IF(OR(A38="",N(E38)=0),"",X38/E38*1000)</f>
        <v/>
      </c>
      <c r="Z38" s="72" t="str">
        <f aca="false">IF(OR(A38="",G38=""),"",IF(Q38="Short","n/a (Short)",IF(G38&gt;=Benchmarks!$E$5,"Elite",IF(G38&gt;=Benchmarks!$D$5,"Strong",IF(G38&gt;=Benchmarks!$C$5,"Average","Needs work")))))</f>
        <v/>
      </c>
      <c r="AA38" s="72" t="str">
        <f aca="false">IF(OR(A38="",I38=""),"",IF(Q38="Short",IF(I38&gt;=Benchmarks!$E$7,"Elite",IF(I38&gt;=Benchmarks!$D$7,"Strong",IF(I38&gt;=Benchmarks!$C$7,"Average","Needs work"))),IF(I38&gt;=Benchmarks!$E$6,"Elite",IF(I38&gt;=Benchmarks!$D$6,"Strong",IF(I38&gt;=Benchmarks!$C$6,"Average","Needs work")))))</f>
        <v/>
      </c>
      <c r="AB38" s="72" t="str">
        <f aca="false">IF(V38="","",IF(V38&gt;=Benchmarks!$E$8,"Elite",IF(V38&gt;=Benchmarks!$D$8,"Strong",IF(V38&gt;=Benchmarks!$C$8,"Average","Needs work"))))</f>
        <v/>
      </c>
      <c r="AC38" s="73" t="str">
        <f aca="false">IF(COUNT(AG38:AI38)=0,"",AVERAGE(AG38:AI38))</f>
        <v/>
      </c>
      <c r="AD38" s="37" t="str">
        <f aca="false">IF(A38="","",IF(Q38="Short",IF(AH38="","Add % viewed to diagnose",IF(AND(AH38&gt;=3,N(AI38)&gt;=3),"Winner Short — expand it into a long-form video",IF(AH38&lt;=1,"Hook problem — viewers swipe away in the first seconds",IF(AI38=1,"Watched but no reaction — end on a question or opinion","Solid Short — keep iterating")))),IF(OR(AG38="",AH38=""),"Add CTR &amp; % viewed to diagnose",IF(AND(AG38&gt;=3,AH38&gt;=3),"WINNER — make a sequel, series or Shorts from it",IF(AND(AG38&gt;=3,AH38&lt;=2),"Click but leave — intro too slow or title over-promises",IF(AND(AG38&lt;=2,AH38&gt;=3),"Great video, weak packaging — A/B test title + thumbnail",IF(AND(AG38=1,AH38=1),"Topic miss — don't repeat this angle","Average — sharpen the hook and the title")))))))</f>
        <v/>
      </c>
      <c r="AE38" s="76" t="str">
        <f aca="false">IF(OR(A38="",N(E38)=0),"",Q38&amp;"-"&amp;(COUNTIFS($Q$5:$Q$204,Q38,$E$5:$E$204,"&gt;"&amp;E38)+COUNTIFS($Q$5:Q38,Q38,$E$5:E38,E38)))</f>
        <v/>
      </c>
      <c r="AF38" s="77" t="str">
        <f aca="false">IF(AND(Q38="Long",N(F38)&gt;=Benchmarks!$C$15,G38&lt;&gt;""),G38,"")</f>
        <v/>
      </c>
      <c r="AG38" s="78" t="str">
        <f aca="false">IF(Z38="Elite",4,IF(Z38="Strong",3,IF(Z38="Average",2,IF(Z38="Needs work",1,""))))</f>
        <v/>
      </c>
      <c r="AH38" s="78" t="str">
        <f aca="false">IF(AA38="Elite",4,IF(AA38="Strong",3,IF(AA38="Average",2,IF(AA38="Needs work",1,""))))</f>
        <v/>
      </c>
      <c r="AI38" s="78" t="str">
        <f aca="false">IF(AB38="Elite",4,IF(AB38="Strong",3,IF(AB38="Average",2,IF(AB38="Needs work",1,""))))</f>
        <v/>
      </c>
    </row>
    <row r="39" customFormat="false" ht="15" hidden="false" customHeight="false" outlineLevel="0" collapsed="false">
      <c r="A39" s="64"/>
      <c r="B39" s="65"/>
      <c r="C39" s="66"/>
      <c r="D39" s="67"/>
      <c r="E39" s="67"/>
      <c r="F39" s="67"/>
      <c r="G39" s="68"/>
      <c r="H39" s="69"/>
      <c r="I39" s="68"/>
      <c r="J39" s="70"/>
      <c r="K39" s="67"/>
      <c r="L39" s="67"/>
      <c r="M39" s="67"/>
      <c r="N39" s="67"/>
      <c r="O39" s="67"/>
      <c r="P39" s="71"/>
      <c r="Q39" s="72" t="str">
        <f aca="false">IF(A39="","",IF(C39&lt;&gt;"",C39,IF(AND(D39&lt;&gt;"",D39&lt;=180),"Short","Long")))</f>
        <v/>
      </c>
      <c r="R39" s="73" t="str">
        <f aca="false">IF(OR(A39="",D39=""),"",D39/60)</f>
        <v/>
      </c>
      <c r="S39" s="72" t="str">
        <f aca="false">IF(OR(A39="",B39=""),"",IF(AND(B39&gt;=DATE(2026,4,1),B39&lt;=DATE(2026,6,30)),"Yes","No"))</f>
        <v/>
      </c>
      <c r="T39" s="72" t="str">
        <f aca="false">IF(OR(A39="",B39=""),"",CHOOSE(WEEKDAY(B39),"Sun","Mon","Tue","Wed","Thu","Fri","Sat"))</f>
        <v/>
      </c>
      <c r="U39" s="72" t="str">
        <f aca="false">IF(OR(Q39&lt;&gt;"Long",D39=""),"",IF(D39&lt;480,"Under 8 min",IF(D39&lt;900,"8–15 min",IF(D39&lt;1500,"15–25 min","25+ min"))))</f>
        <v/>
      </c>
      <c r="V39" s="74" t="str">
        <f aca="false">IF(OR(A39="",N(E39)=0),"",(N(K39)+N(L39))/E39*100)</f>
        <v/>
      </c>
      <c r="W39" s="73" t="str">
        <f aca="false">IF(OR(A39="",N(E39)=0),"",N(L39)/E39*1000)</f>
        <v/>
      </c>
      <c r="X39" s="75" t="str">
        <f aca="false">IF(A39="","",N(N39)-N(O39))</f>
        <v/>
      </c>
      <c r="Y39" s="73" t="str">
        <f aca="false">IF(OR(A39="",N(E39)=0),"",X39/E39*1000)</f>
        <v/>
      </c>
      <c r="Z39" s="72" t="str">
        <f aca="false">IF(OR(A39="",G39=""),"",IF(Q39="Short","n/a (Short)",IF(G39&gt;=Benchmarks!$E$5,"Elite",IF(G39&gt;=Benchmarks!$D$5,"Strong",IF(G39&gt;=Benchmarks!$C$5,"Average","Needs work")))))</f>
        <v/>
      </c>
      <c r="AA39" s="72" t="str">
        <f aca="false">IF(OR(A39="",I39=""),"",IF(Q39="Short",IF(I39&gt;=Benchmarks!$E$7,"Elite",IF(I39&gt;=Benchmarks!$D$7,"Strong",IF(I39&gt;=Benchmarks!$C$7,"Average","Needs work"))),IF(I39&gt;=Benchmarks!$E$6,"Elite",IF(I39&gt;=Benchmarks!$D$6,"Strong",IF(I39&gt;=Benchmarks!$C$6,"Average","Needs work")))))</f>
        <v/>
      </c>
      <c r="AB39" s="72" t="str">
        <f aca="false">IF(V39="","",IF(V39&gt;=Benchmarks!$E$8,"Elite",IF(V39&gt;=Benchmarks!$D$8,"Strong",IF(V39&gt;=Benchmarks!$C$8,"Average","Needs work"))))</f>
        <v/>
      </c>
      <c r="AC39" s="73" t="str">
        <f aca="false">IF(COUNT(AG39:AI39)=0,"",AVERAGE(AG39:AI39))</f>
        <v/>
      </c>
      <c r="AD39" s="37" t="str">
        <f aca="false">IF(A39="","",IF(Q39="Short",IF(AH39="","Add % viewed to diagnose",IF(AND(AH39&gt;=3,N(AI39)&gt;=3),"Winner Short — expand it into a long-form video",IF(AH39&lt;=1,"Hook problem — viewers swipe away in the first seconds",IF(AI39=1,"Watched but no reaction — end on a question or opinion","Solid Short — keep iterating")))),IF(OR(AG39="",AH39=""),"Add CTR &amp; % viewed to diagnose",IF(AND(AG39&gt;=3,AH39&gt;=3),"WINNER — make a sequel, series or Shorts from it",IF(AND(AG39&gt;=3,AH39&lt;=2),"Click but leave — intro too slow or title over-promises",IF(AND(AG39&lt;=2,AH39&gt;=3),"Great video, weak packaging — A/B test title + thumbnail",IF(AND(AG39=1,AH39=1),"Topic miss — don't repeat this angle","Average — sharpen the hook and the title")))))))</f>
        <v/>
      </c>
      <c r="AE39" s="76" t="str">
        <f aca="false">IF(OR(A39="",N(E39)=0),"",Q39&amp;"-"&amp;(COUNTIFS($Q$5:$Q$204,Q39,$E$5:$E$204,"&gt;"&amp;E39)+COUNTIFS($Q$5:Q39,Q39,$E$5:E39,E39)))</f>
        <v/>
      </c>
      <c r="AF39" s="77" t="str">
        <f aca="false">IF(AND(Q39="Long",N(F39)&gt;=Benchmarks!$C$15,G39&lt;&gt;""),G39,"")</f>
        <v/>
      </c>
      <c r="AG39" s="78" t="str">
        <f aca="false">IF(Z39="Elite",4,IF(Z39="Strong",3,IF(Z39="Average",2,IF(Z39="Needs work",1,""))))</f>
        <v/>
      </c>
      <c r="AH39" s="78" t="str">
        <f aca="false">IF(AA39="Elite",4,IF(AA39="Strong",3,IF(AA39="Average",2,IF(AA39="Needs work",1,""))))</f>
        <v/>
      </c>
      <c r="AI39" s="78" t="str">
        <f aca="false">IF(AB39="Elite",4,IF(AB39="Strong",3,IF(AB39="Average",2,IF(AB39="Needs work",1,""))))</f>
        <v/>
      </c>
    </row>
    <row r="40" customFormat="false" ht="15" hidden="false" customHeight="false" outlineLevel="0" collapsed="false">
      <c r="A40" s="64"/>
      <c r="B40" s="65"/>
      <c r="C40" s="66"/>
      <c r="D40" s="67"/>
      <c r="E40" s="67"/>
      <c r="F40" s="67"/>
      <c r="G40" s="68"/>
      <c r="H40" s="69"/>
      <c r="I40" s="68"/>
      <c r="J40" s="70"/>
      <c r="K40" s="67"/>
      <c r="L40" s="67"/>
      <c r="M40" s="67"/>
      <c r="N40" s="67"/>
      <c r="O40" s="67"/>
      <c r="P40" s="71"/>
      <c r="Q40" s="72" t="str">
        <f aca="false">IF(A40="","",IF(C40&lt;&gt;"",C40,IF(AND(D40&lt;&gt;"",D40&lt;=180),"Short","Long")))</f>
        <v/>
      </c>
      <c r="R40" s="73" t="str">
        <f aca="false">IF(OR(A40="",D40=""),"",D40/60)</f>
        <v/>
      </c>
      <c r="S40" s="72" t="str">
        <f aca="false">IF(OR(A40="",B40=""),"",IF(AND(B40&gt;=DATE(2026,4,1),B40&lt;=DATE(2026,6,30)),"Yes","No"))</f>
        <v/>
      </c>
      <c r="T40" s="72" t="str">
        <f aca="false">IF(OR(A40="",B40=""),"",CHOOSE(WEEKDAY(B40),"Sun","Mon","Tue","Wed","Thu","Fri","Sat"))</f>
        <v/>
      </c>
      <c r="U40" s="72" t="str">
        <f aca="false">IF(OR(Q40&lt;&gt;"Long",D40=""),"",IF(D40&lt;480,"Under 8 min",IF(D40&lt;900,"8–15 min",IF(D40&lt;1500,"15–25 min","25+ min"))))</f>
        <v/>
      </c>
      <c r="V40" s="74" t="str">
        <f aca="false">IF(OR(A40="",N(E40)=0),"",(N(K40)+N(L40))/E40*100)</f>
        <v/>
      </c>
      <c r="W40" s="73" t="str">
        <f aca="false">IF(OR(A40="",N(E40)=0),"",N(L40)/E40*1000)</f>
        <v/>
      </c>
      <c r="X40" s="75" t="str">
        <f aca="false">IF(A40="","",N(N40)-N(O40))</f>
        <v/>
      </c>
      <c r="Y40" s="73" t="str">
        <f aca="false">IF(OR(A40="",N(E40)=0),"",X40/E40*1000)</f>
        <v/>
      </c>
      <c r="Z40" s="72" t="str">
        <f aca="false">IF(OR(A40="",G40=""),"",IF(Q40="Short","n/a (Short)",IF(G40&gt;=Benchmarks!$E$5,"Elite",IF(G40&gt;=Benchmarks!$D$5,"Strong",IF(G40&gt;=Benchmarks!$C$5,"Average","Needs work")))))</f>
        <v/>
      </c>
      <c r="AA40" s="72" t="str">
        <f aca="false">IF(OR(A40="",I40=""),"",IF(Q40="Short",IF(I40&gt;=Benchmarks!$E$7,"Elite",IF(I40&gt;=Benchmarks!$D$7,"Strong",IF(I40&gt;=Benchmarks!$C$7,"Average","Needs work"))),IF(I40&gt;=Benchmarks!$E$6,"Elite",IF(I40&gt;=Benchmarks!$D$6,"Strong",IF(I40&gt;=Benchmarks!$C$6,"Average","Needs work")))))</f>
        <v/>
      </c>
      <c r="AB40" s="72" t="str">
        <f aca="false">IF(V40="","",IF(V40&gt;=Benchmarks!$E$8,"Elite",IF(V40&gt;=Benchmarks!$D$8,"Strong",IF(V40&gt;=Benchmarks!$C$8,"Average","Needs work"))))</f>
        <v/>
      </c>
      <c r="AC40" s="73" t="str">
        <f aca="false">IF(COUNT(AG40:AI40)=0,"",AVERAGE(AG40:AI40))</f>
        <v/>
      </c>
      <c r="AD40" s="37" t="str">
        <f aca="false">IF(A40="","",IF(Q40="Short",IF(AH40="","Add % viewed to diagnose",IF(AND(AH40&gt;=3,N(AI40)&gt;=3),"Winner Short — expand it into a long-form video",IF(AH40&lt;=1,"Hook problem — viewers swipe away in the first seconds",IF(AI40=1,"Watched but no reaction — end on a question or opinion","Solid Short — keep iterating")))),IF(OR(AG40="",AH40=""),"Add CTR &amp; % viewed to diagnose",IF(AND(AG40&gt;=3,AH40&gt;=3),"WINNER — make a sequel, series or Shorts from it",IF(AND(AG40&gt;=3,AH40&lt;=2),"Click but leave — intro too slow or title over-promises",IF(AND(AG40&lt;=2,AH40&gt;=3),"Great video, weak packaging — A/B test title + thumbnail",IF(AND(AG40=1,AH40=1),"Topic miss — don't repeat this angle","Average — sharpen the hook and the title")))))))</f>
        <v/>
      </c>
      <c r="AE40" s="76" t="str">
        <f aca="false">IF(OR(A40="",N(E40)=0),"",Q40&amp;"-"&amp;(COUNTIFS($Q$5:$Q$204,Q40,$E$5:$E$204,"&gt;"&amp;E40)+COUNTIFS($Q$5:Q40,Q40,$E$5:E40,E40)))</f>
        <v/>
      </c>
      <c r="AF40" s="77" t="str">
        <f aca="false">IF(AND(Q40="Long",N(F40)&gt;=Benchmarks!$C$15,G40&lt;&gt;""),G40,"")</f>
        <v/>
      </c>
      <c r="AG40" s="78" t="str">
        <f aca="false">IF(Z40="Elite",4,IF(Z40="Strong",3,IF(Z40="Average",2,IF(Z40="Needs work",1,""))))</f>
        <v/>
      </c>
      <c r="AH40" s="78" t="str">
        <f aca="false">IF(AA40="Elite",4,IF(AA40="Strong",3,IF(AA40="Average",2,IF(AA40="Needs work",1,""))))</f>
        <v/>
      </c>
      <c r="AI40" s="78" t="str">
        <f aca="false">IF(AB40="Elite",4,IF(AB40="Strong",3,IF(AB40="Average",2,IF(AB40="Needs work",1,""))))</f>
        <v/>
      </c>
    </row>
    <row r="41" customFormat="false" ht="15" hidden="false" customHeight="false" outlineLevel="0" collapsed="false">
      <c r="A41" s="64"/>
      <c r="B41" s="65"/>
      <c r="C41" s="66"/>
      <c r="D41" s="67"/>
      <c r="E41" s="67"/>
      <c r="F41" s="67"/>
      <c r="G41" s="68"/>
      <c r="H41" s="69"/>
      <c r="I41" s="68"/>
      <c r="J41" s="70"/>
      <c r="K41" s="67"/>
      <c r="L41" s="67"/>
      <c r="M41" s="67"/>
      <c r="N41" s="67"/>
      <c r="O41" s="67"/>
      <c r="P41" s="71"/>
      <c r="Q41" s="72" t="str">
        <f aca="false">IF(A41="","",IF(C41&lt;&gt;"",C41,IF(AND(D41&lt;&gt;"",D41&lt;=180),"Short","Long")))</f>
        <v/>
      </c>
      <c r="R41" s="73" t="str">
        <f aca="false">IF(OR(A41="",D41=""),"",D41/60)</f>
        <v/>
      </c>
      <c r="S41" s="72" t="str">
        <f aca="false">IF(OR(A41="",B41=""),"",IF(AND(B41&gt;=DATE(2026,4,1),B41&lt;=DATE(2026,6,30)),"Yes","No"))</f>
        <v/>
      </c>
      <c r="T41" s="72" t="str">
        <f aca="false">IF(OR(A41="",B41=""),"",CHOOSE(WEEKDAY(B41),"Sun","Mon","Tue","Wed","Thu","Fri","Sat"))</f>
        <v/>
      </c>
      <c r="U41" s="72" t="str">
        <f aca="false">IF(OR(Q41&lt;&gt;"Long",D41=""),"",IF(D41&lt;480,"Under 8 min",IF(D41&lt;900,"8–15 min",IF(D41&lt;1500,"15–25 min","25+ min"))))</f>
        <v/>
      </c>
      <c r="V41" s="74" t="str">
        <f aca="false">IF(OR(A41="",N(E41)=0),"",(N(K41)+N(L41))/E41*100)</f>
        <v/>
      </c>
      <c r="W41" s="73" t="str">
        <f aca="false">IF(OR(A41="",N(E41)=0),"",N(L41)/E41*1000)</f>
        <v/>
      </c>
      <c r="X41" s="75" t="str">
        <f aca="false">IF(A41="","",N(N41)-N(O41))</f>
        <v/>
      </c>
      <c r="Y41" s="73" t="str">
        <f aca="false">IF(OR(A41="",N(E41)=0),"",X41/E41*1000)</f>
        <v/>
      </c>
      <c r="Z41" s="72" t="str">
        <f aca="false">IF(OR(A41="",G41=""),"",IF(Q41="Short","n/a (Short)",IF(G41&gt;=Benchmarks!$E$5,"Elite",IF(G41&gt;=Benchmarks!$D$5,"Strong",IF(G41&gt;=Benchmarks!$C$5,"Average","Needs work")))))</f>
        <v/>
      </c>
      <c r="AA41" s="72" t="str">
        <f aca="false">IF(OR(A41="",I41=""),"",IF(Q41="Short",IF(I41&gt;=Benchmarks!$E$7,"Elite",IF(I41&gt;=Benchmarks!$D$7,"Strong",IF(I41&gt;=Benchmarks!$C$7,"Average","Needs work"))),IF(I41&gt;=Benchmarks!$E$6,"Elite",IF(I41&gt;=Benchmarks!$D$6,"Strong",IF(I41&gt;=Benchmarks!$C$6,"Average","Needs work")))))</f>
        <v/>
      </c>
      <c r="AB41" s="72" t="str">
        <f aca="false">IF(V41="","",IF(V41&gt;=Benchmarks!$E$8,"Elite",IF(V41&gt;=Benchmarks!$D$8,"Strong",IF(V41&gt;=Benchmarks!$C$8,"Average","Needs work"))))</f>
        <v/>
      </c>
      <c r="AC41" s="73" t="str">
        <f aca="false">IF(COUNT(AG41:AI41)=0,"",AVERAGE(AG41:AI41))</f>
        <v/>
      </c>
      <c r="AD41" s="37" t="str">
        <f aca="false">IF(A41="","",IF(Q41="Short",IF(AH41="","Add % viewed to diagnose",IF(AND(AH41&gt;=3,N(AI41)&gt;=3),"Winner Short — expand it into a long-form video",IF(AH41&lt;=1,"Hook problem — viewers swipe away in the first seconds",IF(AI41=1,"Watched but no reaction — end on a question or opinion","Solid Short — keep iterating")))),IF(OR(AG41="",AH41=""),"Add CTR &amp; % viewed to diagnose",IF(AND(AG41&gt;=3,AH41&gt;=3),"WINNER — make a sequel, series or Shorts from it",IF(AND(AG41&gt;=3,AH41&lt;=2),"Click but leave — intro too slow or title over-promises",IF(AND(AG41&lt;=2,AH41&gt;=3),"Great video, weak packaging — A/B test title + thumbnail",IF(AND(AG41=1,AH41=1),"Topic miss — don't repeat this angle","Average — sharpen the hook and the title")))))))</f>
        <v/>
      </c>
      <c r="AE41" s="76" t="str">
        <f aca="false">IF(OR(A41="",N(E41)=0),"",Q41&amp;"-"&amp;(COUNTIFS($Q$5:$Q$204,Q41,$E$5:$E$204,"&gt;"&amp;E41)+COUNTIFS($Q$5:Q41,Q41,$E$5:E41,E41)))</f>
        <v/>
      </c>
      <c r="AF41" s="77" t="str">
        <f aca="false">IF(AND(Q41="Long",N(F41)&gt;=Benchmarks!$C$15,G41&lt;&gt;""),G41,"")</f>
        <v/>
      </c>
      <c r="AG41" s="78" t="str">
        <f aca="false">IF(Z41="Elite",4,IF(Z41="Strong",3,IF(Z41="Average",2,IF(Z41="Needs work",1,""))))</f>
        <v/>
      </c>
      <c r="AH41" s="78" t="str">
        <f aca="false">IF(AA41="Elite",4,IF(AA41="Strong",3,IF(AA41="Average",2,IF(AA41="Needs work",1,""))))</f>
        <v/>
      </c>
      <c r="AI41" s="78" t="str">
        <f aca="false">IF(AB41="Elite",4,IF(AB41="Strong",3,IF(AB41="Average",2,IF(AB41="Needs work",1,""))))</f>
        <v/>
      </c>
    </row>
    <row r="42" customFormat="false" ht="15" hidden="false" customHeight="false" outlineLevel="0" collapsed="false">
      <c r="A42" s="64"/>
      <c r="B42" s="65"/>
      <c r="C42" s="66"/>
      <c r="D42" s="67"/>
      <c r="E42" s="67"/>
      <c r="F42" s="67"/>
      <c r="G42" s="68"/>
      <c r="H42" s="69"/>
      <c r="I42" s="68"/>
      <c r="J42" s="70"/>
      <c r="K42" s="67"/>
      <c r="L42" s="67"/>
      <c r="M42" s="67"/>
      <c r="N42" s="67"/>
      <c r="O42" s="67"/>
      <c r="P42" s="71"/>
      <c r="Q42" s="72" t="str">
        <f aca="false">IF(A42="","",IF(C42&lt;&gt;"",C42,IF(AND(D42&lt;&gt;"",D42&lt;=180),"Short","Long")))</f>
        <v/>
      </c>
      <c r="R42" s="73" t="str">
        <f aca="false">IF(OR(A42="",D42=""),"",D42/60)</f>
        <v/>
      </c>
      <c r="S42" s="72" t="str">
        <f aca="false">IF(OR(A42="",B42=""),"",IF(AND(B42&gt;=DATE(2026,4,1),B42&lt;=DATE(2026,6,30)),"Yes","No"))</f>
        <v/>
      </c>
      <c r="T42" s="72" t="str">
        <f aca="false">IF(OR(A42="",B42=""),"",CHOOSE(WEEKDAY(B42),"Sun","Mon","Tue","Wed","Thu","Fri","Sat"))</f>
        <v/>
      </c>
      <c r="U42" s="72" t="str">
        <f aca="false">IF(OR(Q42&lt;&gt;"Long",D42=""),"",IF(D42&lt;480,"Under 8 min",IF(D42&lt;900,"8–15 min",IF(D42&lt;1500,"15–25 min","25+ min"))))</f>
        <v/>
      </c>
      <c r="V42" s="74" t="str">
        <f aca="false">IF(OR(A42="",N(E42)=0),"",(N(K42)+N(L42))/E42*100)</f>
        <v/>
      </c>
      <c r="W42" s="73" t="str">
        <f aca="false">IF(OR(A42="",N(E42)=0),"",N(L42)/E42*1000)</f>
        <v/>
      </c>
      <c r="X42" s="75" t="str">
        <f aca="false">IF(A42="","",N(N42)-N(O42))</f>
        <v/>
      </c>
      <c r="Y42" s="73" t="str">
        <f aca="false">IF(OR(A42="",N(E42)=0),"",X42/E42*1000)</f>
        <v/>
      </c>
      <c r="Z42" s="72" t="str">
        <f aca="false">IF(OR(A42="",G42=""),"",IF(Q42="Short","n/a (Short)",IF(G42&gt;=Benchmarks!$E$5,"Elite",IF(G42&gt;=Benchmarks!$D$5,"Strong",IF(G42&gt;=Benchmarks!$C$5,"Average","Needs work")))))</f>
        <v/>
      </c>
      <c r="AA42" s="72" t="str">
        <f aca="false">IF(OR(A42="",I42=""),"",IF(Q42="Short",IF(I42&gt;=Benchmarks!$E$7,"Elite",IF(I42&gt;=Benchmarks!$D$7,"Strong",IF(I42&gt;=Benchmarks!$C$7,"Average","Needs work"))),IF(I42&gt;=Benchmarks!$E$6,"Elite",IF(I42&gt;=Benchmarks!$D$6,"Strong",IF(I42&gt;=Benchmarks!$C$6,"Average","Needs work")))))</f>
        <v/>
      </c>
      <c r="AB42" s="72" t="str">
        <f aca="false">IF(V42="","",IF(V42&gt;=Benchmarks!$E$8,"Elite",IF(V42&gt;=Benchmarks!$D$8,"Strong",IF(V42&gt;=Benchmarks!$C$8,"Average","Needs work"))))</f>
        <v/>
      </c>
      <c r="AC42" s="73" t="str">
        <f aca="false">IF(COUNT(AG42:AI42)=0,"",AVERAGE(AG42:AI42))</f>
        <v/>
      </c>
      <c r="AD42" s="37" t="str">
        <f aca="false">IF(A42="","",IF(Q42="Short",IF(AH42="","Add % viewed to diagnose",IF(AND(AH42&gt;=3,N(AI42)&gt;=3),"Winner Short — expand it into a long-form video",IF(AH42&lt;=1,"Hook problem — viewers swipe away in the first seconds",IF(AI42=1,"Watched but no reaction — end on a question or opinion","Solid Short — keep iterating")))),IF(OR(AG42="",AH42=""),"Add CTR &amp; % viewed to diagnose",IF(AND(AG42&gt;=3,AH42&gt;=3),"WINNER — make a sequel, series or Shorts from it",IF(AND(AG42&gt;=3,AH42&lt;=2),"Click but leave — intro too slow or title over-promises",IF(AND(AG42&lt;=2,AH42&gt;=3),"Great video, weak packaging — A/B test title + thumbnail",IF(AND(AG42=1,AH42=1),"Topic miss — don't repeat this angle","Average — sharpen the hook and the title")))))))</f>
        <v/>
      </c>
      <c r="AE42" s="76" t="str">
        <f aca="false">IF(OR(A42="",N(E42)=0),"",Q42&amp;"-"&amp;(COUNTIFS($Q$5:$Q$204,Q42,$E$5:$E$204,"&gt;"&amp;E42)+COUNTIFS($Q$5:Q42,Q42,$E$5:E42,E42)))</f>
        <v/>
      </c>
      <c r="AF42" s="77" t="str">
        <f aca="false">IF(AND(Q42="Long",N(F42)&gt;=Benchmarks!$C$15,G42&lt;&gt;""),G42,"")</f>
        <v/>
      </c>
      <c r="AG42" s="78" t="str">
        <f aca="false">IF(Z42="Elite",4,IF(Z42="Strong",3,IF(Z42="Average",2,IF(Z42="Needs work",1,""))))</f>
        <v/>
      </c>
      <c r="AH42" s="78" t="str">
        <f aca="false">IF(AA42="Elite",4,IF(AA42="Strong",3,IF(AA42="Average",2,IF(AA42="Needs work",1,""))))</f>
        <v/>
      </c>
      <c r="AI42" s="78" t="str">
        <f aca="false">IF(AB42="Elite",4,IF(AB42="Strong",3,IF(AB42="Average",2,IF(AB42="Needs work",1,""))))</f>
        <v/>
      </c>
    </row>
    <row r="43" customFormat="false" ht="15" hidden="false" customHeight="false" outlineLevel="0" collapsed="false">
      <c r="A43" s="64"/>
      <c r="B43" s="65"/>
      <c r="C43" s="66"/>
      <c r="D43" s="67"/>
      <c r="E43" s="67"/>
      <c r="F43" s="67"/>
      <c r="G43" s="68"/>
      <c r="H43" s="69"/>
      <c r="I43" s="68"/>
      <c r="J43" s="70"/>
      <c r="K43" s="67"/>
      <c r="L43" s="67"/>
      <c r="M43" s="67"/>
      <c r="N43" s="67"/>
      <c r="O43" s="67"/>
      <c r="P43" s="71"/>
      <c r="Q43" s="72" t="str">
        <f aca="false">IF(A43="","",IF(C43&lt;&gt;"",C43,IF(AND(D43&lt;&gt;"",D43&lt;=180),"Short","Long")))</f>
        <v/>
      </c>
      <c r="R43" s="73" t="str">
        <f aca="false">IF(OR(A43="",D43=""),"",D43/60)</f>
        <v/>
      </c>
      <c r="S43" s="72" t="str">
        <f aca="false">IF(OR(A43="",B43=""),"",IF(AND(B43&gt;=DATE(2026,4,1),B43&lt;=DATE(2026,6,30)),"Yes","No"))</f>
        <v/>
      </c>
      <c r="T43" s="72" t="str">
        <f aca="false">IF(OR(A43="",B43=""),"",CHOOSE(WEEKDAY(B43),"Sun","Mon","Tue","Wed","Thu","Fri","Sat"))</f>
        <v/>
      </c>
      <c r="U43" s="72" t="str">
        <f aca="false">IF(OR(Q43&lt;&gt;"Long",D43=""),"",IF(D43&lt;480,"Under 8 min",IF(D43&lt;900,"8–15 min",IF(D43&lt;1500,"15–25 min","25+ min"))))</f>
        <v/>
      </c>
      <c r="V43" s="74" t="str">
        <f aca="false">IF(OR(A43="",N(E43)=0),"",(N(K43)+N(L43))/E43*100)</f>
        <v/>
      </c>
      <c r="W43" s="73" t="str">
        <f aca="false">IF(OR(A43="",N(E43)=0),"",N(L43)/E43*1000)</f>
        <v/>
      </c>
      <c r="X43" s="75" t="str">
        <f aca="false">IF(A43="","",N(N43)-N(O43))</f>
        <v/>
      </c>
      <c r="Y43" s="73" t="str">
        <f aca="false">IF(OR(A43="",N(E43)=0),"",X43/E43*1000)</f>
        <v/>
      </c>
      <c r="Z43" s="72" t="str">
        <f aca="false">IF(OR(A43="",G43=""),"",IF(Q43="Short","n/a (Short)",IF(G43&gt;=Benchmarks!$E$5,"Elite",IF(G43&gt;=Benchmarks!$D$5,"Strong",IF(G43&gt;=Benchmarks!$C$5,"Average","Needs work")))))</f>
        <v/>
      </c>
      <c r="AA43" s="72" t="str">
        <f aca="false">IF(OR(A43="",I43=""),"",IF(Q43="Short",IF(I43&gt;=Benchmarks!$E$7,"Elite",IF(I43&gt;=Benchmarks!$D$7,"Strong",IF(I43&gt;=Benchmarks!$C$7,"Average","Needs work"))),IF(I43&gt;=Benchmarks!$E$6,"Elite",IF(I43&gt;=Benchmarks!$D$6,"Strong",IF(I43&gt;=Benchmarks!$C$6,"Average","Needs work")))))</f>
        <v/>
      </c>
      <c r="AB43" s="72" t="str">
        <f aca="false">IF(V43="","",IF(V43&gt;=Benchmarks!$E$8,"Elite",IF(V43&gt;=Benchmarks!$D$8,"Strong",IF(V43&gt;=Benchmarks!$C$8,"Average","Needs work"))))</f>
        <v/>
      </c>
      <c r="AC43" s="73" t="str">
        <f aca="false">IF(COUNT(AG43:AI43)=0,"",AVERAGE(AG43:AI43))</f>
        <v/>
      </c>
      <c r="AD43" s="37" t="str">
        <f aca="false">IF(A43="","",IF(Q43="Short",IF(AH43="","Add % viewed to diagnose",IF(AND(AH43&gt;=3,N(AI43)&gt;=3),"Winner Short — expand it into a long-form video",IF(AH43&lt;=1,"Hook problem — viewers swipe away in the first seconds",IF(AI43=1,"Watched but no reaction — end on a question or opinion","Solid Short — keep iterating")))),IF(OR(AG43="",AH43=""),"Add CTR &amp; % viewed to diagnose",IF(AND(AG43&gt;=3,AH43&gt;=3),"WINNER — make a sequel, series or Shorts from it",IF(AND(AG43&gt;=3,AH43&lt;=2),"Click but leave — intro too slow or title over-promises",IF(AND(AG43&lt;=2,AH43&gt;=3),"Great video, weak packaging — A/B test title + thumbnail",IF(AND(AG43=1,AH43=1),"Topic miss — don't repeat this angle","Average — sharpen the hook and the title")))))))</f>
        <v/>
      </c>
      <c r="AE43" s="76" t="str">
        <f aca="false">IF(OR(A43="",N(E43)=0),"",Q43&amp;"-"&amp;(COUNTIFS($Q$5:$Q$204,Q43,$E$5:$E$204,"&gt;"&amp;E43)+COUNTIFS($Q$5:Q43,Q43,$E$5:E43,E43)))</f>
        <v/>
      </c>
      <c r="AF43" s="77" t="str">
        <f aca="false">IF(AND(Q43="Long",N(F43)&gt;=Benchmarks!$C$15,G43&lt;&gt;""),G43,"")</f>
        <v/>
      </c>
      <c r="AG43" s="78" t="str">
        <f aca="false">IF(Z43="Elite",4,IF(Z43="Strong",3,IF(Z43="Average",2,IF(Z43="Needs work",1,""))))</f>
        <v/>
      </c>
      <c r="AH43" s="78" t="str">
        <f aca="false">IF(AA43="Elite",4,IF(AA43="Strong",3,IF(AA43="Average",2,IF(AA43="Needs work",1,""))))</f>
        <v/>
      </c>
      <c r="AI43" s="78" t="str">
        <f aca="false">IF(AB43="Elite",4,IF(AB43="Strong",3,IF(AB43="Average",2,IF(AB43="Needs work",1,""))))</f>
        <v/>
      </c>
    </row>
    <row r="44" customFormat="false" ht="15" hidden="false" customHeight="false" outlineLevel="0" collapsed="false">
      <c r="A44" s="64"/>
      <c r="B44" s="65"/>
      <c r="C44" s="66"/>
      <c r="D44" s="67"/>
      <c r="E44" s="67"/>
      <c r="F44" s="67"/>
      <c r="G44" s="68"/>
      <c r="H44" s="69"/>
      <c r="I44" s="68"/>
      <c r="J44" s="70"/>
      <c r="K44" s="67"/>
      <c r="L44" s="67"/>
      <c r="M44" s="67"/>
      <c r="N44" s="67"/>
      <c r="O44" s="67"/>
      <c r="P44" s="71"/>
      <c r="Q44" s="72" t="str">
        <f aca="false">IF(A44="","",IF(C44&lt;&gt;"",C44,IF(AND(D44&lt;&gt;"",D44&lt;=180),"Short","Long")))</f>
        <v/>
      </c>
      <c r="R44" s="73" t="str">
        <f aca="false">IF(OR(A44="",D44=""),"",D44/60)</f>
        <v/>
      </c>
      <c r="S44" s="72" t="str">
        <f aca="false">IF(OR(A44="",B44=""),"",IF(AND(B44&gt;=DATE(2026,4,1),B44&lt;=DATE(2026,6,30)),"Yes","No"))</f>
        <v/>
      </c>
      <c r="T44" s="72" t="str">
        <f aca="false">IF(OR(A44="",B44=""),"",CHOOSE(WEEKDAY(B44),"Sun","Mon","Tue","Wed","Thu","Fri","Sat"))</f>
        <v/>
      </c>
      <c r="U44" s="72" t="str">
        <f aca="false">IF(OR(Q44&lt;&gt;"Long",D44=""),"",IF(D44&lt;480,"Under 8 min",IF(D44&lt;900,"8–15 min",IF(D44&lt;1500,"15–25 min","25+ min"))))</f>
        <v/>
      </c>
      <c r="V44" s="74" t="str">
        <f aca="false">IF(OR(A44="",N(E44)=0),"",(N(K44)+N(L44))/E44*100)</f>
        <v/>
      </c>
      <c r="W44" s="73" t="str">
        <f aca="false">IF(OR(A44="",N(E44)=0),"",N(L44)/E44*1000)</f>
        <v/>
      </c>
      <c r="X44" s="75" t="str">
        <f aca="false">IF(A44="","",N(N44)-N(O44))</f>
        <v/>
      </c>
      <c r="Y44" s="73" t="str">
        <f aca="false">IF(OR(A44="",N(E44)=0),"",X44/E44*1000)</f>
        <v/>
      </c>
      <c r="Z44" s="72" t="str">
        <f aca="false">IF(OR(A44="",G44=""),"",IF(Q44="Short","n/a (Short)",IF(G44&gt;=Benchmarks!$E$5,"Elite",IF(G44&gt;=Benchmarks!$D$5,"Strong",IF(G44&gt;=Benchmarks!$C$5,"Average","Needs work")))))</f>
        <v/>
      </c>
      <c r="AA44" s="72" t="str">
        <f aca="false">IF(OR(A44="",I44=""),"",IF(Q44="Short",IF(I44&gt;=Benchmarks!$E$7,"Elite",IF(I44&gt;=Benchmarks!$D$7,"Strong",IF(I44&gt;=Benchmarks!$C$7,"Average","Needs work"))),IF(I44&gt;=Benchmarks!$E$6,"Elite",IF(I44&gt;=Benchmarks!$D$6,"Strong",IF(I44&gt;=Benchmarks!$C$6,"Average","Needs work")))))</f>
        <v/>
      </c>
      <c r="AB44" s="72" t="str">
        <f aca="false">IF(V44="","",IF(V44&gt;=Benchmarks!$E$8,"Elite",IF(V44&gt;=Benchmarks!$D$8,"Strong",IF(V44&gt;=Benchmarks!$C$8,"Average","Needs work"))))</f>
        <v/>
      </c>
      <c r="AC44" s="73" t="str">
        <f aca="false">IF(COUNT(AG44:AI44)=0,"",AVERAGE(AG44:AI44))</f>
        <v/>
      </c>
      <c r="AD44" s="37" t="str">
        <f aca="false">IF(A44="","",IF(Q44="Short",IF(AH44="","Add % viewed to diagnose",IF(AND(AH44&gt;=3,N(AI44)&gt;=3),"Winner Short — expand it into a long-form video",IF(AH44&lt;=1,"Hook problem — viewers swipe away in the first seconds",IF(AI44=1,"Watched but no reaction — end on a question or opinion","Solid Short — keep iterating")))),IF(OR(AG44="",AH44=""),"Add CTR &amp; % viewed to diagnose",IF(AND(AG44&gt;=3,AH44&gt;=3),"WINNER — make a sequel, series or Shorts from it",IF(AND(AG44&gt;=3,AH44&lt;=2),"Click but leave — intro too slow or title over-promises",IF(AND(AG44&lt;=2,AH44&gt;=3),"Great video, weak packaging — A/B test title + thumbnail",IF(AND(AG44=1,AH44=1),"Topic miss — don't repeat this angle","Average — sharpen the hook and the title")))))))</f>
        <v/>
      </c>
      <c r="AE44" s="76" t="str">
        <f aca="false">IF(OR(A44="",N(E44)=0),"",Q44&amp;"-"&amp;(COUNTIFS($Q$5:$Q$204,Q44,$E$5:$E$204,"&gt;"&amp;E44)+COUNTIFS($Q$5:Q44,Q44,$E$5:E44,E44)))</f>
        <v/>
      </c>
      <c r="AF44" s="77" t="str">
        <f aca="false">IF(AND(Q44="Long",N(F44)&gt;=Benchmarks!$C$15,G44&lt;&gt;""),G44,"")</f>
        <v/>
      </c>
      <c r="AG44" s="78" t="str">
        <f aca="false">IF(Z44="Elite",4,IF(Z44="Strong",3,IF(Z44="Average",2,IF(Z44="Needs work",1,""))))</f>
        <v/>
      </c>
      <c r="AH44" s="78" t="str">
        <f aca="false">IF(AA44="Elite",4,IF(AA44="Strong",3,IF(AA44="Average",2,IF(AA44="Needs work",1,""))))</f>
        <v/>
      </c>
      <c r="AI44" s="78" t="str">
        <f aca="false">IF(AB44="Elite",4,IF(AB44="Strong",3,IF(AB44="Average",2,IF(AB44="Needs work",1,""))))</f>
        <v/>
      </c>
    </row>
    <row r="45" customFormat="false" ht="15" hidden="false" customHeight="false" outlineLevel="0" collapsed="false">
      <c r="A45" s="64"/>
      <c r="B45" s="65"/>
      <c r="C45" s="66"/>
      <c r="D45" s="67"/>
      <c r="E45" s="67"/>
      <c r="F45" s="67"/>
      <c r="G45" s="68"/>
      <c r="H45" s="69"/>
      <c r="I45" s="68"/>
      <c r="J45" s="70"/>
      <c r="K45" s="67"/>
      <c r="L45" s="67"/>
      <c r="M45" s="67"/>
      <c r="N45" s="67"/>
      <c r="O45" s="67"/>
      <c r="P45" s="71"/>
      <c r="Q45" s="72" t="str">
        <f aca="false">IF(A45="","",IF(C45&lt;&gt;"",C45,IF(AND(D45&lt;&gt;"",D45&lt;=180),"Short","Long")))</f>
        <v/>
      </c>
      <c r="R45" s="73" t="str">
        <f aca="false">IF(OR(A45="",D45=""),"",D45/60)</f>
        <v/>
      </c>
      <c r="S45" s="72" t="str">
        <f aca="false">IF(OR(A45="",B45=""),"",IF(AND(B45&gt;=DATE(2026,4,1),B45&lt;=DATE(2026,6,30)),"Yes","No"))</f>
        <v/>
      </c>
      <c r="T45" s="72" t="str">
        <f aca="false">IF(OR(A45="",B45=""),"",CHOOSE(WEEKDAY(B45),"Sun","Mon","Tue","Wed","Thu","Fri","Sat"))</f>
        <v/>
      </c>
      <c r="U45" s="72" t="str">
        <f aca="false">IF(OR(Q45&lt;&gt;"Long",D45=""),"",IF(D45&lt;480,"Under 8 min",IF(D45&lt;900,"8–15 min",IF(D45&lt;1500,"15–25 min","25+ min"))))</f>
        <v/>
      </c>
      <c r="V45" s="74" t="str">
        <f aca="false">IF(OR(A45="",N(E45)=0),"",(N(K45)+N(L45))/E45*100)</f>
        <v/>
      </c>
      <c r="W45" s="73" t="str">
        <f aca="false">IF(OR(A45="",N(E45)=0),"",N(L45)/E45*1000)</f>
        <v/>
      </c>
      <c r="X45" s="75" t="str">
        <f aca="false">IF(A45="","",N(N45)-N(O45))</f>
        <v/>
      </c>
      <c r="Y45" s="73" t="str">
        <f aca="false">IF(OR(A45="",N(E45)=0),"",X45/E45*1000)</f>
        <v/>
      </c>
      <c r="Z45" s="72" t="str">
        <f aca="false">IF(OR(A45="",G45=""),"",IF(Q45="Short","n/a (Short)",IF(G45&gt;=Benchmarks!$E$5,"Elite",IF(G45&gt;=Benchmarks!$D$5,"Strong",IF(G45&gt;=Benchmarks!$C$5,"Average","Needs work")))))</f>
        <v/>
      </c>
      <c r="AA45" s="72" t="str">
        <f aca="false">IF(OR(A45="",I45=""),"",IF(Q45="Short",IF(I45&gt;=Benchmarks!$E$7,"Elite",IF(I45&gt;=Benchmarks!$D$7,"Strong",IF(I45&gt;=Benchmarks!$C$7,"Average","Needs work"))),IF(I45&gt;=Benchmarks!$E$6,"Elite",IF(I45&gt;=Benchmarks!$D$6,"Strong",IF(I45&gt;=Benchmarks!$C$6,"Average","Needs work")))))</f>
        <v/>
      </c>
      <c r="AB45" s="72" t="str">
        <f aca="false">IF(V45="","",IF(V45&gt;=Benchmarks!$E$8,"Elite",IF(V45&gt;=Benchmarks!$D$8,"Strong",IF(V45&gt;=Benchmarks!$C$8,"Average","Needs work"))))</f>
        <v/>
      </c>
      <c r="AC45" s="73" t="str">
        <f aca="false">IF(COUNT(AG45:AI45)=0,"",AVERAGE(AG45:AI45))</f>
        <v/>
      </c>
      <c r="AD45" s="37" t="str">
        <f aca="false">IF(A45="","",IF(Q45="Short",IF(AH45="","Add % viewed to diagnose",IF(AND(AH45&gt;=3,N(AI45)&gt;=3),"Winner Short — expand it into a long-form video",IF(AH45&lt;=1,"Hook problem — viewers swipe away in the first seconds",IF(AI45=1,"Watched but no reaction — end on a question or opinion","Solid Short — keep iterating")))),IF(OR(AG45="",AH45=""),"Add CTR &amp; % viewed to diagnose",IF(AND(AG45&gt;=3,AH45&gt;=3),"WINNER — make a sequel, series or Shorts from it",IF(AND(AG45&gt;=3,AH45&lt;=2),"Click but leave — intro too slow or title over-promises",IF(AND(AG45&lt;=2,AH45&gt;=3),"Great video, weak packaging — A/B test title + thumbnail",IF(AND(AG45=1,AH45=1),"Topic miss — don't repeat this angle","Average — sharpen the hook and the title")))))))</f>
        <v/>
      </c>
      <c r="AE45" s="76" t="str">
        <f aca="false">IF(OR(A45="",N(E45)=0),"",Q45&amp;"-"&amp;(COUNTIFS($Q$5:$Q$204,Q45,$E$5:$E$204,"&gt;"&amp;E45)+COUNTIFS($Q$5:Q45,Q45,$E$5:E45,E45)))</f>
        <v/>
      </c>
      <c r="AF45" s="77" t="str">
        <f aca="false">IF(AND(Q45="Long",N(F45)&gt;=Benchmarks!$C$15,G45&lt;&gt;""),G45,"")</f>
        <v/>
      </c>
      <c r="AG45" s="78" t="str">
        <f aca="false">IF(Z45="Elite",4,IF(Z45="Strong",3,IF(Z45="Average",2,IF(Z45="Needs work",1,""))))</f>
        <v/>
      </c>
      <c r="AH45" s="78" t="str">
        <f aca="false">IF(AA45="Elite",4,IF(AA45="Strong",3,IF(AA45="Average",2,IF(AA45="Needs work",1,""))))</f>
        <v/>
      </c>
      <c r="AI45" s="78" t="str">
        <f aca="false">IF(AB45="Elite",4,IF(AB45="Strong",3,IF(AB45="Average",2,IF(AB45="Needs work",1,""))))</f>
        <v/>
      </c>
    </row>
    <row r="46" customFormat="false" ht="15" hidden="false" customHeight="false" outlineLevel="0" collapsed="false">
      <c r="A46" s="64"/>
      <c r="B46" s="65"/>
      <c r="C46" s="66"/>
      <c r="D46" s="67"/>
      <c r="E46" s="67"/>
      <c r="F46" s="67"/>
      <c r="G46" s="68"/>
      <c r="H46" s="69"/>
      <c r="I46" s="68"/>
      <c r="J46" s="70"/>
      <c r="K46" s="67"/>
      <c r="L46" s="67"/>
      <c r="M46" s="67"/>
      <c r="N46" s="67"/>
      <c r="O46" s="67"/>
      <c r="P46" s="71"/>
      <c r="Q46" s="72" t="str">
        <f aca="false">IF(A46="","",IF(C46&lt;&gt;"",C46,IF(AND(D46&lt;&gt;"",D46&lt;=180),"Short","Long")))</f>
        <v/>
      </c>
      <c r="R46" s="73" t="str">
        <f aca="false">IF(OR(A46="",D46=""),"",D46/60)</f>
        <v/>
      </c>
      <c r="S46" s="72" t="str">
        <f aca="false">IF(OR(A46="",B46=""),"",IF(AND(B46&gt;=DATE(2026,4,1),B46&lt;=DATE(2026,6,30)),"Yes","No"))</f>
        <v/>
      </c>
      <c r="T46" s="72" t="str">
        <f aca="false">IF(OR(A46="",B46=""),"",CHOOSE(WEEKDAY(B46),"Sun","Mon","Tue","Wed","Thu","Fri","Sat"))</f>
        <v/>
      </c>
      <c r="U46" s="72" t="str">
        <f aca="false">IF(OR(Q46&lt;&gt;"Long",D46=""),"",IF(D46&lt;480,"Under 8 min",IF(D46&lt;900,"8–15 min",IF(D46&lt;1500,"15–25 min","25+ min"))))</f>
        <v/>
      </c>
      <c r="V46" s="74" t="str">
        <f aca="false">IF(OR(A46="",N(E46)=0),"",(N(K46)+N(L46))/E46*100)</f>
        <v/>
      </c>
      <c r="W46" s="73" t="str">
        <f aca="false">IF(OR(A46="",N(E46)=0),"",N(L46)/E46*1000)</f>
        <v/>
      </c>
      <c r="X46" s="75" t="str">
        <f aca="false">IF(A46="","",N(N46)-N(O46))</f>
        <v/>
      </c>
      <c r="Y46" s="73" t="str">
        <f aca="false">IF(OR(A46="",N(E46)=0),"",X46/E46*1000)</f>
        <v/>
      </c>
      <c r="Z46" s="72" t="str">
        <f aca="false">IF(OR(A46="",G46=""),"",IF(Q46="Short","n/a (Short)",IF(G46&gt;=Benchmarks!$E$5,"Elite",IF(G46&gt;=Benchmarks!$D$5,"Strong",IF(G46&gt;=Benchmarks!$C$5,"Average","Needs work")))))</f>
        <v/>
      </c>
      <c r="AA46" s="72" t="str">
        <f aca="false">IF(OR(A46="",I46=""),"",IF(Q46="Short",IF(I46&gt;=Benchmarks!$E$7,"Elite",IF(I46&gt;=Benchmarks!$D$7,"Strong",IF(I46&gt;=Benchmarks!$C$7,"Average","Needs work"))),IF(I46&gt;=Benchmarks!$E$6,"Elite",IF(I46&gt;=Benchmarks!$D$6,"Strong",IF(I46&gt;=Benchmarks!$C$6,"Average","Needs work")))))</f>
        <v/>
      </c>
      <c r="AB46" s="72" t="str">
        <f aca="false">IF(V46="","",IF(V46&gt;=Benchmarks!$E$8,"Elite",IF(V46&gt;=Benchmarks!$D$8,"Strong",IF(V46&gt;=Benchmarks!$C$8,"Average","Needs work"))))</f>
        <v/>
      </c>
      <c r="AC46" s="73" t="str">
        <f aca="false">IF(COUNT(AG46:AI46)=0,"",AVERAGE(AG46:AI46))</f>
        <v/>
      </c>
      <c r="AD46" s="37" t="str">
        <f aca="false">IF(A46="","",IF(Q46="Short",IF(AH46="","Add % viewed to diagnose",IF(AND(AH46&gt;=3,N(AI46)&gt;=3),"Winner Short — expand it into a long-form video",IF(AH46&lt;=1,"Hook problem — viewers swipe away in the first seconds",IF(AI46=1,"Watched but no reaction — end on a question or opinion","Solid Short — keep iterating")))),IF(OR(AG46="",AH46=""),"Add CTR &amp; % viewed to diagnose",IF(AND(AG46&gt;=3,AH46&gt;=3),"WINNER — make a sequel, series or Shorts from it",IF(AND(AG46&gt;=3,AH46&lt;=2),"Click but leave — intro too slow or title over-promises",IF(AND(AG46&lt;=2,AH46&gt;=3),"Great video, weak packaging — A/B test title + thumbnail",IF(AND(AG46=1,AH46=1),"Topic miss — don't repeat this angle","Average — sharpen the hook and the title")))))))</f>
        <v/>
      </c>
      <c r="AE46" s="76" t="str">
        <f aca="false">IF(OR(A46="",N(E46)=0),"",Q46&amp;"-"&amp;(COUNTIFS($Q$5:$Q$204,Q46,$E$5:$E$204,"&gt;"&amp;E46)+COUNTIFS($Q$5:Q46,Q46,$E$5:E46,E46)))</f>
        <v/>
      </c>
      <c r="AF46" s="77" t="str">
        <f aca="false">IF(AND(Q46="Long",N(F46)&gt;=Benchmarks!$C$15,G46&lt;&gt;""),G46,"")</f>
        <v/>
      </c>
      <c r="AG46" s="78" t="str">
        <f aca="false">IF(Z46="Elite",4,IF(Z46="Strong",3,IF(Z46="Average",2,IF(Z46="Needs work",1,""))))</f>
        <v/>
      </c>
      <c r="AH46" s="78" t="str">
        <f aca="false">IF(AA46="Elite",4,IF(AA46="Strong",3,IF(AA46="Average",2,IF(AA46="Needs work",1,""))))</f>
        <v/>
      </c>
      <c r="AI46" s="78" t="str">
        <f aca="false">IF(AB46="Elite",4,IF(AB46="Strong",3,IF(AB46="Average",2,IF(AB46="Needs work",1,""))))</f>
        <v/>
      </c>
    </row>
    <row r="47" customFormat="false" ht="15" hidden="false" customHeight="false" outlineLevel="0" collapsed="false">
      <c r="A47" s="64"/>
      <c r="B47" s="65"/>
      <c r="C47" s="66"/>
      <c r="D47" s="67"/>
      <c r="E47" s="67"/>
      <c r="F47" s="67"/>
      <c r="G47" s="68"/>
      <c r="H47" s="69"/>
      <c r="I47" s="68"/>
      <c r="J47" s="70"/>
      <c r="K47" s="67"/>
      <c r="L47" s="67"/>
      <c r="M47" s="67"/>
      <c r="N47" s="67"/>
      <c r="O47" s="67"/>
      <c r="P47" s="71"/>
      <c r="Q47" s="72" t="str">
        <f aca="false">IF(A47="","",IF(C47&lt;&gt;"",C47,IF(AND(D47&lt;&gt;"",D47&lt;=180),"Short","Long")))</f>
        <v/>
      </c>
      <c r="R47" s="73" t="str">
        <f aca="false">IF(OR(A47="",D47=""),"",D47/60)</f>
        <v/>
      </c>
      <c r="S47" s="72" t="str">
        <f aca="false">IF(OR(A47="",B47=""),"",IF(AND(B47&gt;=DATE(2026,4,1),B47&lt;=DATE(2026,6,30)),"Yes","No"))</f>
        <v/>
      </c>
      <c r="T47" s="72" t="str">
        <f aca="false">IF(OR(A47="",B47=""),"",CHOOSE(WEEKDAY(B47),"Sun","Mon","Tue","Wed","Thu","Fri","Sat"))</f>
        <v/>
      </c>
      <c r="U47" s="72" t="str">
        <f aca="false">IF(OR(Q47&lt;&gt;"Long",D47=""),"",IF(D47&lt;480,"Under 8 min",IF(D47&lt;900,"8–15 min",IF(D47&lt;1500,"15–25 min","25+ min"))))</f>
        <v/>
      </c>
      <c r="V47" s="74" t="str">
        <f aca="false">IF(OR(A47="",N(E47)=0),"",(N(K47)+N(L47))/E47*100)</f>
        <v/>
      </c>
      <c r="W47" s="73" t="str">
        <f aca="false">IF(OR(A47="",N(E47)=0),"",N(L47)/E47*1000)</f>
        <v/>
      </c>
      <c r="X47" s="75" t="str">
        <f aca="false">IF(A47="","",N(N47)-N(O47))</f>
        <v/>
      </c>
      <c r="Y47" s="73" t="str">
        <f aca="false">IF(OR(A47="",N(E47)=0),"",X47/E47*1000)</f>
        <v/>
      </c>
      <c r="Z47" s="72" t="str">
        <f aca="false">IF(OR(A47="",G47=""),"",IF(Q47="Short","n/a (Short)",IF(G47&gt;=Benchmarks!$E$5,"Elite",IF(G47&gt;=Benchmarks!$D$5,"Strong",IF(G47&gt;=Benchmarks!$C$5,"Average","Needs work")))))</f>
        <v/>
      </c>
      <c r="AA47" s="72" t="str">
        <f aca="false">IF(OR(A47="",I47=""),"",IF(Q47="Short",IF(I47&gt;=Benchmarks!$E$7,"Elite",IF(I47&gt;=Benchmarks!$D$7,"Strong",IF(I47&gt;=Benchmarks!$C$7,"Average","Needs work"))),IF(I47&gt;=Benchmarks!$E$6,"Elite",IF(I47&gt;=Benchmarks!$D$6,"Strong",IF(I47&gt;=Benchmarks!$C$6,"Average","Needs work")))))</f>
        <v/>
      </c>
      <c r="AB47" s="72" t="str">
        <f aca="false">IF(V47="","",IF(V47&gt;=Benchmarks!$E$8,"Elite",IF(V47&gt;=Benchmarks!$D$8,"Strong",IF(V47&gt;=Benchmarks!$C$8,"Average","Needs work"))))</f>
        <v/>
      </c>
      <c r="AC47" s="73" t="str">
        <f aca="false">IF(COUNT(AG47:AI47)=0,"",AVERAGE(AG47:AI47))</f>
        <v/>
      </c>
      <c r="AD47" s="37" t="str">
        <f aca="false">IF(A47="","",IF(Q47="Short",IF(AH47="","Add % viewed to diagnose",IF(AND(AH47&gt;=3,N(AI47)&gt;=3),"Winner Short — expand it into a long-form video",IF(AH47&lt;=1,"Hook problem — viewers swipe away in the first seconds",IF(AI47=1,"Watched but no reaction — end on a question or opinion","Solid Short — keep iterating")))),IF(OR(AG47="",AH47=""),"Add CTR &amp; % viewed to diagnose",IF(AND(AG47&gt;=3,AH47&gt;=3),"WINNER — make a sequel, series or Shorts from it",IF(AND(AG47&gt;=3,AH47&lt;=2),"Click but leave — intro too slow or title over-promises",IF(AND(AG47&lt;=2,AH47&gt;=3),"Great video, weak packaging — A/B test title + thumbnail",IF(AND(AG47=1,AH47=1),"Topic miss — don't repeat this angle","Average — sharpen the hook and the title")))))))</f>
        <v/>
      </c>
      <c r="AE47" s="76" t="str">
        <f aca="false">IF(OR(A47="",N(E47)=0),"",Q47&amp;"-"&amp;(COUNTIFS($Q$5:$Q$204,Q47,$E$5:$E$204,"&gt;"&amp;E47)+COUNTIFS($Q$5:Q47,Q47,$E$5:E47,E47)))</f>
        <v/>
      </c>
      <c r="AF47" s="77" t="str">
        <f aca="false">IF(AND(Q47="Long",N(F47)&gt;=Benchmarks!$C$15,G47&lt;&gt;""),G47,"")</f>
        <v/>
      </c>
      <c r="AG47" s="78" t="str">
        <f aca="false">IF(Z47="Elite",4,IF(Z47="Strong",3,IF(Z47="Average",2,IF(Z47="Needs work",1,""))))</f>
        <v/>
      </c>
      <c r="AH47" s="78" t="str">
        <f aca="false">IF(AA47="Elite",4,IF(AA47="Strong",3,IF(AA47="Average",2,IF(AA47="Needs work",1,""))))</f>
        <v/>
      </c>
      <c r="AI47" s="78" t="str">
        <f aca="false">IF(AB47="Elite",4,IF(AB47="Strong",3,IF(AB47="Average",2,IF(AB47="Needs work",1,""))))</f>
        <v/>
      </c>
    </row>
    <row r="48" customFormat="false" ht="15" hidden="false" customHeight="false" outlineLevel="0" collapsed="false">
      <c r="A48" s="64"/>
      <c r="B48" s="65"/>
      <c r="C48" s="66"/>
      <c r="D48" s="67"/>
      <c r="E48" s="67"/>
      <c r="F48" s="67"/>
      <c r="G48" s="68"/>
      <c r="H48" s="69"/>
      <c r="I48" s="68"/>
      <c r="J48" s="70"/>
      <c r="K48" s="67"/>
      <c r="L48" s="67"/>
      <c r="M48" s="67"/>
      <c r="N48" s="67"/>
      <c r="O48" s="67"/>
      <c r="P48" s="71"/>
      <c r="Q48" s="72" t="str">
        <f aca="false">IF(A48="","",IF(C48&lt;&gt;"",C48,IF(AND(D48&lt;&gt;"",D48&lt;=180),"Short","Long")))</f>
        <v/>
      </c>
      <c r="R48" s="73" t="str">
        <f aca="false">IF(OR(A48="",D48=""),"",D48/60)</f>
        <v/>
      </c>
      <c r="S48" s="72" t="str">
        <f aca="false">IF(OR(A48="",B48=""),"",IF(AND(B48&gt;=DATE(2026,4,1),B48&lt;=DATE(2026,6,30)),"Yes","No"))</f>
        <v/>
      </c>
      <c r="T48" s="72" t="str">
        <f aca="false">IF(OR(A48="",B48=""),"",CHOOSE(WEEKDAY(B48),"Sun","Mon","Tue","Wed","Thu","Fri","Sat"))</f>
        <v/>
      </c>
      <c r="U48" s="72" t="str">
        <f aca="false">IF(OR(Q48&lt;&gt;"Long",D48=""),"",IF(D48&lt;480,"Under 8 min",IF(D48&lt;900,"8–15 min",IF(D48&lt;1500,"15–25 min","25+ min"))))</f>
        <v/>
      </c>
      <c r="V48" s="74" t="str">
        <f aca="false">IF(OR(A48="",N(E48)=0),"",(N(K48)+N(L48))/E48*100)</f>
        <v/>
      </c>
      <c r="W48" s="73" t="str">
        <f aca="false">IF(OR(A48="",N(E48)=0),"",N(L48)/E48*1000)</f>
        <v/>
      </c>
      <c r="X48" s="75" t="str">
        <f aca="false">IF(A48="","",N(N48)-N(O48))</f>
        <v/>
      </c>
      <c r="Y48" s="73" t="str">
        <f aca="false">IF(OR(A48="",N(E48)=0),"",X48/E48*1000)</f>
        <v/>
      </c>
      <c r="Z48" s="72" t="str">
        <f aca="false">IF(OR(A48="",G48=""),"",IF(Q48="Short","n/a (Short)",IF(G48&gt;=Benchmarks!$E$5,"Elite",IF(G48&gt;=Benchmarks!$D$5,"Strong",IF(G48&gt;=Benchmarks!$C$5,"Average","Needs work")))))</f>
        <v/>
      </c>
      <c r="AA48" s="72" t="str">
        <f aca="false">IF(OR(A48="",I48=""),"",IF(Q48="Short",IF(I48&gt;=Benchmarks!$E$7,"Elite",IF(I48&gt;=Benchmarks!$D$7,"Strong",IF(I48&gt;=Benchmarks!$C$7,"Average","Needs work"))),IF(I48&gt;=Benchmarks!$E$6,"Elite",IF(I48&gt;=Benchmarks!$D$6,"Strong",IF(I48&gt;=Benchmarks!$C$6,"Average","Needs work")))))</f>
        <v/>
      </c>
      <c r="AB48" s="72" t="str">
        <f aca="false">IF(V48="","",IF(V48&gt;=Benchmarks!$E$8,"Elite",IF(V48&gt;=Benchmarks!$D$8,"Strong",IF(V48&gt;=Benchmarks!$C$8,"Average","Needs work"))))</f>
        <v/>
      </c>
      <c r="AC48" s="73" t="str">
        <f aca="false">IF(COUNT(AG48:AI48)=0,"",AVERAGE(AG48:AI48))</f>
        <v/>
      </c>
      <c r="AD48" s="37" t="str">
        <f aca="false">IF(A48="","",IF(Q48="Short",IF(AH48="","Add % viewed to diagnose",IF(AND(AH48&gt;=3,N(AI48)&gt;=3),"Winner Short — expand it into a long-form video",IF(AH48&lt;=1,"Hook problem — viewers swipe away in the first seconds",IF(AI48=1,"Watched but no reaction — end on a question or opinion","Solid Short — keep iterating")))),IF(OR(AG48="",AH48=""),"Add CTR &amp; % viewed to diagnose",IF(AND(AG48&gt;=3,AH48&gt;=3),"WINNER — make a sequel, series or Shorts from it",IF(AND(AG48&gt;=3,AH48&lt;=2),"Click but leave — intro too slow or title over-promises",IF(AND(AG48&lt;=2,AH48&gt;=3),"Great video, weak packaging — A/B test title + thumbnail",IF(AND(AG48=1,AH48=1),"Topic miss — don't repeat this angle","Average — sharpen the hook and the title")))))))</f>
        <v/>
      </c>
      <c r="AE48" s="76" t="str">
        <f aca="false">IF(OR(A48="",N(E48)=0),"",Q48&amp;"-"&amp;(COUNTIFS($Q$5:$Q$204,Q48,$E$5:$E$204,"&gt;"&amp;E48)+COUNTIFS($Q$5:Q48,Q48,$E$5:E48,E48)))</f>
        <v/>
      </c>
      <c r="AF48" s="77" t="str">
        <f aca="false">IF(AND(Q48="Long",N(F48)&gt;=Benchmarks!$C$15,G48&lt;&gt;""),G48,"")</f>
        <v/>
      </c>
      <c r="AG48" s="78" t="str">
        <f aca="false">IF(Z48="Elite",4,IF(Z48="Strong",3,IF(Z48="Average",2,IF(Z48="Needs work",1,""))))</f>
        <v/>
      </c>
      <c r="AH48" s="78" t="str">
        <f aca="false">IF(AA48="Elite",4,IF(AA48="Strong",3,IF(AA48="Average",2,IF(AA48="Needs work",1,""))))</f>
        <v/>
      </c>
      <c r="AI48" s="78" t="str">
        <f aca="false">IF(AB48="Elite",4,IF(AB48="Strong",3,IF(AB48="Average",2,IF(AB48="Needs work",1,""))))</f>
        <v/>
      </c>
    </row>
    <row r="49" customFormat="false" ht="15" hidden="false" customHeight="false" outlineLevel="0" collapsed="false">
      <c r="A49" s="64"/>
      <c r="B49" s="65"/>
      <c r="C49" s="66"/>
      <c r="D49" s="67"/>
      <c r="E49" s="67"/>
      <c r="F49" s="67"/>
      <c r="G49" s="68"/>
      <c r="H49" s="69"/>
      <c r="I49" s="68"/>
      <c r="J49" s="70"/>
      <c r="K49" s="67"/>
      <c r="L49" s="67"/>
      <c r="M49" s="67"/>
      <c r="N49" s="67"/>
      <c r="O49" s="67"/>
      <c r="P49" s="71"/>
      <c r="Q49" s="72" t="str">
        <f aca="false">IF(A49="","",IF(C49&lt;&gt;"",C49,IF(AND(D49&lt;&gt;"",D49&lt;=180),"Short","Long")))</f>
        <v/>
      </c>
      <c r="R49" s="73" t="str">
        <f aca="false">IF(OR(A49="",D49=""),"",D49/60)</f>
        <v/>
      </c>
      <c r="S49" s="72" t="str">
        <f aca="false">IF(OR(A49="",B49=""),"",IF(AND(B49&gt;=DATE(2026,4,1),B49&lt;=DATE(2026,6,30)),"Yes","No"))</f>
        <v/>
      </c>
      <c r="T49" s="72" t="str">
        <f aca="false">IF(OR(A49="",B49=""),"",CHOOSE(WEEKDAY(B49),"Sun","Mon","Tue","Wed","Thu","Fri","Sat"))</f>
        <v/>
      </c>
      <c r="U49" s="72" t="str">
        <f aca="false">IF(OR(Q49&lt;&gt;"Long",D49=""),"",IF(D49&lt;480,"Under 8 min",IF(D49&lt;900,"8–15 min",IF(D49&lt;1500,"15–25 min","25+ min"))))</f>
        <v/>
      </c>
      <c r="V49" s="74" t="str">
        <f aca="false">IF(OR(A49="",N(E49)=0),"",(N(K49)+N(L49))/E49*100)</f>
        <v/>
      </c>
      <c r="W49" s="73" t="str">
        <f aca="false">IF(OR(A49="",N(E49)=0),"",N(L49)/E49*1000)</f>
        <v/>
      </c>
      <c r="X49" s="75" t="str">
        <f aca="false">IF(A49="","",N(N49)-N(O49))</f>
        <v/>
      </c>
      <c r="Y49" s="73" t="str">
        <f aca="false">IF(OR(A49="",N(E49)=0),"",X49/E49*1000)</f>
        <v/>
      </c>
      <c r="Z49" s="72" t="str">
        <f aca="false">IF(OR(A49="",G49=""),"",IF(Q49="Short","n/a (Short)",IF(G49&gt;=Benchmarks!$E$5,"Elite",IF(G49&gt;=Benchmarks!$D$5,"Strong",IF(G49&gt;=Benchmarks!$C$5,"Average","Needs work")))))</f>
        <v/>
      </c>
      <c r="AA49" s="72" t="str">
        <f aca="false">IF(OR(A49="",I49=""),"",IF(Q49="Short",IF(I49&gt;=Benchmarks!$E$7,"Elite",IF(I49&gt;=Benchmarks!$D$7,"Strong",IF(I49&gt;=Benchmarks!$C$7,"Average","Needs work"))),IF(I49&gt;=Benchmarks!$E$6,"Elite",IF(I49&gt;=Benchmarks!$D$6,"Strong",IF(I49&gt;=Benchmarks!$C$6,"Average","Needs work")))))</f>
        <v/>
      </c>
      <c r="AB49" s="72" t="str">
        <f aca="false">IF(V49="","",IF(V49&gt;=Benchmarks!$E$8,"Elite",IF(V49&gt;=Benchmarks!$D$8,"Strong",IF(V49&gt;=Benchmarks!$C$8,"Average","Needs work"))))</f>
        <v/>
      </c>
      <c r="AC49" s="73" t="str">
        <f aca="false">IF(COUNT(AG49:AI49)=0,"",AVERAGE(AG49:AI49))</f>
        <v/>
      </c>
      <c r="AD49" s="37" t="str">
        <f aca="false">IF(A49="","",IF(Q49="Short",IF(AH49="","Add % viewed to diagnose",IF(AND(AH49&gt;=3,N(AI49)&gt;=3),"Winner Short — expand it into a long-form video",IF(AH49&lt;=1,"Hook problem — viewers swipe away in the first seconds",IF(AI49=1,"Watched but no reaction — end on a question or opinion","Solid Short — keep iterating")))),IF(OR(AG49="",AH49=""),"Add CTR &amp; % viewed to diagnose",IF(AND(AG49&gt;=3,AH49&gt;=3),"WINNER — make a sequel, series or Shorts from it",IF(AND(AG49&gt;=3,AH49&lt;=2),"Click but leave — intro too slow or title over-promises",IF(AND(AG49&lt;=2,AH49&gt;=3),"Great video, weak packaging — A/B test title + thumbnail",IF(AND(AG49=1,AH49=1),"Topic miss — don't repeat this angle","Average — sharpen the hook and the title")))))))</f>
        <v/>
      </c>
      <c r="AE49" s="76" t="str">
        <f aca="false">IF(OR(A49="",N(E49)=0),"",Q49&amp;"-"&amp;(COUNTIFS($Q$5:$Q$204,Q49,$E$5:$E$204,"&gt;"&amp;E49)+COUNTIFS($Q$5:Q49,Q49,$E$5:E49,E49)))</f>
        <v/>
      </c>
      <c r="AF49" s="77" t="str">
        <f aca="false">IF(AND(Q49="Long",N(F49)&gt;=Benchmarks!$C$15,G49&lt;&gt;""),G49,"")</f>
        <v/>
      </c>
      <c r="AG49" s="78" t="str">
        <f aca="false">IF(Z49="Elite",4,IF(Z49="Strong",3,IF(Z49="Average",2,IF(Z49="Needs work",1,""))))</f>
        <v/>
      </c>
      <c r="AH49" s="78" t="str">
        <f aca="false">IF(AA49="Elite",4,IF(AA49="Strong",3,IF(AA49="Average",2,IF(AA49="Needs work",1,""))))</f>
        <v/>
      </c>
      <c r="AI49" s="78" t="str">
        <f aca="false">IF(AB49="Elite",4,IF(AB49="Strong",3,IF(AB49="Average",2,IF(AB49="Needs work",1,""))))</f>
        <v/>
      </c>
    </row>
    <row r="50" customFormat="false" ht="15" hidden="false" customHeight="false" outlineLevel="0" collapsed="false">
      <c r="A50" s="64"/>
      <c r="B50" s="65"/>
      <c r="C50" s="66"/>
      <c r="D50" s="67"/>
      <c r="E50" s="67"/>
      <c r="F50" s="67"/>
      <c r="G50" s="68"/>
      <c r="H50" s="69"/>
      <c r="I50" s="68"/>
      <c r="J50" s="70"/>
      <c r="K50" s="67"/>
      <c r="L50" s="67"/>
      <c r="M50" s="67"/>
      <c r="N50" s="67"/>
      <c r="O50" s="67"/>
      <c r="P50" s="71"/>
      <c r="Q50" s="72" t="str">
        <f aca="false">IF(A50="","",IF(C50&lt;&gt;"",C50,IF(AND(D50&lt;&gt;"",D50&lt;=180),"Short","Long")))</f>
        <v/>
      </c>
      <c r="R50" s="73" t="str">
        <f aca="false">IF(OR(A50="",D50=""),"",D50/60)</f>
        <v/>
      </c>
      <c r="S50" s="72" t="str">
        <f aca="false">IF(OR(A50="",B50=""),"",IF(AND(B50&gt;=DATE(2026,4,1),B50&lt;=DATE(2026,6,30)),"Yes","No"))</f>
        <v/>
      </c>
      <c r="T50" s="72" t="str">
        <f aca="false">IF(OR(A50="",B50=""),"",CHOOSE(WEEKDAY(B50),"Sun","Mon","Tue","Wed","Thu","Fri","Sat"))</f>
        <v/>
      </c>
      <c r="U50" s="72" t="str">
        <f aca="false">IF(OR(Q50&lt;&gt;"Long",D50=""),"",IF(D50&lt;480,"Under 8 min",IF(D50&lt;900,"8–15 min",IF(D50&lt;1500,"15–25 min","25+ min"))))</f>
        <v/>
      </c>
      <c r="V50" s="74" t="str">
        <f aca="false">IF(OR(A50="",N(E50)=0),"",(N(K50)+N(L50))/E50*100)</f>
        <v/>
      </c>
      <c r="W50" s="73" t="str">
        <f aca="false">IF(OR(A50="",N(E50)=0),"",N(L50)/E50*1000)</f>
        <v/>
      </c>
      <c r="X50" s="75" t="str">
        <f aca="false">IF(A50="","",N(N50)-N(O50))</f>
        <v/>
      </c>
      <c r="Y50" s="73" t="str">
        <f aca="false">IF(OR(A50="",N(E50)=0),"",X50/E50*1000)</f>
        <v/>
      </c>
      <c r="Z50" s="72" t="str">
        <f aca="false">IF(OR(A50="",G50=""),"",IF(Q50="Short","n/a (Short)",IF(G50&gt;=Benchmarks!$E$5,"Elite",IF(G50&gt;=Benchmarks!$D$5,"Strong",IF(G50&gt;=Benchmarks!$C$5,"Average","Needs work")))))</f>
        <v/>
      </c>
      <c r="AA50" s="72" t="str">
        <f aca="false">IF(OR(A50="",I50=""),"",IF(Q50="Short",IF(I50&gt;=Benchmarks!$E$7,"Elite",IF(I50&gt;=Benchmarks!$D$7,"Strong",IF(I50&gt;=Benchmarks!$C$7,"Average","Needs work"))),IF(I50&gt;=Benchmarks!$E$6,"Elite",IF(I50&gt;=Benchmarks!$D$6,"Strong",IF(I50&gt;=Benchmarks!$C$6,"Average","Needs work")))))</f>
        <v/>
      </c>
      <c r="AB50" s="72" t="str">
        <f aca="false">IF(V50="","",IF(V50&gt;=Benchmarks!$E$8,"Elite",IF(V50&gt;=Benchmarks!$D$8,"Strong",IF(V50&gt;=Benchmarks!$C$8,"Average","Needs work"))))</f>
        <v/>
      </c>
      <c r="AC50" s="73" t="str">
        <f aca="false">IF(COUNT(AG50:AI50)=0,"",AVERAGE(AG50:AI50))</f>
        <v/>
      </c>
      <c r="AD50" s="37" t="str">
        <f aca="false">IF(A50="","",IF(Q50="Short",IF(AH50="","Add % viewed to diagnose",IF(AND(AH50&gt;=3,N(AI50)&gt;=3),"Winner Short — expand it into a long-form video",IF(AH50&lt;=1,"Hook problem — viewers swipe away in the first seconds",IF(AI50=1,"Watched but no reaction — end on a question or opinion","Solid Short — keep iterating")))),IF(OR(AG50="",AH50=""),"Add CTR &amp; % viewed to diagnose",IF(AND(AG50&gt;=3,AH50&gt;=3),"WINNER — make a sequel, series or Shorts from it",IF(AND(AG50&gt;=3,AH50&lt;=2),"Click but leave — intro too slow or title over-promises",IF(AND(AG50&lt;=2,AH50&gt;=3),"Great video, weak packaging — A/B test title + thumbnail",IF(AND(AG50=1,AH50=1),"Topic miss — don't repeat this angle","Average — sharpen the hook and the title")))))))</f>
        <v/>
      </c>
      <c r="AE50" s="76" t="str">
        <f aca="false">IF(OR(A50="",N(E50)=0),"",Q50&amp;"-"&amp;(COUNTIFS($Q$5:$Q$204,Q50,$E$5:$E$204,"&gt;"&amp;E50)+COUNTIFS($Q$5:Q50,Q50,$E$5:E50,E50)))</f>
        <v/>
      </c>
      <c r="AF50" s="77" t="str">
        <f aca="false">IF(AND(Q50="Long",N(F50)&gt;=Benchmarks!$C$15,G50&lt;&gt;""),G50,"")</f>
        <v/>
      </c>
      <c r="AG50" s="78" t="str">
        <f aca="false">IF(Z50="Elite",4,IF(Z50="Strong",3,IF(Z50="Average",2,IF(Z50="Needs work",1,""))))</f>
        <v/>
      </c>
      <c r="AH50" s="78" t="str">
        <f aca="false">IF(AA50="Elite",4,IF(AA50="Strong",3,IF(AA50="Average",2,IF(AA50="Needs work",1,""))))</f>
        <v/>
      </c>
      <c r="AI50" s="78" t="str">
        <f aca="false">IF(AB50="Elite",4,IF(AB50="Strong",3,IF(AB50="Average",2,IF(AB50="Needs work",1,""))))</f>
        <v/>
      </c>
    </row>
    <row r="51" customFormat="false" ht="15" hidden="false" customHeight="false" outlineLevel="0" collapsed="false">
      <c r="A51" s="64"/>
      <c r="B51" s="65"/>
      <c r="C51" s="66"/>
      <c r="D51" s="67"/>
      <c r="E51" s="67"/>
      <c r="F51" s="67"/>
      <c r="G51" s="68"/>
      <c r="H51" s="69"/>
      <c r="I51" s="68"/>
      <c r="J51" s="70"/>
      <c r="K51" s="67"/>
      <c r="L51" s="67"/>
      <c r="M51" s="67"/>
      <c r="N51" s="67"/>
      <c r="O51" s="67"/>
      <c r="P51" s="71"/>
      <c r="Q51" s="72" t="str">
        <f aca="false">IF(A51="","",IF(C51&lt;&gt;"",C51,IF(AND(D51&lt;&gt;"",D51&lt;=180),"Short","Long")))</f>
        <v/>
      </c>
      <c r="R51" s="73" t="str">
        <f aca="false">IF(OR(A51="",D51=""),"",D51/60)</f>
        <v/>
      </c>
      <c r="S51" s="72" t="str">
        <f aca="false">IF(OR(A51="",B51=""),"",IF(AND(B51&gt;=DATE(2026,4,1),B51&lt;=DATE(2026,6,30)),"Yes","No"))</f>
        <v/>
      </c>
      <c r="T51" s="72" t="str">
        <f aca="false">IF(OR(A51="",B51=""),"",CHOOSE(WEEKDAY(B51),"Sun","Mon","Tue","Wed","Thu","Fri","Sat"))</f>
        <v/>
      </c>
      <c r="U51" s="72" t="str">
        <f aca="false">IF(OR(Q51&lt;&gt;"Long",D51=""),"",IF(D51&lt;480,"Under 8 min",IF(D51&lt;900,"8–15 min",IF(D51&lt;1500,"15–25 min","25+ min"))))</f>
        <v/>
      </c>
      <c r="V51" s="74" t="str">
        <f aca="false">IF(OR(A51="",N(E51)=0),"",(N(K51)+N(L51))/E51*100)</f>
        <v/>
      </c>
      <c r="W51" s="73" t="str">
        <f aca="false">IF(OR(A51="",N(E51)=0),"",N(L51)/E51*1000)</f>
        <v/>
      </c>
      <c r="X51" s="75" t="str">
        <f aca="false">IF(A51="","",N(N51)-N(O51))</f>
        <v/>
      </c>
      <c r="Y51" s="73" t="str">
        <f aca="false">IF(OR(A51="",N(E51)=0),"",X51/E51*1000)</f>
        <v/>
      </c>
      <c r="Z51" s="72" t="str">
        <f aca="false">IF(OR(A51="",G51=""),"",IF(Q51="Short","n/a (Short)",IF(G51&gt;=Benchmarks!$E$5,"Elite",IF(G51&gt;=Benchmarks!$D$5,"Strong",IF(G51&gt;=Benchmarks!$C$5,"Average","Needs work")))))</f>
        <v/>
      </c>
      <c r="AA51" s="72" t="str">
        <f aca="false">IF(OR(A51="",I51=""),"",IF(Q51="Short",IF(I51&gt;=Benchmarks!$E$7,"Elite",IF(I51&gt;=Benchmarks!$D$7,"Strong",IF(I51&gt;=Benchmarks!$C$7,"Average","Needs work"))),IF(I51&gt;=Benchmarks!$E$6,"Elite",IF(I51&gt;=Benchmarks!$D$6,"Strong",IF(I51&gt;=Benchmarks!$C$6,"Average","Needs work")))))</f>
        <v/>
      </c>
      <c r="AB51" s="72" t="str">
        <f aca="false">IF(V51="","",IF(V51&gt;=Benchmarks!$E$8,"Elite",IF(V51&gt;=Benchmarks!$D$8,"Strong",IF(V51&gt;=Benchmarks!$C$8,"Average","Needs work"))))</f>
        <v/>
      </c>
      <c r="AC51" s="73" t="str">
        <f aca="false">IF(COUNT(AG51:AI51)=0,"",AVERAGE(AG51:AI51))</f>
        <v/>
      </c>
      <c r="AD51" s="37" t="str">
        <f aca="false">IF(A51="","",IF(Q51="Short",IF(AH51="","Add % viewed to diagnose",IF(AND(AH51&gt;=3,N(AI51)&gt;=3),"Winner Short — expand it into a long-form video",IF(AH51&lt;=1,"Hook problem — viewers swipe away in the first seconds",IF(AI51=1,"Watched but no reaction — end on a question or opinion","Solid Short — keep iterating")))),IF(OR(AG51="",AH51=""),"Add CTR &amp; % viewed to diagnose",IF(AND(AG51&gt;=3,AH51&gt;=3),"WINNER — make a sequel, series or Shorts from it",IF(AND(AG51&gt;=3,AH51&lt;=2),"Click but leave — intro too slow or title over-promises",IF(AND(AG51&lt;=2,AH51&gt;=3),"Great video, weak packaging — A/B test title + thumbnail",IF(AND(AG51=1,AH51=1),"Topic miss — don't repeat this angle","Average — sharpen the hook and the title")))))))</f>
        <v/>
      </c>
      <c r="AE51" s="76" t="str">
        <f aca="false">IF(OR(A51="",N(E51)=0),"",Q51&amp;"-"&amp;(COUNTIFS($Q$5:$Q$204,Q51,$E$5:$E$204,"&gt;"&amp;E51)+COUNTIFS($Q$5:Q51,Q51,$E$5:E51,E51)))</f>
        <v/>
      </c>
      <c r="AF51" s="77" t="str">
        <f aca="false">IF(AND(Q51="Long",N(F51)&gt;=Benchmarks!$C$15,G51&lt;&gt;""),G51,"")</f>
        <v/>
      </c>
      <c r="AG51" s="78" t="str">
        <f aca="false">IF(Z51="Elite",4,IF(Z51="Strong",3,IF(Z51="Average",2,IF(Z51="Needs work",1,""))))</f>
        <v/>
      </c>
      <c r="AH51" s="78" t="str">
        <f aca="false">IF(AA51="Elite",4,IF(AA51="Strong",3,IF(AA51="Average",2,IF(AA51="Needs work",1,""))))</f>
        <v/>
      </c>
      <c r="AI51" s="78" t="str">
        <f aca="false">IF(AB51="Elite",4,IF(AB51="Strong",3,IF(AB51="Average",2,IF(AB51="Needs work",1,""))))</f>
        <v/>
      </c>
    </row>
    <row r="52" customFormat="false" ht="15" hidden="false" customHeight="false" outlineLevel="0" collapsed="false">
      <c r="A52" s="64"/>
      <c r="B52" s="65"/>
      <c r="C52" s="66"/>
      <c r="D52" s="67"/>
      <c r="E52" s="67"/>
      <c r="F52" s="67"/>
      <c r="G52" s="68"/>
      <c r="H52" s="69"/>
      <c r="I52" s="68"/>
      <c r="J52" s="70"/>
      <c r="K52" s="67"/>
      <c r="L52" s="67"/>
      <c r="M52" s="67"/>
      <c r="N52" s="67"/>
      <c r="O52" s="67"/>
      <c r="P52" s="71"/>
      <c r="Q52" s="72" t="str">
        <f aca="false">IF(A52="","",IF(C52&lt;&gt;"",C52,IF(AND(D52&lt;&gt;"",D52&lt;=180),"Short","Long")))</f>
        <v/>
      </c>
      <c r="R52" s="73" t="str">
        <f aca="false">IF(OR(A52="",D52=""),"",D52/60)</f>
        <v/>
      </c>
      <c r="S52" s="72" t="str">
        <f aca="false">IF(OR(A52="",B52=""),"",IF(AND(B52&gt;=DATE(2026,4,1),B52&lt;=DATE(2026,6,30)),"Yes","No"))</f>
        <v/>
      </c>
      <c r="T52" s="72" t="str">
        <f aca="false">IF(OR(A52="",B52=""),"",CHOOSE(WEEKDAY(B52),"Sun","Mon","Tue","Wed","Thu","Fri","Sat"))</f>
        <v/>
      </c>
      <c r="U52" s="72" t="str">
        <f aca="false">IF(OR(Q52&lt;&gt;"Long",D52=""),"",IF(D52&lt;480,"Under 8 min",IF(D52&lt;900,"8–15 min",IF(D52&lt;1500,"15–25 min","25+ min"))))</f>
        <v/>
      </c>
      <c r="V52" s="74" t="str">
        <f aca="false">IF(OR(A52="",N(E52)=0),"",(N(K52)+N(L52))/E52*100)</f>
        <v/>
      </c>
      <c r="W52" s="73" t="str">
        <f aca="false">IF(OR(A52="",N(E52)=0),"",N(L52)/E52*1000)</f>
        <v/>
      </c>
      <c r="X52" s="75" t="str">
        <f aca="false">IF(A52="","",N(N52)-N(O52))</f>
        <v/>
      </c>
      <c r="Y52" s="73" t="str">
        <f aca="false">IF(OR(A52="",N(E52)=0),"",X52/E52*1000)</f>
        <v/>
      </c>
      <c r="Z52" s="72" t="str">
        <f aca="false">IF(OR(A52="",G52=""),"",IF(Q52="Short","n/a (Short)",IF(G52&gt;=Benchmarks!$E$5,"Elite",IF(G52&gt;=Benchmarks!$D$5,"Strong",IF(G52&gt;=Benchmarks!$C$5,"Average","Needs work")))))</f>
        <v/>
      </c>
      <c r="AA52" s="72" t="str">
        <f aca="false">IF(OR(A52="",I52=""),"",IF(Q52="Short",IF(I52&gt;=Benchmarks!$E$7,"Elite",IF(I52&gt;=Benchmarks!$D$7,"Strong",IF(I52&gt;=Benchmarks!$C$7,"Average","Needs work"))),IF(I52&gt;=Benchmarks!$E$6,"Elite",IF(I52&gt;=Benchmarks!$D$6,"Strong",IF(I52&gt;=Benchmarks!$C$6,"Average","Needs work")))))</f>
        <v/>
      </c>
      <c r="AB52" s="72" t="str">
        <f aca="false">IF(V52="","",IF(V52&gt;=Benchmarks!$E$8,"Elite",IF(V52&gt;=Benchmarks!$D$8,"Strong",IF(V52&gt;=Benchmarks!$C$8,"Average","Needs work"))))</f>
        <v/>
      </c>
      <c r="AC52" s="73" t="str">
        <f aca="false">IF(COUNT(AG52:AI52)=0,"",AVERAGE(AG52:AI52))</f>
        <v/>
      </c>
      <c r="AD52" s="37" t="str">
        <f aca="false">IF(A52="","",IF(Q52="Short",IF(AH52="","Add % viewed to diagnose",IF(AND(AH52&gt;=3,N(AI52)&gt;=3),"Winner Short — expand it into a long-form video",IF(AH52&lt;=1,"Hook problem — viewers swipe away in the first seconds",IF(AI52=1,"Watched but no reaction — end on a question or opinion","Solid Short — keep iterating")))),IF(OR(AG52="",AH52=""),"Add CTR &amp; % viewed to diagnose",IF(AND(AG52&gt;=3,AH52&gt;=3),"WINNER — make a sequel, series or Shorts from it",IF(AND(AG52&gt;=3,AH52&lt;=2),"Click but leave — intro too slow or title over-promises",IF(AND(AG52&lt;=2,AH52&gt;=3),"Great video, weak packaging — A/B test title + thumbnail",IF(AND(AG52=1,AH52=1),"Topic miss — don't repeat this angle","Average — sharpen the hook and the title")))))))</f>
        <v/>
      </c>
      <c r="AE52" s="76" t="str">
        <f aca="false">IF(OR(A52="",N(E52)=0),"",Q52&amp;"-"&amp;(COUNTIFS($Q$5:$Q$204,Q52,$E$5:$E$204,"&gt;"&amp;E52)+COUNTIFS($Q$5:Q52,Q52,$E$5:E52,E52)))</f>
        <v/>
      </c>
      <c r="AF52" s="77" t="str">
        <f aca="false">IF(AND(Q52="Long",N(F52)&gt;=Benchmarks!$C$15,G52&lt;&gt;""),G52,"")</f>
        <v/>
      </c>
      <c r="AG52" s="78" t="str">
        <f aca="false">IF(Z52="Elite",4,IF(Z52="Strong",3,IF(Z52="Average",2,IF(Z52="Needs work",1,""))))</f>
        <v/>
      </c>
      <c r="AH52" s="78" t="str">
        <f aca="false">IF(AA52="Elite",4,IF(AA52="Strong",3,IF(AA52="Average",2,IF(AA52="Needs work",1,""))))</f>
        <v/>
      </c>
      <c r="AI52" s="78" t="str">
        <f aca="false">IF(AB52="Elite",4,IF(AB52="Strong",3,IF(AB52="Average",2,IF(AB52="Needs work",1,""))))</f>
        <v/>
      </c>
    </row>
    <row r="53" customFormat="false" ht="15" hidden="false" customHeight="false" outlineLevel="0" collapsed="false">
      <c r="A53" s="64"/>
      <c r="B53" s="65"/>
      <c r="C53" s="66"/>
      <c r="D53" s="67"/>
      <c r="E53" s="67"/>
      <c r="F53" s="67"/>
      <c r="G53" s="68"/>
      <c r="H53" s="69"/>
      <c r="I53" s="68"/>
      <c r="J53" s="70"/>
      <c r="K53" s="67"/>
      <c r="L53" s="67"/>
      <c r="M53" s="67"/>
      <c r="N53" s="67"/>
      <c r="O53" s="67"/>
      <c r="P53" s="71"/>
      <c r="Q53" s="72" t="str">
        <f aca="false">IF(A53="","",IF(C53&lt;&gt;"",C53,IF(AND(D53&lt;&gt;"",D53&lt;=180),"Short","Long")))</f>
        <v/>
      </c>
      <c r="R53" s="73" t="str">
        <f aca="false">IF(OR(A53="",D53=""),"",D53/60)</f>
        <v/>
      </c>
      <c r="S53" s="72" t="str">
        <f aca="false">IF(OR(A53="",B53=""),"",IF(AND(B53&gt;=DATE(2026,4,1),B53&lt;=DATE(2026,6,30)),"Yes","No"))</f>
        <v/>
      </c>
      <c r="T53" s="72" t="str">
        <f aca="false">IF(OR(A53="",B53=""),"",CHOOSE(WEEKDAY(B53),"Sun","Mon","Tue","Wed","Thu","Fri","Sat"))</f>
        <v/>
      </c>
      <c r="U53" s="72" t="str">
        <f aca="false">IF(OR(Q53&lt;&gt;"Long",D53=""),"",IF(D53&lt;480,"Under 8 min",IF(D53&lt;900,"8–15 min",IF(D53&lt;1500,"15–25 min","25+ min"))))</f>
        <v/>
      </c>
      <c r="V53" s="74" t="str">
        <f aca="false">IF(OR(A53="",N(E53)=0),"",(N(K53)+N(L53))/E53*100)</f>
        <v/>
      </c>
      <c r="W53" s="73" t="str">
        <f aca="false">IF(OR(A53="",N(E53)=0),"",N(L53)/E53*1000)</f>
        <v/>
      </c>
      <c r="X53" s="75" t="str">
        <f aca="false">IF(A53="","",N(N53)-N(O53))</f>
        <v/>
      </c>
      <c r="Y53" s="73" t="str">
        <f aca="false">IF(OR(A53="",N(E53)=0),"",X53/E53*1000)</f>
        <v/>
      </c>
      <c r="Z53" s="72" t="str">
        <f aca="false">IF(OR(A53="",G53=""),"",IF(Q53="Short","n/a (Short)",IF(G53&gt;=Benchmarks!$E$5,"Elite",IF(G53&gt;=Benchmarks!$D$5,"Strong",IF(G53&gt;=Benchmarks!$C$5,"Average","Needs work")))))</f>
        <v/>
      </c>
      <c r="AA53" s="72" t="str">
        <f aca="false">IF(OR(A53="",I53=""),"",IF(Q53="Short",IF(I53&gt;=Benchmarks!$E$7,"Elite",IF(I53&gt;=Benchmarks!$D$7,"Strong",IF(I53&gt;=Benchmarks!$C$7,"Average","Needs work"))),IF(I53&gt;=Benchmarks!$E$6,"Elite",IF(I53&gt;=Benchmarks!$D$6,"Strong",IF(I53&gt;=Benchmarks!$C$6,"Average","Needs work")))))</f>
        <v/>
      </c>
      <c r="AB53" s="72" t="str">
        <f aca="false">IF(V53="","",IF(V53&gt;=Benchmarks!$E$8,"Elite",IF(V53&gt;=Benchmarks!$D$8,"Strong",IF(V53&gt;=Benchmarks!$C$8,"Average","Needs work"))))</f>
        <v/>
      </c>
      <c r="AC53" s="73" t="str">
        <f aca="false">IF(COUNT(AG53:AI53)=0,"",AVERAGE(AG53:AI53))</f>
        <v/>
      </c>
      <c r="AD53" s="37" t="str">
        <f aca="false">IF(A53="","",IF(Q53="Short",IF(AH53="","Add % viewed to diagnose",IF(AND(AH53&gt;=3,N(AI53)&gt;=3),"Winner Short — expand it into a long-form video",IF(AH53&lt;=1,"Hook problem — viewers swipe away in the first seconds",IF(AI53=1,"Watched but no reaction — end on a question or opinion","Solid Short — keep iterating")))),IF(OR(AG53="",AH53=""),"Add CTR &amp; % viewed to diagnose",IF(AND(AG53&gt;=3,AH53&gt;=3),"WINNER — make a sequel, series or Shorts from it",IF(AND(AG53&gt;=3,AH53&lt;=2),"Click but leave — intro too slow or title over-promises",IF(AND(AG53&lt;=2,AH53&gt;=3),"Great video, weak packaging — A/B test title + thumbnail",IF(AND(AG53=1,AH53=1),"Topic miss — don't repeat this angle","Average — sharpen the hook and the title")))))))</f>
        <v/>
      </c>
      <c r="AE53" s="76" t="str">
        <f aca="false">IF(OR(A53="",N(E53)=0),"",Q53&amp;"-"&amp;(COUNTIFS($Q$5:$Q$204,Q53,$E$5:$E$204,"&gt;"&amp;E53)+COUNTIFS($Q$5:Q53,Q53,$E$5:E53,E53)))</f>
        <v/>
      </c>
      <c r="AF53" s="77" t="str">
        <f aca="false">IF(AND(Q53="Long",N(F53)&gt;=Benchmarks!$C$15,G53&lt;&gt;""),G53,"")</f>
        <v/>
      </c>
      <c r="AG53" s="78" t="str">
        <f aca="false">IF(Z53="Elite",4,IF(Z53="Strong",3,IF(Z53="Average",2,IF(Z53="Needs work",1,""))))</f>
        <v/>
      </c>
      <c r="AH53" s="78" t="str">
        <f aca="false">IF(AA53="Elite",4,IF(AA53="Strong",3,IF(AA53="Average",2,IF(AA53="Needs work",1,""))))</f>
        <v/>
      </c>
      <c r="AI53" s="78" t="str">
        <f aca="false">IF(AB53="Elite",4,IF(AB53="Strong",3,IF(AB53="Average",2,IF(AB53="Needs work",1,""))))</f>
        <v/>
      </c>
    </row>
    <row r="54" customFormat="false" ht="15" hidden="false" customHeight="false" outlineLevel="0" collapsed="false">
      <c r="A54" s="64"/>
      <c r="B54" s="65"/>
      <c r="C54" s="66"/>
      <c r="D54" s="67"/>
      <c r="E54" s="67"/>
      <c r="F54" s="67"/>
      <c r="G54" s="68"/>
      <c r="H54" s="69"/>
      <c r="I54" s="68"/>
      <c r="J54" s="70"/>
      <c r="K54" s="67"/>
      <c r="L54" s="67"/>
      <c r="M54" s="67"/>
      <c r="N54" s="67"/>
      <c r="O54" s="67"/>
      <c r="P54" s="71"/>
      <c r="Q54" s="72" t="str">
        <f aca="false">IF(A54="","",IF(C54&lt;&gt;"",C54,IF(AND(D54&lt;&gt;"",D54&lt;=180),"Short","Long")))</f>
        <v/>
      </c>
      <c r="R54" s="73" t="str">
        <f aca="false">IF(OR(A54="",D54=""),"",D54/60)</f>
        <v/>
      </c>
      <c r="S54" s="72" t="str">
        <f aca="false">IF(OR(A54="",B54=""),"",IF(AND(B54&gt;=DATE(2026,4,1),B54&lt;=DATE(2026,6,30)),"Yes","No"))</f>
        <v/>
      </c>
      <c r="T54" s="72" t="str">
        <f aca="false">IF(OR(A54="",B54=""),"",CHOOSE(WEEKDAY(B54),"Sun","Mon","Tue","Wed","Thu","Fri","Sat"))</f>
        <v/>
      </c>
      <c r="U54" s="72" t="str">
        <f aca="false">IF(OR(Q54&lt;&gt;"Long",D54=""),"",IF(D54&lt;480,"Under 8 min",IF(D54&lt;900,"8–15 min",IF(D54&lt;1500,"15–25 min","25+ min"))))</f>
        <v/>
      </c>
      <c r="V54" s="74" t="str">
        <f aca="false">IF(OR(A54="",N(E54)=0),"",(N(K54)+N(L54))/E54*100)</f>
        <v/>
      </c>
      <c r="W54" s="73" t="str">
        <f aca="false">IF(OR(A54="",N(E54)=0),"",N(L54)/E54*1000)</f>
        <v/>
      </c>
      <c r="X54" s="75" t="str">
        <f aca="false">IF(A54="","",N(N54)-N(O54))</f>
        <v/>
      </c>
      <c r="Y54" s="73" t="str">
        <f aca="false">IF(OR(A54="",N(E54)=0),"",X54/E54*1000)</f>
        <v/>
      </c>
      <c r="Z54" s="72" t="str">
        <f aca="false">IF(OR(A54="",G54=""),"",IF(Q54="Short","n/a (Short)",IF(G54&gt;=Benchmarks!$E$5,"Elite",IF(G54&gt;=Benchmarks!$D$5,"Strong",IF(G54&gt;=Benchmarks!$C$5,"Average","Needs work")))))</f>
        <v/>
      </c>
      <c r="AA54" s="72" t="str">
        <f aca="false">IF(OR(A54="",I54=""),"",IF(Q54="Short",IF(I54&gt;=Benchmarks!$E$7,"Elite",IF(I54&gt;=Benchmarks!$D$7,"Strong",IF(I54&gt;=Benchmarks!$C$7,"Average","Needs work"))),IF(I54&gt;=Benchmarks!$E$6,"Elite",IF(I54&gt;=Benchmarks!$D$6,"Strong",IF(I54&gt;=Benchmarks!$C$6,"Average","Needs work")))))</f>
        <v/>
      </c>
      <c r="AB54" s="72" t="str">
        <f aca="false">IF(V54="","",IF(V54&gt;=Benchmarks!$E$8,"Elite",IF(V54&gt;=Benchmarks!$D$8,"Strong",IF(V54&gt;=Benchmarks!$C$8,"Average","Needs work"))))</f>
        <v/>
      </c>
      <c r="AC54" s="73" t="str">
        <f aca="false">IF(COUNT(AG54:AI54)=0,"",AVERAGE(AG54:AI54))</f>
        <v/>
      </c>
      <c r="AD54" s="37" t="str">
        <f aca="false">IF(A54="","",IF(Q54="Short",IF(AH54="","Add % viewed to diagnose",IF(AND(AH54&gt;=3,N(AI54)&gt;=3),"Winner Short — expand it into a long-form video",IF(AH54&lt;=1,"Hook problem — viewers swipe away in the first seconds",IF(AI54=1,"Watched but no reaction — end on a question or opinion","Solid Short — keep iterating")))),IF(OR(AG54="",AH54=""),"Add CTR &amp; % viewed to diagnose",IF(AND(AG54&gt;=3,AH54&gt;=3),"WINNER — make a sequel, series or Shorts from it",IF(AND(AG54&gt;=3,AH54&lt;=2),"Click but leave — intro too slow or title over-promises",IF(AND(AG54&lt;=2,AH54&gt;=3),"Great video, weak packaging — A/B test title + thumbnail",IF(AND(AG54=1,AH54=1),"Topic miss — don't repeat this angle","Average — sharpen the hook and the title")))))))</f>
        <v/>
      </c>
      <c r="AE54" s="76" t="str">
        <f aca="false">IF(OR(A54="",N(E54)=0),"",Q54&amp;"-"&amp;(COUNTIFS($Q$5:$Q$204,Q54,$E$5:$E$204,"&gt;"&amp;E54)+COUNTIFS($Q$5:Q54,Q54,$E$5:E54,E54)))</f>
        <v/>
      </c>
      <c r="AF54" s="77" t="str">
        <f aca="false">IF(AND(Q54="Long",N(F54)&gt;=Benchmarks!$C$15,G54&lt;&gt;""),G54,"")</f>
        <v/>
      </c>
      <c r="AG54" s="78" t="str">
        <f aca="false">IF(Z54="Elite",4,IF(Z54="Strong",3,IF(Z54="Average",2,IF(Z54="Needs work",1,""))))</f>
        <v/>
      </c>
      <c r="AH54" s="78" t="str">
        <f aca="false">IF(AA54="Elite",4,IF(AA54="Strong",3,IF(AA54="Average",2,IF(AA54="Needs work",1,""))))</f>
        <v/>
      </c>
      <c r="AI54" s="78" t="str">
        <f aca="false">IF(AB54="Elite",4,IF(AB54="Strong",3,IF(AB54="Average",2,IF(AB54="Needs work",1,""))))</f>
        <v/>
      </c>
    </row>
    <row r="55" customFormat="false" ht="15" hidden="false" customHeight="false" outlineLevel="0" collapsed="false">
      <c r="A55" s="64"/>
      <c r="B55" s="65"/>
      <c r="C55" s="66"/>
      <c r="D55" s="67"/>
      <c r="E55" s="67"/>
      <c r="F55" s="67"/>
      <c r="G55" s="68"/>
      <c r="H55" s="69"/>
      <c r="I55" s="68"/>
      <c r="J55" s="70"/>
      <c r="K55" s="67"/>
      <c r="L55" s="67"/>
      <c r="M55" s="67"/>
      <c r="N55" s="67"/>
      <c r="O55" s="67"/>
      <c r="P55" s="71"/>
      <c r="Q55" s="72" t="str">
        <f aca="false">IF(A55="","",IF(C55&lt;&gt;"",C55,IF(AND(D55&lt;&gt;"",D55&lt;=180),"Short","Long")))</f>
        <v/>
      </c>
      <c r="R55" s="73" t="str">
        <f aca="false">IF(OR(A55="",D55=""),"",D55/60)</f>
        <v/>
      </c>
      <c r="S55" s="72" t="str">
        <f aca="false">IF(OR(A55="",B55=""),"",IF(AND(B55&gt;=DATE(2026,4,1),B55&lt;=DATE(2026,6,30)),"Yes","No"))</f>
        <v/>
      </c>
      <c r="T55" s="72" t="str">
        <f aca="false">IF(OR(A55="",B55=""),"",CHOOSE(WEEKDAY(B55),"Sun","Mon","Tue","Wed","Thu","Fri","Sat"))</f>
        <v/>
      </c>
      <c r="U55" s="72" t="str">
        <f aca="false">IF(OR(Q55&lt;&gt;"Long",D55=""),"",IF(D55&lt;480,"Under 8 min",IF(D55&lt;900,"8–15 min",IF(D55&lt;1500,"15–25 min","25+ min"))))</f>
        <v/>
      </c>
      <c r="V55" s="74" t="str">
        <f aca="false">IF(OR(A55="",N(E55)=0),"",(N(K55)+N(L55))/E55*100)</f>
        <v/>
      </c>
      <c r="W55" s="73" t="str">
        <f aca="false">IF(OR(A55="",N(E55)=0),"",N(L55)/E55*1000)</f>
        <v/>
      </c>
      <c r="X55" s="75" t="str">
        <f aca="false">IF(A55="","",N(N55)-N(O55))</f>
        <v/>
      </c>
      <c r="Y55" s="73" t="str">
        <f aca="false">IF(OR(A55="",N(E55)=0),"",X55/E55*1000)</f>
        <v/>
      </c>
      <c r="Z55" s="72" t="str">
        <f aca="false">IF(OR(A55="",G55=""),"",IF(Q55="Short","n/a (Short)",IF(G55&gt;=Benchmarks!$E$5,"Elite",IF(G55&gt;=Benchmarks!$D$5,"Strong",IF(G55&gt;=Benchmarks!$C$5,"Average","Needs work")))))</f>
        <v/>
      </c>
      <c r="AA55" s="72" t="str">
        <f aca="false">IF(OR(A55="",I55=""),"",IF(Q55="Short",IF(I55&gt;=Benchmarks!$E$7,"Elite",IF(I55&gt;=Benchmarks!$D$7,"Strong",IF(I55&gt;=Benchmarks!$C$7,"Average","Needs work"))),IF(I55&gt;=Benchmarks!$E$6,"Elite",IF(I55&gt;=Benchmarks!$D$6,"Strong",IF(I55&gt;=Benchmarks!$C$6,"Average","Needs work")))))</f>
        <v/>
      </c>
      <c r="AB55" s="72" t="str">
        <f aca="false">IF(V55="","",IF(V55&gt;=Benchmarks!$E$8,"Elite",IF(V55&gt;=Benchmarks!$D$8,"Strong",IF(V55&gt;=Benchmarks!$C$8,"Average","Needs work"))))</f>
        <v/>
      </c>
      <c r="AC55" s="73" t="str">
        <f aca="false">IF(COUNT(AG55:AI55)=0,"",AVERAGE(AG55:AI55))</f>
        <v/>
      </c>
      <c r="AD55" s="37" t="str">
        <f aca="false">IF(A55="","",IF(Q55="Short",IF(AH55="","Add % viewed to diagnose",IF(AND(AH55&gt;=3,N(AI55)&gt;=3),"Winner Short — expand it into a long-form video",IF(AH55&lt;=1,"Hook problem — viewers swipe away in the first seconds",IF(AI55=1,"Watched but no reaction — end on a question or opinion","Solid Short — keep iterating")))),IF(OR(AG55="",AH55=""),"Add CTR &amp; % viewed to diagnose",IF(AND(AG55&gt;=3,AH55&gt;=3),"WINNER — make a sequel, series or Shorts from it",IF(AND(AG55&gt;=3,AH55&lt;=2),"Click but leave — intro too slow or title over-promises",IF(AND(AG55&lt;=2,AH55&gt;=3),"Great video, weak packaging — A/B test title + thumbnail",IF(AND(AG55=1,AH55=1),"Topic miss — don't repeat this angle","Average — sharpen the hook and the title")))))))</f>
        <v/>
      </c>
      <c r="AE55" s="76" t="str">
        <f aca="false">IF(OR(A55="",N(E55)=0),"",Q55&amp;"-"&amp;(COUNTIFS($Q$5:$Q$204,Q55,$E$5:$E$204,"&gt;"&amp;E55)+COUNTIFS($Q$5:Q55,Q55,$E$5:E55,E55)))</f>
        <v/>
      </c>
      <c r="AF55" s="77" t="str">
        <f aca="false">IF(AND(Q55="Long",N(F55)&gt;=Benchmarks!$C$15,G55&lt;&gt;""),G55,"")</f>
        <v/>
      </c>
      <c r="AG55" s="78" t="str">
        <f aca="false">IF(Z55="Elite",4,IF(Z55="Strong",3,IF(Z55="Average",2,IF(Z55="Needs work",1,""))))</f>
        <v/>
      </c>
      <c r="AH55" s="78" t="str">
        <f aca="false">IF(AA55="Elite",4,IF(AA55="Strong",3,IF(AA55="Average",2,IF(AA55="Needs work",1,""))))</f>
        <v/>
      </c>
      <c r="AI55" s="78" t="str">
        <f aca="false">IF(AB55="Elite",4,IF(AB55="Strong",3,IF(AB55="Average",2,IF(AB55="Needs work",1,""))))</f>
        <v/>
      </c>
    </row>
    <row r="56" customFormat="false" ht="15" hidden="false" customHeight="false" outlineLevel="0" collapsed="false">
      <c r="A56" s="64"/>
      <c r="B56" s="65"/>
      <c r="C56" s="66"/>
      <c r="D56" s="67"/>
      <c r="E56" s="67"/>
      <c r="F56" s="67"/>
      <c r="G56" s="68"/>
      <c r="H56" s="69"/>
      <c r="I56" s="68"/>
      <c r="J56" s="70"/>
      <c r="K56" s="67"/>
      <c r="L56" s="67"/>
      <c r="M56" s="67"/>
      <c r="N56" s="67"/>
      <c r="O56" s="67"/>
      <c r="P56" s="71"/>
      <c r="Q56" s="72" t="str">
        <f aca="false">IF(A56="","",IF(C56&lt;&gt;"",C56,IF(AND(D56&lt;&gt;"",D56&lt;=180),"Short","Long")))</f>
        <v/>
      </c>
      <c r="R56" s="73" t="str">
        <f aca="false">IF(OR(A56="",D56=""),"",D56/60)</f>
        <v/>
      </c>
      <c r="S56" s="72" t="str">
        <f aca="false">IF(OR(A56="",B56=""),"",IF(AND(B56&gt;=DATE(2026,4,1),B56&lt;=DATE(2026,6,30)),"Yes","No"))</f>
        <v/>
      </c>
      <c r="T56" s="72" t="str">
        <f aca="false">IF(OR(A56="",B56=""),"",CHOOSE(WEEKDAY(B56),"Sun","Mon","Tue","Wed","Thu","Fri","Sat"))</f>
        <v/>
      </c>
      <c r="U56" s="72" t="str">
        <f aca="false">IF(OR(Q56&lt;&gt;"Long",D56=""),"",IF(D56&lt;480,"Under 8 min",IF(D56&lt;900,"8–15 min",IF(D56&lt;1500,"15–25 min","25+ min"))))</f>
        <v/>
      </c>
      <c r="V56" s="74" t="str">
        <f aca="false">IF(OR(A56="",N(E56)=0),"",(N(K56)+N(L56))/E56*100)</f>
        <v/>
      </c>
      <c r="W56" s="73" t="str">
        <f aca="false">IF(OR(A56="",N(E56)=0),"",N(L56)/E56*1000)</f>
        <v/>
      </c>
      <c r="X56" s="75" t="str">
        <f aca="false">IF(A56="","",N(N56)-N(O56))</f>
        <v/>
      </c>
      <c r="Y56" s="73" t="str">
        <f aca="false">IF(OR(A56="",N(E56)=0),"",X56/E56*1000)</f>
        <v/>
      </c>
      <c r="Z56" s="72" t="str">
        <f aca="false">IF(OR(A56="",G56=""),"",IF(Q56="Short","n/a (Short)",IF(G56&gt;=Benchmarks!$E$5,"Elite",IF(G56&gt;=Benchmarks!$D$5,"Strong",IF(G56&gt;=Benchmarks!$C$5,"Average","Needs work")))))</f>
        <v/>
      </c>
      <c r="AA56" s="72" t="str">
        <f aca="false">IF(OR(A56="",I56=""),"",IF(Q56="Short",IF(I56&gt;=Benchmarks!$E$7,"Elite",IF(I56&gt;=Benchmarks!$D$7,"Strong",IF(I56&gt;=Benchmarks!$C$7,"Average","Needs work"))),IF(I56&gt;=Benchmarks!$E$6,"Elite",IF(I56&gt;=Benchmarks!$D$6,"Strong",IF(I56&gt;=Benchmarks!$C$6,"Average","Needs work")))))</f>
        <v/>
      </c>
      <c r="AB56" s="72" t="str">
        <f aca="false">IF(V56="","",IF(V56&gt;=Benchmarks!$E$8,"Elite",IF(V56&gt;=Benchmarks!$D$8,"Strong",IF(V56&gt;=Benchmarks!$C$8,"Average","Needs work"))))</f>
        <v/>
      </c>
      <c r="AC56" s="73" t="str">
        <f aca="false">IF(COUNT(AG56:AI56)=0,"",AVERAGE(AG56:AI56))</f>
        <v/>
      </c>
      <c r="AD56" s="37" t="str">
        <f aca="false">IF(A56="","",IF(Q56="Short",IF(AH56="","Add % viewed to diagnose",IF(AND(AH56&gt;=3,N(AI56)&gt;=3),"Winner Short — expand it into a long-form video",IF(AH56&lt;=1,"Hook problem — viewers swipe away in the first seconds",IF(AI56=1,"Watched but no reaction — end on a question or opinion","Solid Short — keep iterating")))),IF(OR(AG56="",AH56=""),"Add CTR &amp; % viewed to diagnose",IF(AND(AG56&gt;=3,AH56&gt;=3),"WINNER — make a sequel, series or Shorts from it",IF(AND(AG56&gt;=3,AH56&lt;=2),"Click but leave — intro too slow or title over-promises",IF(AND(AG56&lt;=2,AH56&gt;=3),"Great video, weak packaging — A/B test title + thumbnail",IF(AND(AG56=1,AH56=1),"Topic miss — don't repeat this angle","Average — sharpen the hook and the title")))))))</f>
        <v/>
      </c>
      <c r="AE56" s="76" t="str">
        <f aca="false">IF(OR(A56="",N(E56)=0),"",Q56&amp;"-"&amp;(COUNTIFS($Q$5:$Q$204,Q56,$E$5:$E$204,"&gt;"&amp;E56)+COUNTIFS($Q$5:Q56,Q56,$E$5:E56,E56)))</f>
        <v/>
      </c>
      <c r="AF56" s="77" t="str">
        <f aca="false">IF(AND(Q56="Long",N(F56)&gt;=Benchmarks!$C$15,G56&lt;&gt;""),G56,"")</f>
        <v/>
      </c>
      <c r="AG56" s="78" t="str">
        <f aca="false">IF(Z56="Elite",4,IF(Z56="Strong",3,IF(Z56="Average",2,IF(Z56="Needs work",1,""))))</f>
        <v/>
      </c>
      <c r="AH56" s="78" t="str">
        <f aca="false">IF(AA56="Elite",4,IF(AA56="Strong",3,IF(AA56="Average",2,IF(AA56="Needs work",1,""))))</f>
        <v/>
      </c>
      <c r="AI56" s="78" t="str">
        <f aca="false">IF(AB56="Elite",4,IF(AB56="Strong",3,IF(AB56="Average",2,IF(AB56="Needs work",1,""))))</f>
        <v/>
      </c>
    </row>
    <row r="57" customFormat="false" ht="15" hidden="false" customHeight="false" outlineLevel="0" collapsed="false">
      <c r="A57" s="64"/>
      <c r="B57" s="65"/>
      <c r="C57" s="66"/>
      <c r="D57" s="67"/>
      <c r="E57" s="67"/>
      <c r="F57" s="67"/>
      <c r="G57" s="68"/>
      <c r="H57" s="69"/>
      <c r="I57" s="68"/>
      <c r="J57" s="70"/>
      <c r="K57" s="67"/>
      <c r="L57" s="67"/>
      <c r="M57" s="67"/>
      <c r="N57" s="67"/>
      <c r="O57" s="67"/>
      <c r="P57" s="71"/>
      <c r="Q57" s="72" t="str">
        <f aca="false">IF(A57="","",IF(C57&lt;&gt;"",C57,IF(AND(D57&lt;&gt;"",D57&lt;=180),"Short","Long")))</f>
        <v/>
      </c>
      <c r="R57" s="73" t="str">
        <f aca="false">IF(OR(A57="",D57=""),"",D57/60)</f>
        <v/>
      </c>
      <c r="S57" s="72" t="str">
        <f aca="false">IF(OR(A57="",B57=""),"",IF(AND(B57&gt;=DATE(2026,4,1),B57&lt;=DATE(2026,6,30)),"Yes","No"))</f>
        <v/>
      </c>
      <c r="T57" s="72" t="str">
        <f aca="false">IF(OR(A57="",B57=""),"",CHOOSE(WEEKDAY(B57),"Sun","Mon","Tue","Wed","Thu","Fri","Sat"))</f>
        <v/>
      </c>
      <c r="U57" s="72" t="str">
        <f aca="false">IF(OR(Q57&lt;&gt;"Long",D57=""),"",IF(D57&lt;480,"Under 8 min",IF(D57&lt;900,"8–15 min",IF(D57&lt;1500,"15–25 min","25+ min"))))</f>
        <v/>
      </c>
      <c r="V57" s="74" t="str">
        <f aca="false">IF(OR(A57="",N(E57)=0),"",(N(K57)+N(L57))/E57*100)</f>
        <v/>
      </c>
      <c r="W57" s="73" t="str">
        <f aca="false">IF(OR(A57="",N(E57)=0),"",N(L57)/E57*1000)</f>
        <v/>
      </c>
      <c r="X57" s="75" t="str">
        <f aca="false">IF(A57="","",N(N57)-N(O57))</f>
        <v/>
      </c>
      <c r="Y57" s="73" t="str">
        <f aca="false">IF(OR(A57="",N(E57)=0),"",X57/E57*1000)</f>
        <v/>
      </c>
      <c r="Z57" s="72" t="str">
        <f aca="false">IF(OR(A57="",G57=""),"",IF(Q57="Short","n/a (Short)",IF(G57&gt;=Benchmarks!$E$5,"Elite",IF(G57&gt;=Benchmarks!$D$5,"Strong",IF(G57&gt;=Benchmarks!$C$5,"Average","Needs work")))))</f>
        <v/>
      </c>
      <c r="AA57" s="72" t="str">
        <f aca="false">IF(OR(A57="",I57=""),"",IF(Q57="Short",IF(I57&gt;=Benchmarks!$E$7,"Elite",IF(I57&gt;=Benchmarks!$D$7,"Strong",IF(I57&gt;=Benchmarks!$C$7,"Average","Needs work"))),IF(I57&gt;=Benchmarks!$E$6,"Elite",IF(I57&gt;=Benchmarks!$D$6,"Strong",IF(I57&gt;=Benchmarks!$C$6,"Average","Needs work")))))</f>
        <v/>
      </c>
      <c r="AB57" s="72" t="str">
        <f aca="false">IF(V57="","",IF(V57&gt;=Benchmarks!$E$8,"Elite",IF(V57&gt;=Benchmarks!$D$8,"Strong",IF(V57&gt;=Benchmarks!$C$8,"Average","Needs work"))))</f>
        <v/>
      </c>
      <c r="AC57" s="73" t="str">
        <f aca="false">IF(COUNT(AG57:AI57)=0,"",AVERAGE(AG57:AI57))</f>
        <v/>
      </c>
      <c r="AD57" s="37" t="str">
        <f aca="false">IF(A57="","",IF(Q57="Short",IF(AH57="","Add % viewed to diagnose",IF(AND(AH57&gt;=3,N(AI57)&gt;=3),"Winner Short — expand it into a long-form video",IF(AH57&lt;=1,"Hook problem — viewers swipe away in the first seconds",IF(AI57=1,"Watched but no reaction — end on a question or opinion","Solid Short — keep iterating")))),IF(OR(AG57="",AH57=""),"Add CTR &amp; % viewed to diagnose",IF(AND(AG57&gt;=3,AH57&gt;=3),"WINNER — make a sequel, series or Shorts from it",IF(AND(AG57&gt;=3,AH57&lt;=2),"Click but leave — intro too slow or title over-promises",IF(AND(AG57&lt;=2,AH57&gt;=3),"Great video, weak packaging — A/B test title + thumbnail",IF(AND(AG57=1,AH57=1),"Topic miss — don't repeat this angle","Average — sharpen the hook and the title")))))))</f>
        <v/>
      </c>
      <c r="AE57" s="76" t="str">
        <f aca="false">IF(OR(A57="",N(E57)=0),"",Q57&amp;"-"&amp;(COUNTIFS($Q$5:$Q$204,Q57,$E$5:$E$204,"&gt;"&amp;E57)+COUNTIFS($Q$5:Q57,Q57,$E$5:E57,E57)))</f>
        <v/>
      </c>
      <c r="AF57" s="77" t="str">
        <f aca="false">IF(AND(Q57="Long",N(F57)&gt;=Benchmarks!$C$15,G57&lt;&gt;""),G57,"")</f>
        <v/>
      </c>
      <c r="AG57" s="78" t="str">
        <f aca="false">IF(Z57="Elite",4,IF(Z57="Strong",3,IF(Z57="Average",2,IF(Z57="Needs work",1,""))))</f>
        <v/>
      </c>
      <c r="AH57" s="78" t="str">
        <f aca="false">IF(AA57="Elite",4,IF(AA57="Strong",3,IF(AA57="Average",2,IF(AA57="Needs work",1,""))))</f>
        <v/>
      </c>
      <c r="AI57" s="78" t="str">
        <f aca="false">IF(AB57="Elite",4,IF(AB57="Strong",3,IF(AB57="Average",2,IF(AB57="Needs work",1,""))))</f>
        <v/>
      </c>
    </row>
    <row r="58" customFormat="false" ht="15" hidden="false" customHeight="false" outlineLevel="0" collapsed="false">
      <c r="A58" s="64"/>
      <c r="B58" s="65"/>
      <c r="C58" s="66"/>
      <c r="D58" s="67"/>
      <c r="E58" s="67"/>
      <c r="F58" s="67"/>
      <c r="G58" s="68"/>
      <c r="H58" s="69"/>
      <c r="I58" s="68"/>
      <c r="J58" s="70"/>
      <c r="K58" s="67"/>
      <c r="L58" s="67"/>
      <c r="M58" s="67"/>
      <c r="N58" s="67"/>
      <c r="O58" s="67"/>
      <c r="P58" s="71"/>
      <c r="Q58" s="72" t="str">
        <f aca="false">IF(A58="","",IF(C58&lt;&gt;"",C58,IF(AND(D58&lt;&gt;"",D58&lt;=180),"Short","Long")))</f>
        <v/>
      </c>
      <c r="R58" s="73" t="str">
        <f aca="false">IF(OR(A58="",D58=""),"",D58/60)</f>
        <v/>
      </c>
      <c r="S58" s="72" t="str">
        <f aca="false">IF(OR(A58="",B58=""),"",IF(AND(B58&gt;=DATE(2026,4,1),B58&lt;=DATE(2026,6,30)),"Yes","No"))</f>
        <v/>
      </c>
      <c r="T58" s="72" t="str">
        <f aca="false">IF(OR(A58="",B58=""),"",CHOOSE(WEEKDAY(B58),"Sun","Mon","Tue","Wed","Thu","Fri","Sat"))</f>
        <v/>
      </c>
      <c r="U58" s="72" t="str">
        <f aca="false">IF(OR(Q58&lt;&gt;"Long",D58=""),"",IF(D58&lt;480,"Under 8 min",IF(D58&lt;900,"8–15 min",IF(D58&lt;1500,"15–25 min","25+ min"))))</f>
        <v/>
      </c>
      <c r="V58" s="74" t="str">
        <f aca="false">IF(OR(A58="",N(E58)=0),"",(N(K58)+N(L58))/E58*100)</f>
        <v/>
      </c>
      <c r="W58" s="73" t="str">
        <f aca="false">IF(OR(A58="",N(E58)=0),"",N(L58)/E58*1000)</f>
        <v/>
      </c>
      <c r="X58" s="75" t="str">
        <f aca="false">IF(A58="","",N(N58)-N(O58))</f>
        <v/>
      </c>
      <c r="Y58" s="73" t="str">
        <f aca="false">IF(OR(A58="",N(E58)=0),"",X58/E58*1000)</f>
        <v/>
      </c>
      <c r="Z58" s="72" t="str">
        <f aca="false">IF(OR(A58="",G58=""),"",IF(Q58="Short","n/a (Short)",IF(G58&gt;=Benchmarks!$E$5,"Elite",IF(G58&gt;=Benchmarks!$D$5,"Strong",IF(G58&gt;=Benchmarks!$C$5,"Average","Needs work")))))</f>
        <v/>
      </c>
      <c r="AA58" s="72" t="str">
        <f aca="false">IF(OR(A58="",I58=""),"",IF(Q58="Short",IF(I58&gt;=Benchmarks!$E$7,"Elite",IF(I58&gt;=Benchmarks!$D$7,"Strong",IF(I58&gt;=Benchmarks!$C$7,"Average","Needs work"))),IF(I58&gt;=Benchmarks!$E$6,"Elite",IF(I58&gt;=Benchmarks!$D$6,"Strong",IF(I58&gt;=Benchmarks!$C$6,"Average","Needs work")))))</f>
        <v/>
      </c>
      <c r="AB58" s="72" t="str">
        <f aca="false">IF(V58="","",IF(V58&gt;=Benchmarks!$E$8,"Elite",IF(V58&gt;=Benchmarks!$D$8,"Strong",IF(V58&gt;=Benchmarks!$C$8,"Average","Needs work"))))</f>
        <v/>
      </c>
      <c r="AC58" s="73" t="str">
        <f aca="false">IF(COUNT(AG58:AI58)=0,"",AVERAGE(AG58:AI58))</f>
        <v/>
      </c>
      <c r="AD58" s="37" t="str">
        <f aca="false">IF(A58="","",IF(Q58="Short",IF(AH58="","Add % viewed to diagnose",IF(AND(AH58&gt;=3,N(AI58)&gt;=3),"Winner Short — expand it into a long-form video",IF(AH58&lt;=1,"Hook problem — viewers swipe away in the first seconds",IF(AI58=1,"Watched but no reaction — end on a question or opinion","Solid Short — keep iterating")))),IF(OR(AG58="",AH58=""),"Add CTR &amp; % viewed to diagnose",IF(AND(AG58&gt;=3,AH58&gt;=3),"WINNER — make a sequel, series or Shorts from it",IF(AND(AG58&gt;=3,AH58&lt;=2),"Click but leave — intro too slow or title over-promises",IF(AND(AG58&lt;=2,AH58&gt;=3),"Great video, weak packaging — A/B test title + thumbnail",IF(AND(AG58=1,AH58=1),"Topic miss — don't repeat this angle","Average — sharpen the hook and the title")))))))</f>
        <v/>
      </c>
      <c r="AE58" s="76" t="str">
        <f aca="false">IF(OR(A58="",N(E58)=0),"",Q58&amp;"-"&amp;(COUNTIFS($Q$5:$Q$204,Q58,$E$5:$E$204,"&gt;"&amp;E58)+COUNTIFS($Q$5:Q58,Q58,$E$5:E58,E58)))</f>
        <v/>
      </c>
      <c r="AF58" s="77" t="str">
        <f aca="false">IF(AND(Q58="Long",N(F58)&gt;=Benchmarks!$C$15,G58&lt;&gt;""),G58,"")</f>
        <v/>
      </c>
      <c r="AG58" s="78" t="str">
        <f aca="false">IF(Z58="Elite",4,IF(Z58="Strong",3,IF(Z58="Average",2,IF(Z58="Needs work",1,""))))</f>
        <v/>
      </c>
      <c r="AH58" s="78" t="str">
        <f aca="false">IF(AA58="Elite",4,IF(AA58="Strong",3,IF(AA58="Average",2,IF(AA58="Needs work",1,""))))</f>
        <v/>
      </c>
      <c r="AI58" s="78" t="str">
        <f aca="false">IF(AB58="Elite",4,IF(AB58="Strong",3,IF(AB58="Average",2,IF(AB58="Needs work",1,""))))</f>
        <v/>
      </c>
    </row>
    <row r="59" customFormat="false" ht="15" hidden="false" customHeight="false" outlineLevel="0" collapsed="false">
      <c r="A59" s="64"/>
      <c r="B59" s="65"/>
      <c r="C59" s="66"/>
      <c r="D59" s="67"/>
      <c r="E59" s="67"/>
      <c r="F59" s="67"/>
      <c r="G59" s="68"/>
      <c r="H59" s="69"/>
      <c r="I59" s="68"/>
      <c r="J59" s="70"/>
      <c r="K59" s="67"/>
      <c r="L59" s="67"/>
      <c r="M59" s="67"/>
      <c r="N59" s="67"/>
      <c r="O59" s="67"/>
      <c r="P59" s="71"/>
      <c r="Q59" s="72" t="str">
        <f aca="false">IF(A59="","",IF(C59&lt;&gt;"",C59,IF(AND(D59&lt;&gt;"",D59&lt;=180),"Short","Long")))</f>
        <v/>
      </c>
      <c r="R59" s="73" t="str">
        <f aca="false">IF(OR(A59="",D59=""),"",D59/60)</f>
        <v/>
      </c>
      <c r="S59" s="72" t="str">
        <f aca="false">IF(OR(A59="",B59=""),"",IF(AND(B59&gt;=DATE(2026,4,1),B59&lt;=DATE(2026,6,30)),"Yes","No"))</f>
        <v/>
      </c>
      <c r="T59" s="72" t="str">
        <f aca="false">IF(OR(A59="",B59=""),"",CHOOSE(WEEKDAY(B59),"Sun","Mon","Tue","Wed","Thu","Fri","Sat"))</f>
        <v/>
      </c>
      <c r="U59" s="72" t="str">
        <f aca="false">IF(OR(Q59&lt;&gt;"Long",D59=""),"",IF(D59&lt;480,"Under 8 min",IF(D59&lt;900,"8–15 min",IF(D59&lt;1500,"15–25 min","25+ min"))))</f>
        <v/>
      </c>
      <c r="V59" s="74" t="str">
        <f aca="false">IF(OR(A59="",N(E59)=0),"",(N(K59)+N(L59))/E59*100)</f>
        <v/>
      </c>
      <c r="W59" s="73" t="str">
        <f aca="false">IF(OR(A59="",N(E59)=0),"",N(L59)/E59*1000)</f>
        <v/>
      </c>
      <c r="X59" s="75" t="str">
        <f aca="false">IF(A59="","",N(N59)-N(O59))</f>
        <v/>
      </c>
      <c r="Y59" s="73" t="str">
        <f aca="false">IF(OR(A59="",N(E59)=0),"",X59/E59*1000)</f>
        <v/>
      </c>
      <c r="Z59" s="72" t="str">
        <f aca="false">IF(OR(A59="",G59=""),"",IF(Q59="Short","n/a (Short)",IF(G59&gt;=Benchmarks!$E$5,"Elite",IF(G59&gt;=Benchmarks!$D$5,"Strong",IF(G59&gt;=Benchmarks!$C$5,"Average","Needs work")))))</f>
        <v/>
      </c>
      <c r="AA59" s="72" t="str">
        <f aca="false">IF(OR(A59="",I59=""),"",IF(Q59="Short",IF(I59&gt;=Benchmarks!$E$7,"Elite",IF(I59&gt;=Benchmarks!$D$7,"Strong",IF(I59&gt;=Benchmarks!$C$7,"Average","Needs work"))),IF(I59&gt;=Benchmarks!$E$6,"Elite",IF(I59&gt;=Benchmarks!$D$6,"Strong",IF(I59&gt;=Benchmarks!$C$6,"Average","Needs work")))))</f>
        <v/>
      </c>
      <c r="AB59" s="72" t="str">
        <f aca="false">IF(V59="","",IF(V59&gt;=Benchmarks!$E$8,"Elite",IF(V59&gt;=Benchmarks!$D$8,"Strong",IF(V59&gt;=Benchmarks!$C$8,"Average","Needs work"))))</f>
        <v/>
      </c>
      <c r="AC59" s="73" t="str">
        <f aca="false">IF(COUNT(AG59:AI59)=0,"",AVERAGE(AG59:AI59))</f>
        <v/>
      </c>
      <c r="AD59" s="37" t="str">
        <f aca="false">IF(A59="","",IF(Q59="Short",IF(AH59="","Add % viewed to diagnose",IF(AND(AH59&gt;=3,N(AI59)&gt;=3),"Winner Short — expand it into a long-form video",IF(AH59&lt;=1,"Hook problem — viewers swipe away in the first seconds",IF(AI59=1,"Watched but no reaction — end on a question or opinion","Solid Short — keep iterating")))),IF(OR(AG59="",AH59=""),"Add CTR &amp; % viewed to diagnose",IF(AND(AG59&gt;=3,AH59&gt;=3),"WINNER — make a sequel, series or Shorts from it",IF(AND(AG59&gt;=3,AH59&lt;=2),"Click but leave — intro too slow or title over-promises",IF(AND(AG59&lt;=2,AH59&gt;=3),"Great video, weak packaging — A/B test title + thumbnail",IF(AND(AG59=1,AH59=1),"Topic miss — don't repeat this angle","Average — sharpen the hook and the title")))))))</f>
        <v/>
      </c>
      <c r="AE59" s="76" t="str">
        <f aca="false">IF(OR(A59="",N(E59)=0),"",Q59&amp;"-"&amp;(COUNTIFS($Q$5:$Q$204,Q59,$E$5:$E$204,"&gt;"&amp;E59)+COUNTIFS($Q$5:Q59,Q59,$E$5:E59,E59)))</f>
        <v/>
      </c>
      <c r="AF59" s="77" t="str">
        <f aca="false">IF(AND(Q59="Long",N(F59)&gt;=Benchmarks!$C$15,G59&lt;&gt;""),G59,"")</f>
        <v/>
      </c>
      <c r="AG59" s="78" t="str">
        <f aca="false">IF(Z59="Elite",4,IF(Z59="Strong",3,IF(Z59="Average",2,IF(Z59="Needs work",1,""))))</f>
        <v/>
      </c>
      <c r="AH59" s="78" t="str">
        <f aca="false">IF(AA59="Elite",4,IF(AA59="Strong",3,IF(AA59="Average",2,IF(AA59="Needs work",1,""))))</f>
        <v/>
      </c>
      <c r="AI59" s="78" t="str">
        <f aca="false">IF(AB59="Elite",4,IF(AB59="Strong",3,IF(AB59="Average",2,IF(AB59="Needs work",1,""))))</f>
        <v/>
      </c>
    </row>
    <row r="60" customFormat="false" ht="15" hidden="false" customHeight="false" outlineLevel="0" collapsed="false">
      <c r="A60" s="64"/>
      <c r="B60" s="65"/>
      <c r="C60" s="66"/>
      <c r="D60" s="67"/>
      <c r="E60" s="67"/>
      <c r="F60" s="67"/>
      <c r="G60" s="68"/>
      <c r="H60" s="69"/>
      <c r="I60" s="68"/>
      <c r="J60" s="70"/>
      <c r="K60" s="67"/>
      <c r="L60" s="67"/>
      <c r="M60" s="67"/>
      <c r="N60" s="67"/>
      <c r="O60" s="67"/>
      <c r="P60" s="71"/>
      <c r="Q60" s="72" t="str">
        <f aca="false">IF(A60="","",IF(C60&lt;&gt;"",C60,IF(AND(D60&lt;&gt;"",D60&lt;=180),"Short","Long")))</f>
        <v/>
      </c>
      <c r="R60" s="73" t="str">
        <f aca="false">IF(OR(A60="",D60=""),"",D60/60)</f>
        <v/>
      </c>
      <c r="S60" s="72" t="str">
        <f aca="false">IF(OR(A60="",B60=""),"",IF(AND(B60&gt;=DATE(2026,4,1),B60&lt;=DATE(2026,6,30)),"Yes","No"))</f>
        <v/>
      </c>
      <c r="T60" s="72" t="str">
        <f aca="false">IF(OR(A60="",B60=""),"",CHOOSE(WEEKDAY(B60),"Sun","Mon","Tue","Wed","Thu","Fri","Sat"))</f>
        <v/>
      </c>
      <c r="U60" s="72" t="str">
        <f aca="false">IF(OR(Q60&lt;&gt;"Long",D60=""),"",IF(D60&lt;480,"Under 8 min",IF(D60&lt;900,"8–15 min",IF(D60&lt;1500,"15–25 min","25+ min"))))</f>
        <v/>
      </c>
      <c r="V60" s="74" t="str">
        <f aca="false">IF(OR(A60="",N(E60)=0),"",(N(K60)+N(L60))/E60*100)</f>
        <v/>
      </c>
      <c r="W60" s="73" t="str">
        <f aca="false">IF(OR(A60="",N(E60)=0),"",N(L60)/E60*1000)</f>
        <v/>
      </c>
      <c r="X60" s="75" t="str">
        <f aca="false">IF(A60="","",N(N60)-N(O60))</f>
        <v/>
      </c>
      <c r="Y60" s="73" t="str">
        <f aca="false">IF(OR(A60="",N(E60)=0),"",X60/E60*1000)</f>
        <v/>
      </c>
      <c r="Z60" s="72" t="str">
        <f aca="false">IF(OR(A60="",G60=""),"",IF(Q60="Short","n/a (Short)",IF(G60&gt;=Benchmarks!$E$5,"Elite",IF(G60&gt;=Benchmarks!$D$5,"Strong",IF(G60&gt;=Benchmarks!$C$5,"Average","Needs work")))))</f>
        <v/>
      </c>
      <c r="AA60" s="72" t="str">
        <f aca="false">IF(OR(A60="",I60=""),"",IF(Q60="Short",IF(I60&gt;=Benchmarks!$E$7,"Elite",IF(I60&gt;=Benchmarks!$D$7,"Strong",IF(I60&gt;=Benchmarks!$C$7,"Average","Needs work"))),IF(I60&gt;=Benchmarks!$E$6,"Elite",IF(I60&gt;=Benchmarks!$D$6,"Strong",IF(I60&gt;=Benchmarks!$C$6,"Average","Needs work")))))</f>
        <v/>
      </c>
      <c r="AB60" s="72" t="str">
        <f aca="false">IF(V60="","",IF(V60&gt;=Benchmarks!$E$8,"Elite",IF(V60&gt;=Benchmarks!$D$8,"Strong",IF(V60&gt;=Benchmarks!$C$8,"Average","Needs work"))))</f>
        <v/>
      </c>
      <c r="AC60" s="73" t="str">
        <f aca="false">IF(COUNT(AG60:AI60)=0,"",AVERAGE(AG60:AI60))</f>
        <v/>
      </c>
      <c r="AD60" s="37" t="str">
        <f aca="false">IF(A60="","",IF(Q60="Short",IF(AH60="","Add % viewed to diagnose",IF(AND(AH60&gt;=3,N(AI60)&gt;=3),"Winner Short — expand it into a long-form video",IF(AH60&lt;=1,"Hook problem — viewers swipe away in the first seconds",IF(AI60=1,"Watched but no reaction — end on a question or opinion","Solid Short — keep iterating")))),IF(OR(AG60="",AH60=""),"Add CTR &amp; % viewed to diagnose",IF(AND(AG60&gt;=3,AH60&gt;=3),"WINNER — make a sequel, series or Shorts from it",IF(AND(AG60&gt;=3,AH60&lt;=2),"Click but leave — intro too slow or title over-promises",IF(AND(AG60&lt;=2,AH60&gt;=3),"Great video, weak packaging — A/B test title + thumbnail",IF(AND(AG60=1,AH60=1),"Topic miss — don't repeat this angle","Average — sharpen the hook and the title")))))))</f>
        <v/>
      </c>
      <c r="AE60" s="76" t="str">
        <f aca="false">IF(OR(A60="",N(E60)=0),"",Q60&amp;"-"&amp;(COUNTIFS($Q$5:$Q$204,Q60,$E$5:$E$204,"&gt;"&amp;E60)+COUNTIFS($Q$5:Q60,Q60,$E$5:E60,E60)))</f>
        <v/>
      </c>
      <c r="AF60" s="77" t="str">
        <f aca="false">IF(AND(Q60="Long",N(F60)&gt;=Benchmarks!$C$15,G60&lt;&gt;""),G60,"")</f>
        <v/>
      </c>
      <c r="AG60" s="78" t="str">
        <f aca="false">IF(Z60="Elite",4,IF(Z60="Strong",3,IF(Z60="Average",2,IF(Z60="Needs work",1,""))))</f>
        <v/>
      </c>
      <c r="AH60" s="78" t="str">
        <f aca="false">IF(AA60="Elite",4,IF(AA60="Strong",3,IF(AA60="Average",2,IF(AA60="Needs work",1,""))))</f>
        <v/>
      </c>
      <c r="AI60" s="78" t="str">
        <f aca="false">IF(AB60="Elite",4,IF(AB60="Strong",3,IF(AB60="Average",2,IF(AB60="Needs work",1,""))))</f>
        <v/>
      </c>
    </row>
    <row r="61" customFormat="false" ht="15" hidden="false" customHeight="false" outlineLevel="0" collapsed="false">
      <c r="A61" s="64"/>
      <c r="B61" s="65"/>
      <c r="C61" s="66"/>
      <c r="D61" s="67"/>
      <c r="E61" s="67"/>
      <c r="F61" s="67"/>
      <c r="G61" s="68"/>
      <c r="H61" s="69"/>
      <c r="I61" s="68"/>
      <c r="J61" s="70"/>
      <c r="K61" s="67"/>
      <c r="L61" s="67"/>
      <c r="M61" s="67"/>
      <c r="N61" s="67"/>
      <c r="O61" s="67"/>
      <c r="P61" s="71"/>
      <c r="Q61" s="72" t="str">
        <f aca="false">IF(A61="","",IF(C61&lt;&gt;"",C61,IF(AND(D61&lt;&gt;"",D61&lt;=180),"Short","Long")))</f>
        <v/>
      </c>
      <c r="R61" s="73" t="str">
        <f aca="false">IF(OR(A61="",D61=""),"",D61/60)</f>
        <v/>
      </c>
      <c r="S61" s="72" t="str">
        <f aca="false">IF(OR(A61="",B61=""),"",IF(AND(B61&gt;=DATE(2026,4,1),B61&lt;=DATE(2026,6,30)),"Yes","No"))</f>
        <v/>
      </c>
      <c r="T61" s="72" t="str">
        <f aca="false">IF(OR(A61="",B61=""),"",CHOOSE(WEEKDAY(B61),"Sun","Mon","Tue","Wed","Thu","Fri","Sat"))</f>
        <v/>
      </c>
      <c r="U61" s="72" t="str">
        <f aca="false">IF(OR(Q61&lt;&gt;"Long",D61=""),"",IF(D61&lt;480,"Under 8 min",IF(D61&lt;900,"8–15 min",IF(D61&lt;1500,"15–25 min","25+ min"))))</f>
        <v/>
      </c>
      <c r="V61" s="74" t="str">
        <f aca="false">IF(OR(A61="",N(E61)=0),"",(N(K61)+N(L61))/E61*100)</f>
        <v/>
      </c>
      <c r="W61" s="73" t="str">
        <f aca="false">IF(OR(A61="",N(E61)=0),"",N(L61)/E61*1000)</f>
        <v/>
      </c>
      <c r="X61" s="75" t="str">
        <f aca="false">IF(A61="","",N(N61)-N(O61))</f>
        <v/>
      </c>
      <c r="Y61" s="73" t="str">
        <f aca="false">IF(OR(A61="",N(E61)=0),"",X61/E61*1000)</f>
        <v/>
      </c>
      <c r="Z61" s="72" t="str">
        <f aca="false">IF(OR(A61="",G61=""),"",IF(Q61="Short","n/a (Short)",IF(G61&gt;=Benchmarks!$E$5,"Elite",IF(G61&gt;=Benchmarks!$D$5,"Strong",IF(G61&gt;=Benchmarks!$C$5,"Average","Needs work")))))</f>
        <v/>
      </c>
      <c r="AA61" s="72" t="str">
        <f aca="false">IF(OR(A61="",I61=""),"",IF(Q61="Short",IF(I61&gt;=Benchmarks!$E$7,"Elite",IF(I61&gt;=Benchmarks!$D$7,"Strong",IF(I61&gt;=Benchmarks!$C$7,"Average","Needs work"))),IF(I61&gt;=Benchmarks!$E$6,"Elite",IF(I61&gt;=Benchmarks!$D$6,"Strong",IF(I61&gt;=Benchmarks!$C$6,"Average","Needs work")))))</f>
        <v/>
      </c>
      <c r="AB61" s="72" t="str">
        <f aca="false">IF(V61="","",IF(V61&gt;=Benchmarks!$E$8,"Elite",IF(V61&gt;=Benchmarks!$D$8,"Strong",IF(V61&gt;=Benchmarks!$C$8,"Average","Needs work"))))</f>
        <v/>
      </c>
      <c r="AC61" s="73" t="str">
        <f aca="false">IF(COUNT(AG61:AI61)=0,"",AVERAGE(AG61:AI61))</f>
        <v/>
      </c>
      <c r="AD61" s="37" t="str">
        <f aca="false">IF(A61="","",IF(Q61="Short",IF(AH61="","Add % viewed to diagnose",IF(AND(AH61&gt;=3,N(AI61)&gt;=3),"Winner Short — expand it into a long-form video",IF(AH61&lt;=1,"Hook problem — viewers swipe away in the first seconds",IF(AI61=1,"Watched but no reaction — end on a question or opinion","Solid Short — keep iterating")))),IF(OR(AG61="",AH61=""),"Add CTR &amp; % viewed to diagnose",IF(AND(AG61&gt;=3,AH61&gt;=3),"WINNER — make a sequel, series or Shorts from it",IF(AND(AG61&gt;=3,AH61&lt;=2),"Click but leave — intro too slow or title over-promises",IF(AND(AG61&lt;=2,AH61&gt;=3),"Great video, weak packaging — A/B test title + thumbnail",IF(AND(AG61=1,AH61=1),"Topic miss — don't repeat this angle","Average — sharpen the hook and the title")))))))</f>
        <v/>
      </c>
      <c r="AE61" s="76" t="str">
        <f aca="false">IF(OR(A61="",N(E61)=0),"",Q61&amp;"-"&amp;(COUNTIFS($Q$5:$Q$204,Q61,$E$5:$E$204,"&gt;"&amp;E61)+COUNTIFS($Q$5:Q61,Q61,$E$5:E61,E61)))</f>
        <v/>
      </c>
      <c r="AF61" s="77" t="str">
        <f aca="false">IF(AND(Q61="Long",N(F61)&gt;=Benchmarks!$C$15,G61&lt;&gt;""),G61,"")</f>
        <v/>
      </c>
      <c r="AG61" s="78" t="str">
        <f aca="false">IF(Z61="Elite",4,IF(Z61="Strong",3,IF(Z61="Average",2,IF(Z61="Needs work",1,""))))</f>
        <v/>
      </c>
      <c r="AH61" s="78" t="str">
        <f aca="false">IF(AA61="Elite",4,IF(AA61="Strong",3,IF(AA61="Average",2,IF(AA61="Needs work",1,""))))</f>
        <v/>
      </c>
      <c r="AI61" s="78" t="str">
        <f aca="false">IF(AB61="Elite",4,IF(AB61="Strong",3,IF(AB61="Average",2,IF(AB61="Needs work",1,""))))</f>
        <v/>
      </c>
    </row>
    <row r="62" customFormat="false" ht="15" hidden="false" customHeight="false" outlineLevel="0" collapsed="false">
      <c r="A62" s="64"/>
      <c r="B62" s="65"/>
      <c r="C62" s="66"/>
      <c r="D62" s="67"/>
      <c r="E62" s="67"/>
      <c r="F62" s="67"/>
      <c r="G62" s="68"/>
      <c r="H62" s="69"/>
      <c r="I62" s="68"/>
      <c r="J62" s="70"/>
      <c r="K62" s="67"/>
      <c r="L62" s="67"/>
      <c r="M62" s="67"/>
      <c r="N62" s="67"/>
      <c r="O62" s="67"/>
      <c r="P62" s="71"/>
      <c r="Q62" s="72" t="str">
        <f aca="false">IF(A62="","",IF(C62&lt;&gt;"",C62,IF(AND(D62&lt;&gt;"",D62&lt;=180),"Short","Long")))</f>
        <v/>
      </c>
      <c r="R62" s="73" t="str">
        <f aca="false">IF(OR(A62="",D62=""),"",D62/60)</f>
        <v/>
      </c>
      <c r="S62" s="72" t="str">
        <f aca="false">IF(OR(A62="",B62=""),"",IF(AND(B62&gt;=DATE(2026,4,1),B62&lt;=DATE(2026,6,30)),"Yes","No"))</f>
        <v/>
      </c>
      <c r="T62" s="72" t="str">
        <f aca="false">IF(OR(A62="",B62=""),"",CHOOSE(WEEKDAY(B62),"Sun","Mon","Tue","Wed","Thu","Fri","Sat"))</f>
        <v/>
      </c>
      <c r="U62" s="72" t="str">
        <f aca="false">IF(OR(Q62&lt;&gt;"Long",D62=""),"",IF(D62&lt;480,"Under 8 min",IF(D62&lt;900,"8–15 min",IF(D62&lt;1500,"15–25 min","25+ min"))))</f>
        <v/>
      </c>
      <c r="V62" s="74" t="str">
        <f aca="false">IF(OR(A62="",N(E62)=0),"",(N(K62)+N(L62))/E62*100)</f>
        <v/>
      </c>
      <c r="W62" s="73" t="str">
        <f aca="false">IF(OR(A62="",N(E62)=0),"",N(L62)/E62*1000)</f>
        <v/>
      </c>
      <c r="X62" s="75" t="str">
        <f aca="false">IF(A62="","",N(N62)-N(O62))</f>
        <v/>
      </c>
      <c r="Y62" s="73" t="str">
        <f aca="false">IF(OR(A62="",N(E62)=0),"",X62/E62*1000)</f>
        <v/>
      </c>
      <c r="Z62" s="72" t="str">
        <f aca="false">IF(OR(A62="",G62=""),"",IF(Q62="Short","n/a (Short)",IF(G62&gt;=Benchmarks!$E$5,"Elite",IF(G62&gt;=Benchmarks!$D$5,"Strong",IF(G62&gt;=Benchmarks!$C$5,"Average","Needs work")))))</f>
        <v/>
      </c>
      <c r="AA62" s="72" t="str">
        <f aca="false">IF(OR(A62="",I62=""),"",IF(Q62="Short",IF(I62&gt;=Benchmarks!$E$7,"Elite",IF(I62&gt;=Benchmarks!$D$7,"Strong",IF(I62&gt;=Benchmarks!$C$7,"Average","Needs work"))),IF(I62&gt;=Benchmarks!$E$6,"Elite",IF(I62&gt;=Benchmarks!$D$6,"Strong",IF(I62&gt;=Benchmarks!$C$6,"Average","Needs work")))))</f>
        <v/>
      </c>
      <c r="AB62" s="72" t="str">
        <f aca="false">IF(V62="","",IF(V62&gt;=Benchmarks!$E$8,"Elite",IF(V62&gt;=Benchmarks!$D$8,"Strong",IF(V62&gt;=Benchmarks!$C$8,"Average","Needs work"))))</f>
        <v/>
      </c>
      <c r="AC62" s="73" t="str">
        <f aca="false">IF(COUNT(AG62:AI62)=0,"",AVERAGE(AG62:AI62))</f>
        <v/>
      </c>
      <c r="AD62" s="37" t="str">
        <f aca="false">IF(A62="","",IF(Q62="Short",IF(AH62="","Add % viewed to diagnose",IF(AND(AH62&gt;=3,N(AI62)&gt;=3),"Winner Short — expand it into a long-form video",IF(AH62&lt;=1,"Hook problem — viewers swipe away in the first seconds",IF(AI62=1,"Watched but no reaction — end on a question or opinion","Solid Short — keep iterating")))),IF(OR(AG62="",AH62=""),"Add CTR &amp; % viewed to diagnose",IF(AND(AG62&gt;=3,AH62&gt;=3),"WINNER — make a sequel, series or Shorts from it",IF(AND(AG62&gt;=3,AH62&lt;=2),"Click but leave — intro too slow or title over-promises",IF(AND(AG62&lt;=2,AH62&gt;=3),"Great video, weak packaging — A/B test title + thumbnail",IF(AND(AG62=1,AH62=1),"Topic miss — don't repeat this angle","Average — sharpen the hook and the title")))))))</f>
        <v/>
      </c>
      <c r="AE62" s="76" t="str">
        <f aca="false">IF(OR(A62="",N(E62)=0),"",Q62&amp;"-"&amp;(COUNTIFS($Q$5:$Q$204,Q62,$E$5:$E$204,"&gt;"&amp;E62)+COUNTIFS($Q$5:Q62,Q62,$E$5:E62,E62)))</f>
        <v/>
      </c>
      <c r="AF62" s="77" t="str">
        <f aca="false">IF(AND(Q62="Long",N(F62)&gt;=Benchmarks!$C$15,G62&lt;&gt;""),G62,"")</f>
        <v/>
      </c>
      <c r="AG62" s="78" t="str">
        <f aca="false">IF(Z62="Elite",4,IF(Z62="Strong",3,IF(Z62="Average",2,IF(Z62="Needs work",1,""))))</f>
        <v/>
      </c>
      <c r="AH62" s="78" t="str">
        <f aca="false">IF(AA62="Elite",4,IF(AA62="Strong",3,IF(AA62="Average",2,IF(AA62="Needs work",1,""))))</f>
        <v/>
      </c>
      <c r="AI62" s="78" t="str">
        <f aca="false">IF(AB62="Elite",4,IF(AB62="Strong",3,IF(AB62="Average",2,IF(AB62="Needs work",1,""))))</f>
        <v/>
      </c>
    </row>
    <row r="63" customFormat="false" ht="15" hidden="false" customHeight="false" outlineLevel="0" collapsed="false">
      <c r="A63" s="64"/>
      <c r="B63" s="65"/>
      <c r="C63" s="66"/>
      <c r="D63" s="67"/>
      <c r="E63" s="67"/>
      <c r="F63" s="67"/>
      <c r="G63" s="68"/>
      <c r="H63" s="69"/>
      <c r="I63" s="68"/>
      <c r="J63" s="70"/>
      <c r="K63" s="67"/>
      <c r="L63" s="67"/>
      <c r="M63" s="67"/>
      <c r="N63" s="67"/>
      <c r="O63" s="67"/>
      <c r="P63" s="71"/>
      <c r="Q63" s="72" t="str">
        <f aca="false">IF(A63="","",IF(C63&lt;&gt;"",C63,IF(AND(D63&lt;&gt;"",D63&lt;=180),"Short","Long")))</f>
        <v/>
      </c>
      <c r="R63" s="73" t="str">
        <f aca="false">IF(OR(A63="",D63=""),"",D63/60)</f>
        <v/>
      </c>
      <c r="S63" s="72" t="str">
        <f aca="false">IF(OR(A63="",B63=""),"",IF(AND(B63&gt;=DATE(2026,4,1),B63&lt;=DATE(2026,6,30)),"Yes","No"))</f>
        <v/>
      </c>
      <c r="T63" s="72" t="str">
        <f aca="false">IF(OR(A63="",B63=""),"",CHOOSE(WEEKDAY(B63),"Sun","Mon","Tue","Wed","Thu","Fri","Sat"))</f>
        <v/>
      </c>
      <c r="U63" s="72" t="str">
        <f aca="false">IF(OR(Q63&lt;&gt;"Long",D63=""),"",IF(D63&lt;480,"Under 8 min",IF(D63&lt;900,"8–15 min",IF(D63&lt;1500,"15–25 min","25+ min"))))</f>
        <v/>
      </c>
      <c r="V63" s="74" t="str">
        <f aca="false">IF(OR(A63="",N(E63)=0),"",(N(K63)+N(L63))/E63*100)</f>
        <v/>
      </c>
      <c r="W63" s="73" t="str">
        <f aca="false">IF(OR(A63="",N(E63)=0),"",N(L63)/E63*1000)</f>
        <v/>
      </c>
      <c r="X63" s="75" t="str">
        <f aca="false">IF(A63="","",N(N63)-N(O63))</f>
        <v/>
      </c>
      <c r="Y63" s="73" t="str">
        <f aca="false">IF(OR(A63="",N(E63)=0),"",X63/E63*1000)</f>
        <v/>
      </c>
      <c r="Z63" s="72" t="str">
        <f aca="false">IF(OR(A63="",G63=""),"",IF(Q63="Short","n/a (Short)",IF(G63&gt;=Benchmarks!$E$5,"Elite",IF(G63&gt;=Benchmarks!$D$5,"Strong",IF(G63&gt;=Benchmarks!$C$5,"Average","Needs work")))))</f>
        <v/>
      </c>
      <c r="AA63" s="72" t="str">
        <f aca="false">IF(OR(A63="",I63=""),"",IF(Q63="Short",IF(I63&gt;=Benchmarks!$E$7,"Elite",IF(I63&gt;=Benchmarks!$D$7,"Strong",IF(I63&gt;=Benchmarks!$C$7,"Average","Needs work"))),IF(I63&gt;=Benchmarks!$E$6,"Elite",IF(I63&gt;=Benchmarks!$D$6,"Strong",IF(I63&gt;=Benchmarks!$C$6,"Average","Needs work")))))</f>
        <v/>
      </c>
      <c r="AB63" s="72" t="str">
        <f aca="false">IF(V63="","",IF(V63&gt;=Benchmarks!$E$8,"Elite",IF(V63&gt;=Benchmarks!$D$8,"Strong",IF(V63&gt;=Benchmarks!$C$8,"Average","Needs work"))))</f>
        <v/>
      </c>
      <c r="AC63" s="73" t="str">
        <f aca="false">IF(COUNT(AG63:AI63)=0,"",AVERAGE(AG63:AI63))</f>
        <v/>
      </c>
      <c r="AD63" s="37" t="str">
        <f aca="false">IF(A63="","",IF(Q63="Short",IF(AH63="","Add % viewed to diagnose",IF(AND(AH63&gt;=3,N(AI63)&gt;=3),"Winner Short — expand it into a long-form video",IF(AH63&lt;=1,"Hook problem — viewers swipe away in the first seconds",IF(AI63=1,"Watched but no reaction — end on a question or opinion","Solid Short — keep iterating")))),IF(OR(AG63="",AH63=""),"Add CTR &amp; % viewed to diagnose",IF(AND(AG63&gt;=3,AH63&gt;=3),"WINNER — make a sequel, series or Shorts from it",IF(AND(AG63&gt;=3,AH63&lt;=2),"Click but leave — intro too slow or title over-promises",IF(AND(AG63&lt;=2,AH63&gt;=3),"Great video, weak packaging — A/B test title + thumbnail",IF(AND(AG63=1,AH63=1),"Topic miss — don't repeat this angle","Average — sharpen the hook and the title")))))))</f>
        <v/>
      </c>
      <c r="AE63" s="76" t="str">
        <f aca="false">IF(OR(A63="",N(E63)=0),"",Q63&amp;"-"&amp;(COUNTIFS($Q$5:$Q$204,Q63,$E$5:$E$204,"&gt;"&amp;E63)+COUNTIFS($Q$5:Q63,Q63,$E$5:E63,E63)))</f>
        <v/>
      </c>
      <c r="AF63" s="77" t="str">
        <f aca="false">IF(AND(Q63="Long",N(F63)&gt;=Benchmarks!$C$15,G63&lt;&gt;""),G63,"")</f>
        <v/>
      </c>
      <c r="AG63" s="78" t="str">
        <f aca="false">IF(Z63="Elite",4,IF(Z63="Strong",3,IF(Z63="Average",2,IF(Z63="Needs work",1,""))))</f>
        <v/>
      </c>
      <c r="AH63" s="78" t="str">
        <f aca="false">IF(AA63="Elite",4,IF(AA63="Strong",3,IF(AA63="Average",2,IF(AA63="Needs work",1,""))))</f>
        <v/>
      </c>
      <c r="AI63" s="78" t="str">
        <f aca="false">IF(AB63="Elite",4,IF(AB63="Strong",3,IF(AB63="Average",2,IF(AB63="Needs work",1,""))))</f>
        <v/>
      </c>
    </row>
    <row r="64" customFormat="false" ht="15" hidden="false" customHeight="false" outlineLevel="0" collapsed="false">
      <c r="A64" s="64"/>
      <c r="B64" s="65"/>
      <c r="C64" s="66"/>
      <c r="D64" s="67"/>
      <c r="E64" s="67"/>
      <c r="F64" s="67"/>
      <c r="G64" s="68"/>
      <c r="H64" s="69"/>
      <c r="I64" s="68"/>
      <c r="J64" s="70"/>
      <c r="K64" s="67"/>
      <c r="L64" s="67"/>
      <c r="M64" s="67"/>
      <c r="N64" s="67"/>
      <c r="O64" s="67"/>
      <c r="P64" s="71"/>
      <c r="Q64" s="72" t="str">
        <f aca="false">IF(A64="","",IF(C64&lt;&gt;"",C64,IF(AND(D64&lt;&gt;"",D64&lt;=180),"Short","Long")))</f>
        <v/>
      </c>
      <c r="R64" s="73" t="str">
        <f aca="false">IF(OR(A64="",D64=""),"",D64/60)</f>
        <v/>
      </c>
      <c r="S64" s="72" t="str">
        <f aca="false">IF(OR(A64="",B64=""),"",IF(AND(B64&gt;=DATE(2026,4,1),B64&lt;=DATE(2026,6,30)),"Yes","No"))</f>
        <v/>
      </c>
      <c r="T64" s="72" t="str">
        <f aca="false">IF(OR(A64="",B64=""),"",CHOOSE(WEEKDAY(B64),"Sun","Mon","Tue","Wed","Thu","Fri","Sat"))</f>
        <v/>
      </c>
      <c r="U64" s="72" t="str">
        <f aca="false">IF(OR(Q64&lt;&gt;"Long",D64=""),"",IF(D64&lt;480,"Under 8 min",IF(D64&lt;900,"8–15 min",IF(D64&lt;1500,"15–25 min","25+ min"))))</f>
        <v/>
      </c>
      <c r="V64" s="74" t="str">
        <f aca="false">IF(OR(A64="",N(E64)=0),"",(N(K64)+N(L64))/E64*100)</f>
        <v/>
      </c>
      <c r="W64" s="73" t="str">
        <f aca="false">IF(OR(A64="",N(E64)=0),"",N(L64)/E64*1000)</f>
        <v/>
      </c>
      <c r="X64" s="75" t="str">
        <f aca="false">IF(A64="","",N(N64)-N(O64))</f>
        <v/>
      </c>
      <c r="Y64" s="73" t="str">
        <f aca="false">IF(OR(A64="",N(E64)=0),"",X64/E64*1000)</f>
        <v/>
      </c>
      <c r="Z64" s="72" t="str">
        <f aca="false">IF(OR(A64="",G64=""),"",IF(Q64="Short","n/a (Short)",IF(G64&gt;=Benchmarks!$E$5,"Elite",IF(G64&gt;=Benchmarks!$D$5,"Strong",IF(G64&gt;=Benchmarks!$C$5,"Average","Needs work")))))</f>
        <v/>
      </c>
      <c r="AA64" s="72" t="str">
        <f aca="false">IF(OR(A64="",I64=""),"",IF(Q64="Short",IF(I64&gt;=Benchmarks!$E$7,"Elite",IF(I64&gt;=Benchmarks!$D$7,"Strong",IF(I64&gt;=Benchmarks!$C$7,"Average","Needs work"))),IF(I64&gt;=Benchmarks!$E$6,"Elite",IF(I64&gt;=Benchmarks!$D$6,"Strong",IF(I64&gt;=Benchmarks!$C$6,"Average","Needs work")))))</f>
        <v/>
      </c>
      <c r="AB64" s="72" t="str">
        <f aca="false">IF(V64="","",IF(V64&gt;=Benchmarks!$E$8,"Elite",IF(V64&gt;=Benchmarks!$D$8,"Strong",IF(V64&gt;=Benchmarks!$C$8,"Average","Needs work"))))</f>
        <v/>
      </c>
      <c r="AC64" s="73" t="str">
        <f aca="false">IF(COUNT(AG64:AI64)=0,"",AVERAGE(AG64:AI64))</f>
        <v/>
      </c>
      <c r="AD64" s="37" t="str">
        <f aca="false">IF(A64="","",IF(Q64="Short",IF(AH64="","Add % viewed to diagnose",IF(AND(AH64&gt;=3,N(AI64)&gt;=3),"Winner Short — expand it into a long-form video",IF(AH64&lt;=1,"Hook problem — viewers swipe away in the first seconds",IF(AI64=1,"Watched but no reaction — end on a question or opinion","Solid Short — keep iterating")))),IF(OR(AG64="",AH64=""),"Add CTR &amp; % viewed to diagnose",IF(AND(AG64&gt;=3,AH64&gt;=3),"WINNER — make a sequel, series or Shorts from it",IF(AND(AG64&gt;=3,AH64&lt;=2),"Click but leave — intro too slow or title over-promises",IF(AND(AG64&lt;=2,AH64&gt;=3),"Great video, weak packaging — A/B test title + thumbnail",IF(AND(AG64=1,AH64=1),"Topic miss — don't repeat this angle","Average — sharpen the hook and the title")))))))</f>
        <v/>
      </c>
      <c r="AE64" s="76" t="str">
        <f aca="false">IF(OR(A64="",N(E64)=0),"",Q64&amp;"-"&amp;(COUNTIFS($Q$5:$Q$204,Q64,$E$5:$E$204,"&gt;"&amp;E64)+COUNTIFS($Q$5:Q64,Q64,$E$5:E64,E64)))</f>
        <v/>
      </c>
      <c r="AF64" s="77" t="str">
        <f aca="false">IF(AND(Q64="Long",N(F64)&gt;=Benchmarks!$C$15,G64&lt;&gt;""),G64,"")</f>
        <v/>
      </c>
      <c r="AG64" s="78" t="str">
        <f aca="false">IF(Z64="Elite",4,IF(Z64="Strong",3,IF(Z64="Average",2,IF(Z64="Needs work",1,""))))</f>
        <v/>
      </c>
      <c r="AH64" s="78" t="str">
        <f aca="false">IF(AA64="Elite",4,IF(AA64="Strong",3,IF(AA64="Average",2,IF(AA64="Needs work",1,""))))</f>
        <v/>
      </c>
      <c r="AI64" s="78" t="str">
        <f aca="false">IF(AB64="Elite",4,IF(AB64="Strong",3,IF(AB64="Average",2,IF(AB64="Needs work",1,""))))</f>
        <v/>
      </c>
    </row>
    <row r="65" customFormat="false" ht="15" hidden="false" customHeight="false" outlineLevel="0" collapsed="false">
      <c r="A65" s="64"/>
      <c r="B65" s="65"/>
      <c r="C65" s="66"/>
      <c r="D65" s="67"/>
      <c r="E65" s="67"/>
      <c r="F65" s="67"/>
      <c r="G65" s="68"/>
      <c r="H65" s="69"/>
      <c r="I65" s="68"/>
      <c r="J65" s="70"/>
      <c r="K65" s="67"/>
      <c r="L65" s="67"/>
      <c r="M65" s="67"/>
      <c r="N65" s="67"/>
      <c r="O65" s="67"/>
      <c r="P65" s="71"/>
      <c r="Q65" s="72" t="str">
        <f aca="false">IF(A65="","",IF(C65&lt;&gt;"",C65,IF(AND(D65&lt;&gt;"",D65&lt;=180),"Short","Long")))</f>
        <v/>
      </c>
      <c r="R65" s="73" t="str">
        <f aca="false">IF(OR(A65="",D65=""),"",D65/60)</f>
        <v/>
      </c>
      <c r="S65" s="72" t="str">
        <f aca="false">IF(OR(A65="",B65=""),"",IF(AND(B65&gt;=DATE(2026,4,1),B65&lt;=DATE(2026,6,30)),"Yes","No"))</f>
        <v/>
      </c>
      <c r="T65" s="72" t="str">
        <f aca="false">IF(OR(A65="",B65=""),"",CHOOSE(WEEKDAY(B65),"Sun","Mon","Tue","Wed","Thu","Fri","Sat"))</f>
        <v/>
      </c>
      <c r="U65" s="72" t="str">
        <f aca="false">IF(OR(Q65&lt;&gt;"Long",D65=""),"",IF(D65&lt;480,"Under 8 min",IF(D65&lt;900,"8–15 min",IF(D65&lt;1500,"15–25 min","25+ min"))))</f>
        <v/>
      </c>
      <c r="V65" s="74" t="str">
        <f aca="false">IF(OR(A65="",N(E65)=0),"",(N(K65)+N(L65))/E65*100)</f>
        <v/>
      </c>
      <c r="W65" s="73" t="str">
        <f aca="false">IF(OR(A65="",N(E65)=0),"",N(L65)/E65*1000)</f>
        <v/>
      </c>
      <c r="X65" s="75" t="str">
        <f aca="false">IF(A65="","",N(N65)-N(O65))</f>
        <v/>
      </c>
      <c r="Y65" s="73" t="str">
        <f aca="false">IF(OR(A65="",N(E65)=0),"",X65/E65*1000)</f>
        <v/>
      </c>
      <c r="Z65" s="72" t="str">
        <f aca="false">IF(OR(A65="",G65=""),"",IF(Q65="Short","n/a (Short)",IF(G65&gt;=Benchmarks!$E$5,"Elite",IF(G65&gt;=Benchmarks!$D$5,"Strong",IF(G65&gt;=Benchmarks!$C$5,"Average","Needs work")))))</f>
        <v/>
      </c>
      <c r="AA65" s="72" t="str">
        <f aca="false">IF(OR(A65="",I65=""),"",IF(Q65="Short",IF(I65&gt;=Benchmarks!$E$7,"Elite",IF(I65&gt;=Benchmarks!$D$7,"Strong",IF(I65&gt;=Benchmarks!$C$7,"Average","Needs work"))),IF(I65&gt;=Benchmarks!$E$6,"Elite",IF(I65&gt;=Benchmarks!$D$6,"Strong",IF(I65&gt;=Benchmarks!$C$6,"Average","Needs work")))))</f>
        <v/>
      </c>
      <c r="AB65" s="72" t="str">
        <f aca="false">IF(V65="","",IF(V65&gt;=Benchmarks!$E$8,"Elite",IF(V65&gt;=Benchmarks!$D$8,"Strong",IF(V65&gt;=Benchmarks!$C$8,"Average","Needs work"))))</f>
        <v/>
      </c>
      <c r="AC65" s="73" t="str">
        <f aca="false">IF(COUNT(AG65:AI65)=0,"",AVERAGE(AG65:AI65))</f>
        <v/>
      </c>
      <c r="AD65" s="37" t="str">
        <f aca="false">IF(A65="","",IF(Q65="Short",IF(AH65="","Add % viewed to diagnose",IF(AND(AH65&gt;=3,N(AI65)&gt;=3),"Winner Short — expand it into a long-form video",IF(AH65&lt;=1,"Hook problem — viewers swipe away in the first seconds",IF(AI65=1,"Watched but no reaction — end on a question or opinion","Solid Short — keep iterating")))),IF(OR(AG65="",AH65=""),"Add CTR &amp; % viewed to diagnose",IF(AND(AG65&gt;=3,AH65&gt;=3),"WINNER — make a sequel, series or Shorts from it",IF(AND(AG65&gt;=3,AH65&lt;=2),"Click but leave — intro too slow or title over-promises",IF(AND(AG65&lt;=2,AH65&gt;=3),"Great video, weak packaging — A/B test title + thumbnail",IF(AND(AG65=1,AH65=1),"Topic miss — don't repeat this angle","Average — sharpen the hook and the title")))))))</f>
        <v/>
      </c>
      <c r="AE65" s="76" t="str">
        <f aca="false">IF(OR(A65="",N(E65)=0),"",Q65&amp;"-"&amp;(COUNTIFS($Q$5:$Q$204,Q65,$E$5:$E$204,"&gt;"&amp;E65)+COUNTIFS($Q$5:Q65,Q65,$E$5:E65,E65)))</f>
        <v/>
      </c>
      <c r="AF65" s="77" t="str">
        <f aca="false">IF(AND(Q65="Long",N(F65)&gt;=Benchmarks!$C$15,G65&lt;&gt;""),G65,"")</f>
        <v/>
      </c>
      <c r="AG65" s="78" t="str">
        <f aca="false">IF(Z65="Elite",4,IF(Z65="Strong",3,IF(Z65="Average",2,IF(Z65="Needs work",1,""))))</f>
        <v/>
      </c>
      <c r="AH65" s="78" t="str">
        <f aca="false">IF(AA65="Elite",4,IF(AA65="Strong",3,IF(AA65="Average",2,IF(AA65="Needs work",1,""))))</f>
        <v/>
      </c>
      <c r="AI65" s="78" t="str">
        <f aca="false">IF(AB65="Elite",4,IF(AB65="Strong",3,IF(AB65="Average",2,IF(AB65="Needs work",1,""))))</f>
        <v/>
      </c>
    </row>
    <row r="66" customFormat="false" ht="15" hidden="false" customHeight="false" outlineLevel="0" collapsed="false">
      <c r="A66" s="64"/>
      <c r="B66" s="65"/>
      <c r="C66" s="66"/>
      <c r="D66" s="67"/>
      <c r="E66" s="67"/>
      <c r="F66" s="67"/>
      <c r="G66" s="68"/>
      <c r="H66" s="69"/>
      <c r="I66" s="68"/>
      <c r="J66" s="70"/>
      <c r="K66" s="67"/>
      <c r="L66" s="67"/>
      <c r="M66" s="67"/>
      <c r="N66" s="67"/>
      <c r="O66" s="67"/>
      <c r="P66" s="71"/>
      <c r="Q66" s="72" t="str">
        <f aca="false">IF(A66="","",IF(C66&lt;&gt;"",C66,IF(AND(D66&lt;&gt;"",D66&lt;=180),"Short","Long")))</f>
        <v/>
      </c>
      <c r="R66" s="73" t="str">
        <f aca="false">IF(OR(A66="",D66=""),"",D66/60)</f>
        <v/>
      </c>
      <c r="S66" s="72" t="str">
        <f aca="false">IF(OR(A66="",B66=""),"",IF(AND(B66&gt;=DATE(2026,4,1),B66&lt;=DATE(2026,6,30)),"Yes","No"))</f>
        <v/>
      </c>
      <c r="T66" s="72" t="str">
        <f aca="false">IF(OR(A66="",B66=""),"",CHOOSE(WEEKDAY(B66),"Sun","Mon","Tue","Wed","Thu","Fri","Sat"))</f>
        <v/>
      </c>
      <c r="U66" s="72" t="str">
        <f aca="false">IF(OR(Q66&lt;&gt;"Long",D66=""),"",IF(D66&lt;480,"Under 8 min",IF(D66&lt;900,"8–15 min",IF(D66&lt;1500,"15–25 min","25+ min"))))</f>
        <v/>
      </c>
      <c r="V66" s="74" t="str">
        <f aca="false">IF(OR(A66="",N(E66)=0),"",(N(K66)+N(L66))/E66*100)</f>
        <v/>
      </c>
      <c r="W66" s="73" t="str">
        <f aca="false">IF(OR(A66="",N(E66)=0),"",N(L66)/E66*1000)</f>
        <v/>
      </c>
      <c r="X66" s="75" t="str">
        <f aca="false">IF(A66="","",N(N66)-N(O66))</f>
        <v/>
      </c>
      <c r="Y66" s="73" t="str">
        <f aca="false">IF(OR(A66="",N(E66)=0),"",X66/E66*1000)</f>
        <v/>
      </c>
      <c r="Z66" s="72" t="str">
        <f aca="false">IF(OR(A66="",G66=""),"",IF(Q66="Short","n/a (Short)",IF(G66&gt;=Benchmarks!$E$5,"Elite",IF(G66&gt;=Benchmarks!$D$5,"Strong",IF(G66&gt;=Benchmarks!$C$5,"Average","Needs work")))))</f>
        <v/>
      </c>
      <c r="AA66" s="72" t="str">
        <f aca="false">IF(OR(A66="",I66=""),"",IF(Q66="Short",IF(I66&gt;=Benchmarks!$E$7,"Elite",IF(I66&gt;=Benchmarks!$D$7,"Strong",IF(I66&gt;=Benchmarks!$C$7,"Average","Needs work"))),IF(I66&gt;=Benchmarks!$E$6,"Elite",IF(I66&gt;=Benchmarks!$D$6,"Strong",IF(I66&gt;=Benchmarks!$C$6,"Average","Needs work")))))</f>
        <v/>
      </c>
      <c r="AB66" s="72" t="str">
        <f aca="false">IF(V66="","",IF(V66&gt;=Benchmarks!$E$8,"Elite",IF(V66&gt;=Benchmarks!$D$8,"Strong",IF(V66&gt;=Benchmarks!$C$8,"Average","Needs work"))))</f>
        <v/>
      </c>
      <c r="AC66" s="73" t="str">
        <f aca="false">IF(COUNT(AG66:AI66)=0,"",AVERAGE(AG66:AI66))</f>
        <v/>
      </c>
      <c r="AD66" s="37" t="str">
        <f aca="false">IF(A66="","",IF(Q66="Short",IF(AH66="","Add % viewed to diagnose",IF(AND(AH66&gt;=3,N(AI66)&gt;=3),"Winner Short — expand it into a long-form video",IF(AH66&lt;=1,"Hook problem — viewers swipe away in the first seconds",IF(AI66=1,"Watched but no reaction — end on a question or opinion","Solid Short — keep iterating")))),IF(OR(AG66="",AH66=""),"Add CTR &amp; % viewed to diagnose",IF(AND(AG66&gt;=3,AH66&gt;=3),"WINNER — make a sequel, series or Shorts from it",IF(AND(AG66&gt;=3,AH66&lt;=2),"Click but leave — intro too slow or title over-promises",IF(AND(AG66&lt;=2,AH66&gt;=3),"Great video, weak packaging — A/B test title + thumbnail",IF(AND(AG66=1,AH66=1),"Topic miss — don't repeat this angle","Average — sharpen the hook and the title")))))))</f>
        <v/>
      </c>
      <c r="AE66" s="76" t="str">
        <f aca="false">IF(OR(A66="",N(E66)=0),"",Q66&amp;"-"&amp;(COUNTIFS($Q$5:$Q$204,Q66,$E$5:$E$204,"&gt;"&amp;E66)+COUNTIFS($Q$5:Q66,Q66,$E$5:E66,E66)))</f>
        <v/>
      </c>
      <c r="AF66" s="77" t="str">
        <f aca="false">IF(AND(Q66="Long",N(F66)&gt;=Benchmarks!$C$15,G66&lt;&gt;""),G66,"")</f>
        <v/>
      </c>
      <c r="AG66" s="78" t="str">
        <f aca="false">IF(Z66="Elite",4,IF(Z66="Strong",3,IF(Z66="Average",2,IF(Z66="Needs work",1,""))))</f>
        <v/>
      </c>
      <c r="AH66" s="78" t="str">
        <f aca="false">IF(AA66="Elite",4,IF(AA66="Strong",3,IF(AA66="Average",2,IF(AA66="Needs work",1,""))))</f>
        <v/>
      </c>
      <c r="AI66" s="78" t="str">
        <f aca="false">IF(AB66="Elite",4,IF(AB66="Strong",3,IF(AB66="Average",2,IF(AB66="Needs work",1,""))))</f>
        <v/>
      </c>
    </row>
    <row r="67" customFormat="false" ht="15" hidden="false" customHeight="false" outlineLevel="0" collapsed="false">
      <c r="A67" s="64"/>
      <c r="B67" s="65"/>
      <c r="C67" s="66"/>
      <c r="D67" s="67"/>
      <c r="E67" s="67"/>
      <c r="F67" s="67"/>
      <c r="G67" s="68"/>
      <c r="H67" s="69"/>
      <c r="I67" s="68"/>
      <c r="J67" s="70"/>
      <c r="K67" s="67"/>
      <c r="L67" s="67"/>
      <c r="M67" s="67"/>
      <c r="N67" s="67"/>
      <c r="O67" s="67"/>
      <c r="P67" s="71"/>
      <c r="Q67" s="72" t="str">
        <f aca="false">IF(A67="","",IF(C67&lt;&gt;"",C67,IF(AND(D67&lt;&gt;"",D67&lt;=180),"Short","Long")))</f>
        <v/>
      </c>
      <c r="R67" s="73" t="str">
        <f aca="false">IF(OR(A67="",D67=""),"",D67/60)</f>
        <v/>
      </c>
      <c r="S67" s="72" t="str">
        <f aca="false">IF(OR(A67="",B67=""),"",IF(AND(B67&gt;=DATE(2026,4,1),B67&lt;=DATE(2026,6,30)),"Yes","No"))</f>
        <v/>
      </c>
      <c r="T67" s="72" t="str">
        <f aca="false">IF(OR(A67="",B67=""),"",CHOOSE(WEEKDAY(B67),"Sun","Mon","Tue","Wed","Thu","Fri","Sat"))</f>
        <v/>
      </c>
      <c r="U67" s="72" t="str">
        <f aca="false">IF(OR(Q67&lt;&gt;"Long",D67=""),"",IF(D67&lt;480,"Under 8 min",IF(D67&lt;900,"8–15 min",IF(D67&lt;1500,"15–25 min","25+ min"))))</f>
        <v/>
      </c>
      <c r="V67" s="74" t="str">
        <f aca="false">IF(OR(A67="",N(E67)=0),"",(N(K67)+N(L67))/E67*100)</f>
        <v/>
      </c>
      <c r="W67" s="73" t="str">
        <f aca="false">IF(OR(A67="",N(E67)=0),"",N(L67)/E67*1000)</f>
        <v/>
      </c>
      <c r="X67" s="75" t="str">
        <f aca="false">IF(A67="","",N(N67)-N(O67))</f>
        <v/>
      </c>
      <c r="Y67" s="73" t="str">
        <f aca="false">IF(OR(A67="",N(E67)=0),"",X67/E67*1000)</f>
        <v/>
      </c>
      <c r="Z67" s="72" t="str">
        <f aca="false">IF(OR(A67="",G67=""),"",IF(Q67="Short","n/a (Short)",IF(G67&gt;=Benchmarks!$E$5,"Elite",IF(G67&gt;=Benchmarks!$D$5,"Strong",IF(G67&gt;=Benchmarks!$C$5,"Average","Needs work")))))</f>
        <v/>
      </c>
      <c r="AA67" s="72" t="str">
        <f aca="false">IF(OR(A67="",I67=""),"",IF(Q67="Short",IF(I67&gt;=Benchmarks!$E$7,"Elite",IF(I67&gt;=Benchmarks!$D$7,"Strong",IF(I67&gt;=Benchmarks!$C$7,"Average","Needs work"))),IF(I67&gt;=Benchmarks!$E$6,"Elite",IF(I67&gt;=Benchmarks!$D$6,"Strong",IF(I67&gt;=Benchmarks!$C$6,"Average","Needs work")))))</f>
        <v/>
      </c>
      <c r="AB67" s="72" t="str">
        <f aca="false">IF(V67="","",IF(V67&gt;=Benchmarks!$E$8,"Elite",IF(V67&gt;=Benchmarks!$D$8,"Strong",IF(V67&gt;=Benchmarks!$C$8,"Average","Needs work"))))</f>
        <v/>
      </c>
      <c r="AC67" s="73" t="str">
        <f aca="false">IF(COUNT(AG67:AI67)=0,"",AVERAGE(AG67:AI67))</f>
        <v/>
      </c>
      <c r="AD67" s="37" t="str">
        <f aca="false">IF(A67="","",IF(Q67="Short",IF(AH67="","Add % viewed to diagnose",IF(AND(AH67&gt;=3,N(AI67)&gt;=3),"Winner Short — expand it into a long-form video",IF(AH67&lt;=1,"Hook problem — viewers swipe away in the first seconds",IF(AI67=1,"Watched but no reaction — end on a question or opinion","Solid Short — keep iterating")))),IF(OR(AG67="",AH67=""),"Add CTR &amp; % viewed to diagnose",IF(AND(AG67&gt;=3,AH67&gt;=3),"WINNER — make a sequel, series or Shorts from it",IF(AND(AG67&gt;=3,AH67&lt;=2),"Click but leave — intro too slow or title over-promises",IF(AND(AG67&lt;=2,AH67&gt;=3),"Great video, weak packaging — A/B test title + thumbnail",IF(AND(AG67=1,AH67=1),"Topic miss — don't repeat this angle","Average — sharpen the hook and the title")))))))</f>
        <v/>
      </c>
      <c r="AE67" s="76" t="str">
        <f aca="false">IF(OR(A67="",N(E67)=0),"",Q67&amp;"-"&amp;(COUNTIFS($Q$5:$Q$204,Q67,$E$5:$E$204,"&gt;"&amp;E67)+COUNTIFS($Q$5:Q67,Q67,$E$5:E67,E67)))</f>
        <v/>
      </c>
      <c r="AF67" s="77" t="str">
        <f aca="false">IF(AND(Q67="Long",N(F67)&gt;=Benchmarks!$C$15,G67&lt;&gt;""),G67,"")</f>
        <v/>
      </c>
      <c r="AG67" s="78" t="str">
        <f aca="false">IF(Z67="Elite",4,IF(Z67="Strong",3,IF(Z67="Average",2,IF(Z67="Needs work",1,""))))</f>
        <v/>
      </c>
      <c r="AH67" s="78" t="str">
        <f aca="false">IF(AA67="Elite",4,IF(AA67="Strong",3,IF(AA67="Average",2,IF(AA67="Needs work",1,""))))</f>
        <v/>
      </c>
      <c r="AI67" s="78" t="str">
        <f aca="false">IF(AB67="Elite",4,IF(AB67="Strong",3,IF(AB67="Average",2,IF(AB67="Needs work",1,""))))</f>
        <v/>
      </c>
    </row>
    <row r="68" customFormat="false" ht="15" hidden="false" customHeight="false" outlineLevel="0" collapsed="false">
      <c r="A68" s="64"/>
      <c r="B68" s="65"/>
      <c r="C68" s="66"/>
      <c r="D68" s="67"/>
      <c r="E68" s="67"/>
      <c r="F68" s="67"/>
      <c r="G68" s="68"/>
      <c r="H68" s="69"/>
      <c r="I68" s="68"/>
      <c r="J68" s="70"/>
      <c r="K68" s="67"/>
      <c r="L68" s="67"/>
      <c r="M68" s="67"/>
      <c r="N68" s="67"/>
      <c r="O68" s="67"/>
      <c r="P68" s="71"/>
      <c r="Q68" s="72" t="str">
        <f aca="false">IF(A68="","",IF(C68&lt;&gt;"",C68,IF(AND(D68&lt;&gt;"",D68&lt;=180),"Short","Long")))</f>
        <v/>
      </c>
      <c r="R68" s="73" t="str">
        <f aca="false">IF(OR(A68="",D68=""),"",D68/60)</f>
        <v/>
      </c>
      <c r="S68" s="72" t="str">
        <f aca="false">IF(OR(A68="",B68=""),"",IF(AND(B68&gt;=DATE(2026,4,1),B68&lt;=DATE(2026,6,30)),"Yes","No"))</f>
        <v/>
      </c>
      <c r="T68" s="72" t="str">
        <f aca="false">IF(OR(A68="",B68=""),"",CHOOSE(WEEKDAY(B68),"Sun","Mon","Tue","Wed","Thu","Fri","Sat"))</f>
        <v/>
      </c>
      <c r="U68" s="72" t="str">
        <f aca="false">IF(OR(Q68&lt;&gt;"Long",D68=""),"",IF(D68&lt;480,"Under 8 min",IF(D68&lt;900,"8–15 min",IF(D68&lt;1500,"15–25 min","25+ min"))))</f>
        <v/>
      </c>
      <c r="V68" s="74" t="str">
        <f aca="false">IF(OR(A68="",N(E68)=0),"",(N(K68)+N(L68))/E68*100)</f>
        <v/>
      </c>
      <c r="W68" s="73" t="str">
        <f aca="false">IF(OR(A68="",N(E68)=0),"",N(L68)/E68*1000)</f>
        <v/>
      </c>
      <c r="X68" s="75" t="str">
        <f aca="false">IF(A68="","",N(N68)-N(O68))</f>
        <v/>
      </c>
      <c r="Y68" s="73" t="str">
        <f aca="false">IF(OR(A68="",N(E68)=0),"",X68/E68*1000)</f>
        <v/>
      </c>
      <c r="Z68" s="72" t="str">
        <f aca="false">IF(OR(A68="",G68=""),"",IF(Q68="Short","n/a (Short)",IF(G68&gt;=Benchmarks!$E$5,"Elite",IF(G68&gt;=Benchmarks!$D$5,"Strong",IF(G68&gt;=Benchmarks!$C$5,"Average","Needs work")))))</f>
        <v/>
      </c>
      <c r="AA68" s="72" t="str">
        <f aca="false">IF(OR(A68="",I68=""),"",IF(Q68="Short",IF(I68&gt;=Benchmarks!$E$7,"Elite",IF(I68&gt;=Benchmarks!$D$7,"Strong",IF(I68&gt;=Benchmarks!$C$7,"Average","Needs work"))),IF(I68&gt;=Benchmarks!$E$6,"Elite",IF(I68&gt;=Benchmarks!$D$6,"Strong",IF(I68&gt;=Benchmarks!$C$6,"Average","Needs work")))))</f>
        <v/>
      </c>
      <c r="AB68" s="72" t="str">
        <f aca="false">IF(V68="","",IF(V68&gt;=Benchmarks!$E$8,"Elite",IF(V68&gt;=Benchmarks!$D$8,"Strong",IF(V68&gt;=Benchmarks!$C$8,"Average","Needs work"))))</f>
        <v/>
      </c>
      <c r="AC68" s="73" t="str">
        <f aca="false">IF(COUNT(AG68:AI68)=0,"",AVERAGE(AG68:AI68))</f>
        <v/>
      </c>
      <c r="AD68" s="37" t="str">
        <f aca="false">IF(A68="","",IF(Q68="Short",IF(AH68="","Add % viewed to diagnose",IF(AND(AH68&gt;=3,N(AI68)&gt;=3),"Winner Short — expand it into a long-form video",IF(AH68&lt;=1,"Hook problem — viewers swipe away in the first seconds",IF(AI68=1,"Watched but no reaction — end on a question or opinion","Solid Short — keep iterating")))),IF(OR(AG68="",AH68=""),"Add CTR &amp; % viewed to diagnose",IF(AND(AG68&gt;=3,AH68&gt;=3),"WINNER — make a sequel, series or Shorts from it",IF(AND(AG68&gt;=3,AH68&lt;=2),"Click but leave — intro too slow or title over-promises",IF(AND(AG68&lt;=2,AH68&gt;=3),"Great video, weak packaging — A/B test title + thumbnail",IF(AND(AG68=1,AH68=1),"Topic miss — don't repeat this angle","Average — sharpen the hook and the title")))))))</f>
        <v/>
      </c>
      <c r="AE68" s="76" t="str">
        <f aca="false">IF(OR(A68="",N(E68)=0),"",Q68&amp;"-"&amp;(COUNTIFS($Q$5:$Q$204,Q68,$E$5:$E$204,"&gt;"&amp;E68)+COUNTIFS($Q$5:Q68,Q68,$E$5:E68,E68)))</f>
        <v/>
      </c>
      <c r="AF68" s="77" t="str">
        <f aca="false">IF(AND(Q68="Long",N(F68)&gt;=Benchmarks!$C$15,G68&lt;&gt;""),G68,"")</f>
        <v/>
      </c>
      <c r="AG68" s="78" t="str">
        <f aca="false">IF(Z68="Elite",4,IF(Z68="Strong",3,IF(Z68="Average",2,IF(Z68="Needs work",1,""))))</f>
        <v/>
      </c>
      <c r="AH68" s="78" t="str">
        <f aca="false">IF(AA68="Elite",4,IF(AA68="Strong",3,IF(AA68="Average",2,IF(AA68="Needs work",1,""))))</f>
        <v/>
      </c>
      <c r="AI68" s="78" t="str">
        <f aca="false">IF(AB68="Elite",4,IF(AB68="Strong",3,IF(AB68="Average",2,IF(AB68="Needs work",1,""))))</f>
        <v/>
      </c>
    </row>
    <row r="69" customFormat="false" ht="15" hidden="false" customHeight="false" outlineLevel="0" collapsed="false">
      <c r="A69" s="64"/>
      <c r="B69" s="65"/>
      <c r="C69" s="66"/>
      <c r="D69" s="67"/>
      <c r="E69" s="67"/>
      <c r="F69" s="67"/>
      <c r="G69" s="68"/>
      <c r="H69" s="69"/>
      <c r="I69" s="68"/>
      <c r="J69" s="70"/>
      <c r="K69" s="67"/>
      <c r="L69" s="67"/>
      <c r="M69" s="67"/>
      <c r="N69" s="67"/>
      <c r="O69" s="67"/>
      <c r="P69" s="71"/>
      <c r="Q69" s="72" t="str">
        <f aca="false">IF(A69="","",IF(C69&lt;&gt;"",C69,IF(AND(D69&lt;&gt;"",D69&lt;=180),"Short","Long")))</f>
        <v/>
      </c>
      <c r="R69" s="73" t="str">
        <f aca="false">IF(OR(A69="",D69=""),"",D69/60)</f>
        <v/>
      </c>
      <c r="S69" s="72" t="str">
        <f aca="false">IF(OR(A69="",B69=""),"",IF(AND(B69&gt;=DATE(2026,4,1),B69&lt;=DATE(2026,6,30)),"Yes","No"))</f>
        <v/>
      </c>
      <c r="T69" s="72" t="str">
        <f aca="false">IF(OR(A69="",B69=""),"",CHOOSE(WEEKDAY(B69),"Sun","Mon","Tue","Wed","Thu","Fri","Sat"))</f>
        <v/>
      </c>
      <c r="U69" s="72" t="str">
        <f aca="false">IF(OR(Q69&lt;&gt;"Long",D69=""),"",IF(D69&lt;480,"Under 8 min",IF(D69&lt;900,"8–15 min",IF(D69&lt;1500,"15–25 min","25+ min"))))</f>
        <v/>
      </c>
      <c r="V69" s="74" t="str">
        <f aca="false">IF(OR(A69="",N(E69)=0),"",(N(K69)+N(L69))/E69*100)</f>
        <v/>
      </c>
      <c r="W69" s="73" t="str">
        <f aca="false">IF(OR(A69="",N(E69)=0),"",N(L69)/E69*1000)</f>
        <v/>
      </c>
      <c r="X69" s="75" t="str">
        <f aca="false">IF(A69="","",N(N69)-N(O69))</f>
        <v/>
      </c>
      <c r="Y69" s="73" t="str">
        <f aca="false">IF(OR(A69="",N(E69)=0),"",X69/E69*1000)</f>
        <v/>
      </c>
      <c r="Z69" s="72" t="str">
        <f aca="false">IF(OR(A69="",G69=""),"",IF(Q69="Short","n/a (Short)",IF(G69&gt;=Benchmarks!$E$5,"Elite",IF(G69&gt;=Benchmarks!$D$5,"Strong",IF(G69&gt;=Benchmarks!$C$5,"Average","Needs work")))))</f>
        <v/>
      </c>
      <c r="AA69" s="72" t="str">
        <f aca="false">IF(OR(A69="",I69=""),"",IF(Q69="Short",IF(I69&gt;=Benchmarks!$E$7,"Elite",IF(I69&gt;=Benchmarks!$D$7,"Strong",IF(I69&gt;=Benchmarks!$C$7,"Average","Needs work"))),IF(I69&gt;=Benchmarks!$E$6,"Elite",IF(I69&gt;=Benchmarks!$D$6,"Strong",IF(I69&gt;=Benchmarks!$C$6,"Average","Needs work")))))</f>
        <v/>
      </c>
      <c r="AB69" s="72" t="str">
        <f aca="false">IF(V69="","",IF(V69&gt;=Benchmarks!$E$8,"Elite",IF(V69&gt;=Benchmarks!$D$8,"Strong",IF(V69&gt;=Benchmarks!$C$8,"Average","Needs work"))))</f>
        <v/>
      </c>
      <c r="AC69" s="73" t="str">
        <f aca="false">IF(COUNT(AG69:AI69)=0,"",AVERAGE(AG69:AI69))</f>
        <v/>
      </c>
      <c r="AD69" s="37" t="str">
        <f aca="false">IF(A69="","",IF(Q69="Short",IF(AH69="","Add % viewed to diagnose",IF(AND(AH69&gt;=3,N(AI69)&gt;=3),"Winner Short — expand it into a long-form video",IF(AH69&lt;=1,"Hook problem — viewers swipe away in the first seconds",IF(AI69=1,"Watched but no reaction — end on a question or opinion","Solid Short — keep iterating")))),IF(OR(AG69="",AH69=""),"Add CTR &amp; % viewed to diagnose",IF(AND(AG69&gt;=3,AH69&gt;=3),"WINNER — make a sequel, series or Shorts from it",IF(AND(AG69&gt;=3,AH69&lt;=2),"Click but leave — intro too slow or title over-promises",IF(AND(AG69&lt;=2,AH69&gt;=3),"Great video, weak packaging — A/B test title + thumbnail",IF(AND(AG69=1,AH69=1),"Topic miss — don't repeat this angle","Average — sharpen the hook and the title")))))))</f>
        <v/>
      </c>
      <c r="AE69" s="76" t="str">
        <f aca="false">IF(OR(A69="",N(E69)=0),"",Q69&amp;"-"&amp;(COUNTIFS($Q$5:$Q$204,Q69,$E$5:$E$204,"&gt;"&amp;E69)+COUNTIFS($Q$5:Q69,Q69,$E$5:E69,E69)))</f>
        <v/>
      </c>
      <c r="AF69" s="77" t="str">
        <f aca="false">IF(AND(Q69="Long",N(F69)&gt;=Benchmarks!$C$15,G69&lt;&gt;""),G69,"")</f>
        <v/>
      </c>
      <c r="AG69" s="78" t="str">
        <f aca="false">IF(Z69="Elite",4,IF(Z69="Strong",3,IF(Z69="Average",2,IF(Z69="Needs work",1,""))))</f>
        <v/>
      </c>
      <c r="AH69" s="78" t="str">
        <f aca="false">IF(AA69="Elite",4,IF(AA69="Strong",3,IF(AA69="Average",2,IF(AA69="Needs work",1,""))))</f>
        <v/>
      </c>
      <c r="AI69" s="78" t="str">
        <f aca="false">IF(AB69="Elite",4,IF(AB69="Strong",3,IF(AB69="Average",2,IF(AB69="Needs work",1,""))))</f>
        <v/>
      </c>
    </row>
    <row r="70" customFormat="false" ht="15" hidden="false" customHeight="false" outlineLevel="0" collapsed="false">
      <c r="A70" s="64"/>
      <c r="B70" s="65"/>
      <c r="C70" s="66"/>
      <c r="D70" s="67"/>
      <c r="E70" s="67"/>
      <c r="F70" s="67"/>
      <c r="G70" s="68"/>
      <c r="H70" s="69"/>
      <c r="I70" s="68"/>
      <c r="J70" s="70"/>
      <c r="K70" s="67"/>
      <c r="L70" s="67"/>
      <c r="M70" s="67"/>
      <c r="N70" s="67"/>
      <c r="O70" s="67"/>
      <c r="P70" s="71"/>
      <c r="Q70" s="72" t="str">
        <f aca="false">IF(A70="","",IF(C70&lt;&gt;"",C70,IF(AND(D70&lt;&gt;"",D70&lt;=180),"Short","Long")))</f>
        <v/>
      </c>
      <c r="R70" s="73" t="str">
        <f aca="false">IF(OR(A70="",D70=""),"",D70/60)</f>
        <v/>
      </c>
      <c r="S70" s="72" t="str">
        <f aca="false">IF(OR(A70="",B70=""),"",IF(AND(B70&gt;=DATE(2026,4,1),B70&lt;=DATE(2026,6,30)),"Yes","No"))</f>
        <v/>
      </c>
      <c r="T70" s="72" t="str">
        <f aca="false">IF(OR(A70="",B70=""),"",CHOOSE(WEEKDAY(B70),"Sun","Mon","Tue","Wed","Thu","Fri","Sat"))</f>
        <v/>
      </c>
      <c r="U70" s="72" t="str">
        <f aca="false">IF(OR(Q70&lt;&gt;"Long",D70=""),"",IF(D70&lt;480,"Under 8 min",IF(D70&lt;900,"8–15 min",IF(D70&lt;1500,"15–25 min","25+ min"))))</f>
        <v/>
      </c>
      <c r="V70" s="74" t="str">
        <f aca="false">IF(OR(A70="",N(E70)=0),"",(N(K70)+N(L70))/E70*100)</f>
        <v/>
      </c>
      <c r="W70" s="73" t="str">
        <f aca="false">IF(OR(A70="",N(E70)=0),"",N(L70)/E70*1000)</f>
        <v/>
      </c>
      <c r="X70" s="75" t="str">
        <f aca="false">IF(A70="","",N(N70)-N(O70))</f>
        <v/>
      </c>
      <c r="Y70" s="73" t="str">
        <f aca="false">IF(OR(A70="",N(E70)=0),"",X70/E70*1000)</f>
        <v/>
      </c>
      <c r="Z70" s="72" t="str">
        <f aca="false">IF(OR(A70="",G70=""),"",IF(Q70="Short","n/a (Short)",IF(G70&gt;=Benchmarks!$E$5,"Elite",IF(G70&gt;=Benchmarks!$D$5,"Strong",IF(G70&gt;=Benchmarks!$C$5,"Average","Needs work")))))</f>
        <v/>
      </c>
      <c r="AA70" s="72" t="str">
        <f aca="false">IF(OR(A70="",I70=""),"",IF(Q70="Short",IF(I70&gt;=Benchmarks!$E$7,"Elite",IF(I70&gt;=Benchmarks!$D$7,"Strong",IF(I70&gt;=Benchmarks!$C$7,"Average","Needs work"))),IF(I70&gt;=Benchmarks!$E$6,"Elite",IF(I70&gt;=Benchmarks!$D$6,"Strong",IF(I70&gt;=Benchmarks!$C$6,"Average","Needs work")))))</f>
        <v/>
      </c>
      <c r="AB70" s="72" t="str">
        <f aca="false">IF(V70="","",IF(V70&gt;=Benchmarks!$E$8,"Elite",IF(V70&gt;=Benchmarks!$D$8,"Strong",IF(V70&gt;=Benchmarks!$C$8,"Average","Needs work"))))</f>
        <v/>
      </c>
      <c r="AC70" s="73" t="str">
        <f aca="false">IF(COUNT(AG70:AI70)=0,"",AVERAGE(AG70:AI70))</f>
        <v/>
      </c>
      <c r="AD70" s="37" t="str">
        <f aca="false">IF(A70="","",IF(Q70="Short",IF(AH70="","Add % viewed to diagnose",IF(AND(AH70&gt;=3,N(AI70)&gt;=3),"Winner Short — expand it into a long-form video",IF(AH70&lt;=1,"Hook problem — viewers swipe away in the first seconds",IF(AI70=1,"Watched but no reaction — end on a question or opinion","Solid Short — keep iterating")))),IF(OR(AG70="",AH70=""),"Add CTR &amp; % viewed to diagnose",IF(AND(AG70&gt;=3,AH70&gt;=3),"WINNER — make a sequel, series or Shorts from it",IF(AND(AG70&gt;=3,AH70&lt;=2),"Click but leave — intro too slow or title over-promises",IF(AND(AG70&lt;=2,AH70&gt;=3),"Great video, weak packaging — A/B test title + thumbnail",IF(AND(AG70=1,AH70=1),"Topic miss — don't repeat this angle","Average — sharpen the hook and the title")))))))</f>
        <v/>
      </c>
      <c r="AE70" s="76" t="str">
        <f aca="false">IF(OR(A70="",N(E70)=0),"",Q70&amp;"-"&amp;(COUNTIFS($Q$5:$Q$204,Q70,$E$5:$E$204,"&gt;"&amp;E70)+COUNTIFS($Q$5:Q70,Q70,$E$5:E70,E70)))</f>
        <v/>
      </c>
      <c r="AF70" s="77" t="str">
        <f aca="false">IF(AND(Q70="Long",N(F70)&gt;=Benchmarks!$C$15,G70&lt;&gt;""),G70,"")</f>
        <v/>
      </c>
      <c r="AG70" s="78" t="str">
        <f aca="false">IF(Z70="Elite",4,IF(Z70="Strong",3,IF(Z70="Average",2,IF(Z70="Needs work",1,""))))</f>
        <v/>
      </c>
      <c r="AH70" s="78" t="str">
        <f aca="false">IF(AA70="Elite",4,IF(AA70="Strong",3,IF(AA70="Average",2,IF(AA70="Needs work",1,""))))</f>
        <v/>
      </c>
      <c r="AI70" s="78" t="str">
        <f aca="false">IF(AB70="Elite",4,IF(AB70="Strong",3,IF(AB70="Average",2,IF(AB70="Needs work",1,""))))</f>
        <v/>
      </c>
    </row>
    <row r="71" customFormat="false" ht="15" hidden="false" customHeight="false" outlineLevel="0" collapsed="false">
      <c r="A71" s="64"/>
      <c r="B71" s="65"/>
      <c r="C71" s="66"/>
      <c r="D71" s="67"/>
      <c r="E71" s="67"/>
      <c r="F71" s="67"/>
      <c r="G71" s="68"/>
      <c r="H71" s="69"/>
      <c r="I71" s="68"/>
      <c r="J71" s="70"/>
      <c r="K71" s="67"/>
      <c r="L71" s="67"/>
      <c r="M71" s="67"/>
      <c r="N71" s="67"/>
      <c r="O71" s="67"/>
      <c r="P71" s="71"/>
      <c r="Q71" s="72" t="str">
        <f aca="false">IF(A71="","",IF(C71&lt;&gt;"",C71,IF(AND(D71&lt;&gt;"",D71&lt;=180),"Short","Long")))</f>
        <v/>
      </c>
      <c r="R71" s="73" t="str">
        <f aca="false">IF(OR(A71="",D71=""),"",D71/60)</f>
        <v/>
      </c>
      <c r="S71" s="72" t="str">
        <f aca="false">IF(OR(A71="",B71=""),"",IF(AND(B71&gt;=DATE(2026,4,1),B71&lt;=DATE(2026,6,30)),"Yes","No"))</f>
        <v/>
      </c>
      <c r="T71" s="72" t="str">
        <f aca="false">IF(OR(A71="",B71=""),"",CHOOSE(WEEKDAY(B71),"Sun","Mon","Tue","Wed","Thu","Fri","Sat"))</f>
        <v/>
      </c>
      <c r="U71" s="72" t="str">
        <f aca="false">IF(OR(Q71&lt;&gt;"Long",D71=""),"",IF(D71&lt;480,"Under 8 min",IF(D71&lt;900,"8–15 min",IF(D71&lt;1500,"15–25 min","25+ min"))))</f>
        <v/>
      </c>
      <c r="V71" s="74" t="str">
        <f aca="false">IF(OR(A71="",N(E71)=0),"",(N(K71)+N(L71))/E71*100)</f>
        <v/>
      </c>
      <c r="W71" s="73" t="str">
        <f aca="false">IF(OR(A71="",N(E71)=0),"",N(L71)/E71*1000)</f>
        <v/>
      </c>
      <c r="X71" s="75" t="str">
        <f aca="false">IF(A71="","",N(N71)-N(O71))</f>
        <v/>
      </c>
      <c r="Y71" s="73" t="str">
        <f aca="false">IF(OR(A71="",N(E71)=0),"",X71/E71*1000)</f>
        <v/>
      </c>
      <c r="Z71" s="72" t="str">
        <f aca="false">IF(OR(A71="",G71=""),"",IF(Q71="Short","n/a (Short)",IF(G71&gt;=Benchmarks!$E$5,"Elite",IF(G71&gt;=Benchmarks!$D$5,"Strong",IF(G71&gt;=Benchmarks!$C$5,"Average","Needs work")))))</f>
        <v/>
      </c>
      <c r="AA71" s="72" t="str">
        <f aca="false">IF(OR(A71="",I71=""),"",IF(Q71="Short",IF(I71&gt;=Benchmarks!$E$7,"Elite",IF(I71&gt;=Benchmarks!$D$7,"Strong",IF(I71&gt;=Benchmarks!$C$7,"Average","Needs work"))),IF(I71&gt;=Benchmarks!$E$6,"Elite",IF(I71&gt;=Benchmarks!$D$6,"Strong",IF(I71&gt;=Benchmarks!$C$6,"Average","Needs work")))))</f>
        <v/>
      </c>
      <c r="AB71" s="72" t="str">
        <f aca="false">IF(V71="","",IF(V71&gt;=Benchmarks!$E$8,"Elite",IF(V71&gt;=Benchmarks!$D$8,"Strong",IF(V71&gt;=Benchmarks!$C$8,"Average","Needs work"))))</f>
        <v/>
      </c>
      <c r="AC71" s="73" t="str">
        <f aca="false">IF(COUNT(AG71:AI71)=0,"",AVERAGE(AG71:AI71))</f>
        <v/>
      </c>
      <c r="AD71" s="37" t="str">
        <f aca="false">IF(A71="","",IF(Q71="Short",IF(AH71="","Add % viewed to diagnose",IF(AND(AH71&gt;=3,N(AI71)&gt;=3),"Winner Short — expand it into a long-form video",IF(AH71&lt;=1,"Hook problem — viewers swipe away in the first seconds",IF(AI71=1,"Watched but no reaction — end on a question or opinion","Solid Short — keep iterating")))),IF(OR(AG71="",AH71=""),"Add CTR &amp; % viewed to diagnose",IF(AND(AG71&gt;=3,AH71&gt;=3),"WINNER — make a sequel, series or Shorts from it",IF(AND(AG71&gt;=3,AH71&lt;=2),"Click but leave — intro too slow or title over-promises",IF(AND(AG71&lt;=2,AH71&gt;=3),"Great video, weak packaging — A/B test title + thumbnail",IF(AND(AG71=1,AH71=1),"Topic miss — don't repeat this angle","Average — sharpen the hook and the title")))))))</f>
        <v/>
      </c>
      <c r="AE71" s="76" t="str">
        <f aca="false">IF(OR(A71="",N(E71)=0),"",Q71&amp;"-"&amp;(COUNTIFS($Q$5:$Q$204,Q71,$E$5:$E$204,"&gt;"&amp;E71)+COUNTIFS($Q$5:Q71,Q71,$E$5:E71,E71)))</f>
        <v/>
      </c>
      <c r="AF71" s="77" t="str">
        <f aca="false">IF(AND(Q71="Long",N(F71)&gt;=Benchmarks!$C$15,G71&lt;&gt;""),G71,"")</f>
        <v/>
      </c>
      <c r="AG71" s="78" t="str">
        <f aca="false">IF(Z71="Elite",4,IF(Z71="Strong",3,IF(Z71="Average",2,IF(Z71="Needs work",1,""))))</f>
        <v/>
      </c>
      <c r="AH71" s="78" t="str">
        <f aca="false">IF(AA71="Elite",4,IF(AA71="Strong",3,IF(AA71="Average",2,IF(AA71="Needs work",1,""))))</f>
        <v/>
      </c>
      <c r="AI71" s="78" t="str">
        <f aca="false">IF(AB71="Elite",4,IF(AB71="Strong",3,IF(AB71="Average",2,IF(AB71="Needs work",1,""))))</f>
        <v/>
      </c>
    </row>
    <row r="72" customFormat="false" ht="15" hidden="false" customHeight="false" outlineLevel="0" collapsed="false">
      <c r="A72" s="64"/>
      <c r="B72" s="65"/>
      <c r="C72" s="66"/>
      <c r="D72" s="67"/>
      <c r="E72" s="67"/>
      <c r="F72" s="67"/>
      <c r="G72" s="68"/>
      <c r="H72" s="69"/>
      <c r="I72" s="68"/>
      <c r="J72" s="70"/>
      <c r="K72" s="67"/>
      <c r="L72" s="67"/>
      <c r="M72" s="67"/>
      <c r="N72" s="67"/>
      <c r="O72" s="67"/>
      <c r="P72" s="71"/>
      <c r="Q72" s="72" t="str">
        <f aca="false">IF(A72="","",IF(C72&lt;&gt;"",C72,IF(AND(D72&lt;&gt;"",D72&lt;=180),"Short","Long")))</f>
        <v/>
      </c>
      <c r="R72" s="73" t="str">
        <f aca="false">IF(OR(A72="",D72=""),"",D72/60)</f>
        <v/>
      </c>
      <c r="S72" s="72" t="str">
        <f aca="false">IF(OR(A72="",B72=""),"",IF(AND(B72&gt;=DATE(2026,4,1),B72&lt;=DATE(2026,6,30)),"Yes","No"))</f>
        <v/>
      </c>
      <c r="T72" s="72" t="str">
        <f aca="false">IF(OR(A72="",B72=""),"",CHOOSE(WEEKDAY(B72),"Sun","Mon","Tue","Wed","Thu","Fri","Sat"))</f>
        <v/>
      </c>
      <c r="U72" s="72" t="str">
        <f aca="false">IF(OR(Q72&lt;&gt;"Long",D72=""),"",IF(D72&lt;480,"Under 8 min",IF(D72&lt;900,"8–15 min",IF(D72&lt;1500,"15–25 min","25+ min"))))</f>
        <v/>
      </c>
      <c r="V72" s="74" t="str">
        <f aca="false">IF(OR(A72="",N(E72)=0),"",(N(K72)+N(L72))/E72*100)</f>
        <v/>
      </c>
      <c r="W72" s="73" t="str">
        <f aca="false">IF(OR(A72="",N(E72)=0),"",N(L72)/E72*1000)</f>
        <v/>
      </c>
      <c r="X72" s="75" t="str">
        <f aca="false">IF(A72="","",N(N72)-N(O72))</f>
        <v/>
      </c>
      <c r="Y72" s="73" t="str">
        <f aca="false">IF(OR(A72="",N(E72)=0),"",X72/E72*1000)</f>
        <v/>
      </c>
      <c r="Z72" s="72" t="str">
        <f aca="false">IF(OR(A72="",G72=""),"",IF(Q72="Short","n/a (Short)",IF(G72&gt;=Benchmarks!$E$5,"Elite",IF(G72&gt;=Benchmarks!$D$5,"Strong",IF(G72&gt;=Benchmarks!$C$5,"Average","Needs work")))))</f>
        <v/>
      </c>
      <c r="AA72" s="72" t="str">
        <f aca="false">IF(OR(A72="",I72=""),"",IF(Q72="Short",IF(I72&gt;=Benchmarks!$E$7,"Elite",IF(I72&gt;=Benchmarks!$D$7,"Strong",IF(I72&gt;=Benchmarks!$C$7,"Average","Needs work"))),IF(I72&gt;=Benchmarks!$E$6,"Elite",IF(I72&gt;=Benchmarks!$D$6,"Strong",IF(I72&gt;=Benchmarks!$C$6,"Average","Needs work")))))</f>
        <v/>
      </c>
      <c r="AB72" s="72" t="str">
        <f aca="false">IF(V72="","",IF(V72&gt;=Benchmarks!$E$8,"Elite",IF(V72&gt;=Benchmarks!$D$8,"Strong",IF(V72&gt;=Benchmarks!$C$8,"Average","Needs work"))))</f>
        <v/>
      </c>
      <c r="AC72" s="73" t="str">
        <f aca="false">IF(COUNT(AG72:AI72)=0,"",AVERAGE(AG72:AI72))</f>
        <v/>
      </c>
      <c r="AD72" s="37" t="str">
        <f aca="false">IF(A72="","",IF(Q72="Short",IF(AH72="","Add % viewed to diagnose",IF(AND(AH72&gt;=3,N(AI72)&gt;=3),"Winner Short — expand it into a long-form video",IF(AH72&lt;=1,"Hook problem — viewers swipe away in the first seconds",IF(AI72=1,"Watched but no reaction — end on a question or opinion","Solid Short — keep iterating")))),IF(OR(AG72="",AH72=""),"Add CTR &amp; % viewed to diagnose",IF(AND(AG72&gt;=3,AH72&gt;=3),"WINNER — make a sequel, series or Shorts from it",IF(AND(AG72&gt;=3,AH72&lt;=2),"Click but leave — intro too slow or title over-promises",IF(AND(AG72&lt;=2,AH72&gt;=3),"Great video, weak packaging — A/B test title + thumbnail",IF(AND(AG72=1,AH72=1),"Topic miss — don't repeat this angle","Average — sharpen the hook and the title")))))))</f>
        <v/>
      </c>
      <c r="AE72" s="76" t="str">
        <f aca="false">IF(OR(A72="",N(E72)=0),"",Q72&amp;"-"&amp;(COUNTIFS($Q$5:$Q$204,Q72,$E$5:$E$204,"&gt;"&amp;E72)+COUNTIFS($Q$5:Q72,Q72,$E$5:E72,E72)))</f>
        <v/>
      </c>
      <c r="AF72" s="77" t="str">
        <f aca="false">IF(AND(Q72="Long",N(F72)&gt;=Benchmarks!$C$15,G72&lt;&gt;""),G72,"")</f>
        <v/>
      </c>
      <c r="AG72" s="78" t="str">
        <f aca="false">IF(Z72="Elite",4,IF(Z72="Strong",3,IF(Z72="Average",2,IF(Z72="Needs work",1,""))))</f>
        <v/>
      </c>
      <c r="AH72" s="78" t="str">
        <f aca="false">IF(AA72="Elite",4,IF(AA72="Strong",3,IF(AA72="Average",2,IF(AA72="Needs work",1,""))))</f>
        <v/>
      </c>
      <c r="AI72" s="78" t="str">
        <f aca="false">IF(AB72="Elite",4,IF(AB72="Strong",3,IF(AB72="Average",2,IF(AB72="Needs work",1,""))))</f>
        <v/>
      </c>
    </row>
    <row r="73" customFormat="false" ht="15" hidden="false" customHeight="false" outlineLevel="0" collapsed="false">
      <c r="A73" s="64"/>
      <c r="B73" s="65"/>
      <c r="C73" s="66"/>
      <c r="D73" s="67"/>
      <c r="E73" s="67"/>
      <c r="F73" s="67"/>
      <c r="G73" s="68"/>
      <c r="H73" s="69"/>
      <c r="I73" s="68"/>
      <c r="J73" s="70"/>
      <c r="K73" s="67"/>
      <c r="L73" s="67"/>
      <c r="M73" s="67"/>
      <c r="N73" s="67"/>
      <c r="O73" s="67"/>
      <c r="P73" s="71"/>
      <c r="Q73" s="72" t="str">
        <f aca="false">IF(A73="","",IF(C73&lt;&gt;"",C73,IF(AND(D73&lt;&gt;"",D73&lt;=180),"Short","Long")))</f>
        <v/>
      </c>
      <c r="R73" s="73" t="str">
        <f aca="false">IF(OR(A73="",D73=""),"",D73/60)</f>
        <v/>
      </c>
      <c r="S73" s="72" t="str">
        <f aca="false">IF(OR(A73="",B73=""),"",IF(AND(B73&gt;=DATE(2026,4,1),B73&lt;=DATE(2026,6,30)),"Yes","No"))</f>
        <v/>
      </c>
      <c r="T73" s="72" t="str">
        <f aca="false">IF(OR(A73="",B73=""),"",CHOOSE(WEEKDAY(B73),"Sun","Mon","Tue","Wed","Thu","Fri","Sat"))</f>
        <v/>
      </c>
      <c r="U73" s="72" t="str">
        <f aca="false">IF(OR(Q73&lt;&gt;"Long",D73=""),"",IF(D73&lt;480,"Under 8 min",IF(D73&lt;900,"8–15 min",IF(D73&lt;1500,"15–25 min","25+ min"))))</f>
        <v/>
      </c>
      <c r="V73" s="74" t="str">
        <f aca="false">IF(OR(A73="",N(E73)=0),"",(N(K73)+N(L73))/E73*100)</f>
        <v/>
      </c>
      <c r="W73" s="73" t="str">
        <f aca="false">IF(OR(A73="",N(E73)=0),"",N(L73)/E73*1000)</f>
        <v/>
      </c>
      <c r="X73" s="75" t="str">
        <f aca="false">IF(A73="","",N(N73)-N(O73))</f>
        <v/>
      </c>
      <c r="Y73" s="73" t="str">
        <f aca="false">IF(OR(A73="",N(E73)=0),"",X73/E73*1000)</f>
        <v/>
      </c>
      <c r="Z73" s="72" t="str">
        <f aca="false">IF(OR(A73="",G73=""),"",IF(Q73="Short","n/a (Short)",IF(G73&gt;=Benchmarks!$E$5,"Elite",IF(G73&gt;=Benchmarks!$D$5,"Strong",IF(G73&gt;=Benchmarks!$C$5,"Average","Needs work")))))</f>
        <v/>
      </c>
      <c r="AA73" s="72" t="str">
        <f aca="false">IF(OR(A73="",I73=""),"",IF(Q73="Short",IF(I73&gt;=Benchmarks!$E$7,"Elite",IF(I73&gt;=Benchmarks!$D$7,"Strong",IF(I73&gt;=Benchmarks!$C$7,"Average","Needs work"))),IF(I73&gt;=Benchmarks!$E$6,"Elite",IF(I73&gt;=Benchmarks!$D$6,"Strong",IF(I73&gt;=Benchmarks!$C$6,"Average","Needs work")))))</f>
        <v/>
      </c>
      <c r="AB73" s="72" t="str">
        <f aca="false">IF(V73="","",IF(V73&gt;=Benchmarks!$E$8,"Elite",IF(V73&gt;=Benchmarks!$D$8,"Strong",IF(V73&gt;=Benchmarks!$C$8,"Average","Needs work"))))</f>
        <v/>
      </c>
      <c r="AC73" s="73" t="str">
        <f aca="false">IF(COUNT(AG73:AI73)=0,"",AVERAGE(AG73:AI73))</f>
        <v/>
      </c>
      <c r="AD73" s="37" t="str">
        <f aca="false">IF(A73="","",IF(Q73="Short",IF(AH73="","Add % viewed to diagnose",IF(AND(AH73&gt;=3,N(AI73)&gt;=3),"Winner Short — expand it into a long-form video",IF(AH73&lt;=1,"Hook problem — viewers swipe away in the first seconds",IF(AI73=1,"Watched but no reaction — end on a question or opinion","Solid Short — keep iterating")))),IF(OR(AG73="",AH73=""),"Add CTR &amp; % viewed to diagnose",IF(AND(AG73&gt;=3,AH73&gt;=3),"WINNER — make a sequel, series or Shorts from it",IF(AND(AG73&gt;=3,AH73&lt;=2),"Click but leave — intro too slow or title over-promises",IF(AND(AG73&lt;=2,AH73&gt;=3),"Great video, weak packaging — A/B test title + thumbnail",IF(AND(AG73=1,AH73=1),"Topic miss — don't repeat this angle","Average — sharpen the hook and the title")))))))</f>
        <v/>
      </c>
      <c r="AE73" s="76" t="str">
        <f aca="false">IF(OR(A73="",N(E73)=0),"",Q73&amp;"-"&amp;(COUNTIFS($Q$5:$Q$204,Q73,$E$5:$E$204,"&gt;"&amp;E73)+COUNTIFS($Q$5:Q73,Q73,$E$5:E73,E73)))</f>
        <v/>
      </c>
      <c r="AF73" s="77" t="str">
        <f aca="false">IF(AND(Q73="Long",N(F73)&gt;=Benchmarks!$C$15,G73&lt;&gt;""),G73,"")</f>
        <v/>
      </c>
      <c r="AG73" s="78" t="str">
        <f aca="false">IF(Z73="Elite",4,IF(Z73="Strong",3,IF(Z73="Average",2,IF(Z73="Needs work",1,""))))</f>
        <v/>
      </c>
      <c r="AH73" s="78" t="str">
        <f aca="false">IF(AA73="Elite",4,IF(AA73="Strong",3,IF(AA73="Average",2,IF(AA73="Needs work",1,""))))</f>
        <v/>
      </c>
      <c r="AI73" s="78" t="str">
        <f aca="false">IF(AB73="Elite",4,IF(AB73="Strong",3,IF(AB73="Average",2,IF(AB73="Needs work",1,""))))</f>
        <v/>
      </c>
    </row>
    <row r="74" customFormat="false" ht="15" hidden="false" customHeight="false" outlineLevel="0" collapsed="false">
      <c r="A74" s="64"/>
      <c r="B74" s="65"/>
      <c r="C74" s="66"/>
      <c r="D74" s="67"/>
      <c r="E74" s="67"/>
      <c r="F74" s="67"/>
      <c r="G74" s="68"/>
      <c r="H74" s="69"/>
      <c r="I74" s="68"/>
      <c r="J74" s="70"/>
      <c r="K74" s="67"/>
      <c r="L74" s="67"/>
      <c r="M74" s="67"/>
      <c r="N74" s="67"/>
      <c r="O74" s="67"/>
      <c r="P74" s="71"/>
      <c r="Q74" s="72" t="str">
        <f aca="false">IF(A74="","",IF(C74&lt;&gt;"",C74,IF(AND(D74&lt;&gt;"",D74&lt;=180),"Short","Long")))</f>
        <v/>
      </c>
      <c r="R74" s="73" t="str">
        <f aca="false">IF(OR(A74="",D74=""),"",D74/60)</f>
        <v/>
      </c>
      <c r="S74" s="72" t="str">
        <f aca="false">IF(OR(A74="",B74=""),"",IF(AND(B74&gt;=DATE(2026,4,1),B74&lt;=DATE(2026,6,30)),"Yes","No"))</f>
        <v/>
      </c>
      <c r="T74" s="72" t="str">
        <f aca="false">IF(OR(A74="",B74=""),"",CHOOSE(WEEKDAY(B74),"Sun","Mon","Tue","Wed","Thu","Fri","Sat"))</f>
        <v/>
      </c>
      <c r="U74" s="72" t="str">
        <f aca="false">IF(OR(Q74&lt;&gt;"Long",D74=""),"",IF(D74&lt;480,"Under 8 min",IF(D74&lt;900,"8–15 min",IF(D74&lt;1500,"15–25 min","25+ min"))))</f>
        <v/>
      </c>
      <c r="V74" s="74" t="str">
        <f aca="false">IF(OR(A74="",N(E74)=0),"",(N(K74)+N(L74))/E74*100)</f>
        <v/>
      </c>
      <c r="W74" s="73" t="str">
        <f aca="false">IF(OR(A74="",N(E74)=0),"",N(L74)/E74*1000)</f>
        <v/>
      </c>
      <c r="X74" s="75" t="str">
        <f aca="false">IF(A74="","",N(N74)-N(O74))</f>
        <v/>
      </c>
      <c r="Y74" s="73" t="str">
        <f aca="false">IF(OR(A74="",N(E74)=0),"",X74/E74*1000)</f>
        <v/>
      </c>
      <c r="Z74" s="72" t="str">
        <f aca="false">IF(OR(A74="",G74=""),"",IF(Q74="Short","n/a (Short)",IF(G74&gt;=Benchmarks!$E$5,"Elite",IF(G74&gt;=Benchmarks!$D$5,"Strong",IF(G74&gt;=Benchmarks!$C$5,"Average","Needs work")))))</f>
        <v/>
      </c>
      <c r="AA74" s="72" t="str">
        <f aca="false">IF(OR(A74="",I74=""),"",IF(Q74="Short",IF(I74&gt;=Benchmarks!$E$7,"Elite",IF(I74&gt;=Benchmarks!$D$7,"Strong",IF(I74&gt;=Benchmarks!$C$7,"Average","Needs work"))),IF(I74&gt;=Benchmarks!$E$6,"Elite",IF(I74&gt;=Benchmarks!$D$6,"Strong",IF(I74&gt;=Benchmarks!$C$6,"Average","Needs work")))))</f>
        <v/>
      </c>
      <c r="AB74" s="72" t="str">
        <f aca="false">IF(V74="","",IF(V74&gt;=Benchmarks!$E$8,"Elite",IF(V74&gt;=Benchmarks!$D$8,"Strong",IF(V74&gt;=Benchmarks!$C$8,"Average","Needs work"))))</f>
        <v/>
      </c>
      <c r="AC74" s="73" t="str">
        <f aca="false">IF(COUNT(AG74:AI74)=0,"",AVERAGE(AG74:AI74))</f>
        <v/>
      </c>
      <c r="AD74" s="37" t="str">
        <f aca="false">IF(A74="","",IF(Q74="Short",IF(AH74="","Add % viewed to diagnose",IF(AND(AH74&gt;=3,N(AI74)&gt;=3),"Winner Short — expand it into a long-form video",IF(AH74&lt;=1,"Hook problem — viewers swipe away in the first seconds",IF(AI74=1,"Watched but no reaction — end on a question or opinion","Solid Short — keep iterating")))),IF(OR(AG74="",AH74=""),"Add CTR &amp; % viewed to diagnose",IF(AND(AG74&gt;=3,AH74&gt;=3),"WINNER — make a sequel, series or Shorts from it",IF(AND(AG74&gt;=3,AH74&lt;=2),"Click but leave — intro too slow or title over-promises",IF(AND(AG74&lt;=2,AH74&gt;=3),"Great video, weak packaging — A/B test title + thumbnail",IF(AND(AG74=1,AH74=1),"Topic miss — don't repeat this angle","Average — sharpen the hook and the title")))))))</f>
        <v/>
      </c>
      <c r="AE74" s="76" t="str">
        <f aca="false">IF(OR(A74="",N(E74)=0),"",Q74&amp;"-"&amp;(COUNTIFS($Q$5:$Q$204,Q74,$E$5:$E$204,"&gt;"&amp;E74)+COUNTIFS($Q$5:Q74,Q74,$E$5:E74,E74)))</f>
        <v/>
      </c>
      <c r="AF74" s="77" t="str">
        <f aca="false">IF(AND(Q74="Long",N(F74)&gt;=Benchmarks!$C$15,G74&lt;&gt;""),G74,"")</f>
        <v/>
      </c>
      <c r="AG74" s="78" t="str">
        <f aca="false">IF(Z74="Elite",4,IF(Z74="Strong",3,IF(Z74="Average",2,IF(Z74="Needs work",1,""))))</f>
        <v/>
      </c>
      <c r="AH74" s="78" t="str">
        <f aca="false">IF(AA74="Elite",4,IF(AA74="Strong",3,IF(AA74="Average",2,IF(AA74="Needs work",1,""))))</f>
        <v/>
      </c>
      <c r="AI74" s="78" t="str">
        <f aca="false">IF(AB74="Elite",4,IF(AB74="Strong",3,IF(AB74="Average",2,IF(AB74="Needs work",1,""))))</f>
        <v/>
      </c>
    </row>
    <row r="75" customFormat="false" ht="15" hidden="false" customHeight="false" outlineLevel="0" collapsed="false">
      <c r="A75" s="64"/>
      <c r="B75" s="65"/>
      <c r="C75" s="66"/>
      <c r="D75" s="67"/>
      <c r="E75" s="67"/>
      <c r="F75" s="67"/>
      <c r="G75" s="68"/>
      <c r="H75" s="69"/>
      <c r="I75" s="68"/>
      <c r="J75" s="70"/>
      <c r="K75" s="67"/>
      <c r="L75" s="67"/>
      <c r="M75" s="67"/>
      <c r="N75" s="67"/>
      <c r="O75" s="67"/>
      <c r="P75" s="71"/>
      <c r="Q75" s="72" t="str">
        <f aca="false">IF(A75="","",IF(C75&lt;&gt;"",C75,IF(AND(D75&lt;&gt;"",D75&lt;=180),"Short","Long")))</f>
        <v/>
      </c>
      <c r="R75" s="73" t="str">
        <f aca="false">IF(OR(A75="",D75=""),"",D75/60)</f>
        <v/>
      </c>
      <c r="S75" s="72" t="str">
        <f aca="false">IF(OR(A75="",B75=""),"",IF(AND(B75&gt;=DATE(2026,4,1),B75&lt;=DATE(2026,6,30)),"Yes","No"))</f>
        <v/>
      </c>
      <c r="T75" s="72" t="str">
        <f aca="false">IF(OR(A75="",B75=""),"",CHOOSE(WEEKDAY(B75),"Sun","Mon","Tue","Wed","Thu","Fri","Sat"))</f>
        <v/>
      </c>
      <c r="U75" s="72" t="str">
        <f aca="false">IF(OR(Q75&lt;&gt;"Long",D75=""),"",IF(D75&lt;480,"Under 8 min",IF(D75&lt;900,"8–15 min",IF(D75&lt;1500,"15–25 min","25+ min"))))</f>
        <v/>
      </c>
      <c r="V75" s="74" t="str">
        <f aca="false">IF(OR(A75="",N(E75)=0),"",(N(K75)+N(L75))/E75*100)</f>
        <v/>
      </c>
      <c r="W75" s="73" t="str">
        <f aca="false">IF(OR(A75="",N(E75)=0),"",N(L75)/E75*1000)</f>
        <v/>
      </c>
      <c r="X75" s="75" t="str">
        <f aca="false">IF(A75="","",N(N75)-N(O75))</f>
        <v/>
      </c>
      <c r="Y75" s="73" t="str">
        <f aca="false">IF(OR(A75="",N(E75)=0),"",X75/E75*1000)</f>
        <v/>
      </c>
      <c r="Z75" s="72" t="str">
        <f aca="false">IF(OR(A75="",G75=""),"",IF(Q75="Short","n/a (Short)",IF(G75&gt;=Benchmarks!$E$5,"Elite",IF(G75&gt;=Benchmarks!$D$5,"Strong",IF(G75&gt;=Benchmarks!$C$5,"Average","Needs work")))))</f>
        <v/>
      </c>
      <c r="AA75" s="72" t="str">
        <f aca="false">IF(OR(A75="",I75=""),"",IF(Q75="Short",IF(I75&gt;=Benchmarks!$E$7,"Elite",IF(I75&gt;=Benchmarks!$D$7,"Strong",IF(I75&gt;=Benchmarks!$C$7,"Average","Needs work"))),IF(I75&gt;=Benchmarks!$E$6,"Elite",IF(I75&gt;=Benchmarks!$D$6,"Strong",IF(I75&gt;=Benchmarks!$C$6,"Average","Needs work")))))</f>
        <v/>
      </c>
      <c r="AB75" s="72" t="str">
        <f aca="false">IF(V75="","",IF(V75&gt;=Benchmarks!$E$8,"Elite",IF(V75&gt;=Benchmarks!$D$8,"Strong",IF(V75&gt;=Benchmarks!$C$8,"Average","Needs work"))))</f>
        <v/>
      </c>
      <c r="AC75" s="73" t="str">
        <f aca="false">IF(COUNT(AG75:AI75)=0,"",AVERAGE(AG75:AI75))</f>
        <v/>
      </c>
      <c r="AD75" s="37" t="str">
        <f aca="false">IF(A75="","",IF(Q75="Short",IF(AH75="","Add % viewed to diagnose",IF(AND(AH75&gt;=3,N(AI75)&gt;=3),"Winner Short — expand it into a long-form video",IF(AH75&lt;=1,"Hook problem — viewers swipe away in the first seconds",IF(AI75=1,"Watched but no reaction — end on a question or opinion","Solid Short — keep iterating")))),IF(OR(AG75="",AH75=""),"Add CTR &amp; % viewed to diagnose",IF(AND(AG75&gt;=3,AH75&gt;=3),"WINNER — make a sequel, series or Shorts from it",IF(AND(AG75&gt;=3,AH75&lt;=2),"Click but leave — intro too slow or title over-promises",IF(AND(AG75&lt;=2,AH75&gt;=3),"Great video, weak packaging — A/B test title + thumbnail",IF(AND(AG75=1,AH75=1),"Topic miss — don't repeat this angle","Average — sharpen the hook and the title")))))))</f>
        <v/>
      </c>
      <c r="AE75" s="76" t="str">
        <f aca="false">IF(OR(A75="",N(E75)=0),"",Q75&amp;"-"&amp;(COUNTIFS($Q$5:$Q$204,Q75,$E$5:$E$204,"&gt;"&amp;E75)+COUNTIFS($Q$5:Q75,Q75,$E$5:E75,E75)))</f>
        <v/>
      </c>
      <c r="AF75" s="77" t="str">
        <f aca="false">IF(AND(Q75="Long",N(F75)&gt;=Benchmarks!$C$15,G75&lt;&gt;""),G75,"")</f>
        <v/>
      </c>
      <c r="AG75" s="78" t="str">
        <f aca="false">IF(Z75="Elite",4,IF(Z75="Strong",3,IF(Z75="Average",2,IF(Z75="Needs work",1,""))))</f>
        <v/>
      </c>
      <c r="AH75" s="78" t="str">
        <f aca="false">IF(AA75="Elite",4,IF(AA75="Strong",3,IF(AA75="Average",2,IF(AA75="Needs work",1,""))))</f>
        <v/>
      </c>
      <c r="AI75" s="78" t="str">
        <f aca="false">IF(AB75="Elite",4,IF(AB75="Strong",3,IF(AB75="Average",2,IF(AB75="Needs work",1,""))))</f>
        <v/>
      </c>
    </row>
    <row r="76" customFormat="false" ht="15" hidden="false" customHeight="false" outlineLevel="0" collapsed="false">
      <c r="A76" s="64"/>
      <c r="B76" s="65"/>
      <c r="C76" s="66"/>
      <c r="D76" s="67"/>
      <c r="E76" s="67"/>
      <c r="F76" s="67"/>
      <c r="G76" s="68"/>
      <c r="H76" s="69"/>
      <c r="I76" s="68"/>
      <c r="J76" s="70"/>
      <c r="K76" s="67"/>
      <c r="L76" s="67"/>
      <c r="M76" s="67"/>
      <c r="N76" s="67"/>
      <c r="O76" s="67"/>
      <c r="P76" s="71"/>
      <c r="Q76" s="72" t="str">
        <f aca="false">IF(A76="","",IF(C76&lt;&gt;"",C76,IF(AND(D76&lt;&gt;"",D76&lt;=180),"Short","Long")))</f>
        <v/>
      </c>
      <c r="R76" s="73" t="str">
        <f aca="false">IF(OR(A76="",D76=""),"",D76/60)</f>
        <v/>
      </c>
      <c r="S76" s="72" t="str">
        <f aca="false">IF(OR(A76="",B76=""),"",IF(AND(B76&gt;=DATE(2026,4,1),B76&lt;=DATE(2026,6,30)),"Yes","No"))</f>
        <v/>
      </c>
      <c r="T76" s="72" t="str">
        <f aca="false">IF(OR(A76="",B76=""),"",CHOOSE(WEEKDAY(B76),"Sun","Mon","Tue","Wed","Thu","Fri","Sat"))</f>
        <v/>
      </c>
      <c r="U76" s="72" t="str">
        <f aca="false">IF(OR(Q76&lt;&gt;"Long",D76=""),"",IF(D76&lt;480,"Under 8 min",IF(D76&lt;900,"8–15 min",IF(D76&lt;1500,"15–25 min","25+ min"))))</f>
        <v/>
      </c>
      <c r="V76" s="74" t="str">
        <f aca="false">IF(OR(A76="",N(E76)=0),"",(N(K76)+N(L76))/E76*100)</f>
        <v/>
      </c>
      <c r="W76" s="73" t="str">
        <f aca="false">IF(OR(A76="",N(E76)=0),"",N(L76)/E76*1000)</f>
        <v/>
      </c>
      <c r="X76" s="75" t="str">
        <f aca="false">IF(A76="","",N(N76)-N(O76))</f>
        <v/>
      </c>
      <c r="Y76" s="73" t="str">
        <f aca="false">IF(OR(A76="",N(E76)=0),"",X76/E76*1000)</f>
        <v/>
      </c>
      <c r="Z76" s="72" t="str">
        <f aca="false">IF(OR(A76="",G76=""),"",IF(Q76="Short","n/a (Short)",IF(G76&gt;=Benchmarks!$E$5,"Elite",IF(G76&gt;=Benchmarks!$D$5,"Strong",IF(G76&gt;=Benchmarks!$C$5,"Average","Needs work")))))</f>
        <v/>
      </c>
      <c r="AA76" s="72" t="str">
        <f aca="false">IF(OR(A76="",I76=""),"",IF(Q76="Short",IF(I76&gt;=Benchmarks!$E$7,"Elite",IF(I76&gt;=Benchmarks!$D$7,"Strong",IF(I76&gt;=Benchmarks!$C$7,"Average","Needs work"))),IF(I76&gt;=Benchmarks!$E$6,"Elite",IF(I76&gt;=Benchmarks!$D$6,"Strong",IF(I76&gt;=Benchmarks!$C$6,"Average","Needs work")))))</f>
        <v/>
      </c>
      <c r="AB76" s="72" t="str">
        <f aca="false">IF(V76="","",IF(V76&gt;=Benchmarks!$E$8,"Elite",IF(V76&gt;=Benchmarks!$D$8,"Strong",IF(V76&gt;=Benchmarks!$C$8,"Average","Needs work"))))</f>
        <v/>
      </c>
      <c r="AC76" s="73" t="str">
        <f aca="false">IF(COUNT(AG76:AI76)=0,"",AVERAGE(AG76:AI76))</f>
        <v/>
      </c>
      <c r="AD76" s="37" t="str">
        <f aca="false">IF(A76="","",IF(Q76="Short",IF(AH76="","Add % viewed to diagnose",IF(AND(AH76&gt;=3,N(AI76)&gt;=3),"Winner Short — expand it into a long-form video",IF(AH76&lt;=1,"Hook problem — viewers swipe away in the first seconds",IF(AI76=1,"Watched but no reaction — end on a question or opinion","Solid Short — keep iterating")))),IF(OR(AG76="",AH76=""),"Add CTR &amp; % viewed to diagnose",IF(AND(AG76&gt;=3,AH76&gt;=3),"WINNER — make a sequel, series or Shorts from it",IF(AND(AG76&gt;=3,AH76&lt;=2),"Click but leave — intro too slow or title over-promises",IF(AND(AG76&lt;=2,AH76&gt;=3),"Great video, weak packaging — A/B test title + thumbnail",IF(AND(AG76=1,AH76=1),"Topic miss — don't repeat this angle","Average — sharpen the hook and the title")))))))</f>
        <v/>
      </c>
      <c r="AE76" s="76" t="str">
        <f aca="false">IF(OR(A76="",N(E76)=0),"",Q76&amp;"-"&amp;(COUNTIFS($Q$5:$Q$204,Q76,$E$5:$E$204,"&gt;"&amp;E76)+COUNTIFS($Q$5:Q76,Q76,$E$5:E76,E76)))</f>
        <v/>
      </c>
      <c r="AF76" s="77" t="str">
        <f aca="false">IF(AND(Q76="Long",N(F76)&gt;=Benchmarks!$C$15,G76&lt;&gt;""),G76,"")</f>
        <v/>
      </c>
      <c r="AG76" s="78" t="str">
        <f aca="false">IF(Z76="Elite",4,IF(Z76="Strong",3,IF(Z76="Average",2,IF(Z76="Needs work",1,""))))</f>
        <v/>
      </c>
      <c r="AH76" s="78" t="str">
        <f aca="false">IF(AA76="Elite",4,IF(AA76="Strong",3,IF(AA76="Average",2,IF(AA76="Needs work",1,""))))</f>
        <v/>
      </c>
      <c r="AI76" s="78" t="str">
        <f aca="false">IF(AB76="Elite",4,IF(AB76="Strong",3,IF(AB76="Average",2,IF(AB76="Needs work",1,""))))</f>
        <v/>
      </c>
    </row>
    <row r="77" customFormat="false" ht="15" hidden="false" customHeight="false" outlineLevel="0" collapsed="false">
      <c r="A77" s="64"/>
      <c r="B77" s="65"/>
      <c r="C77" s="66"/>
      <c r="D77" s="67"/>
      <c r="E77" s="67"/>
      <c r="F77" s="67"/>
      <c r="G77" s="68"/>
      <c r="H77" s="69"/>
      <c r="I77" s="68"/>
      <c r="J77" s="70"/>
      <c r="K77" s="67"/>
      <c r="L77" s="67"/>
      <c r="M77" s="67"/>
      <c r="N77" s="67"/>
      <c r="O77" s="67"/>
      <c r="P77" s="71"/>
      <c r="Q77" s="72" t="str">
        <f aca="false">IF(A77="","",IF(C77&lt;&gt;"",C77,IF(AND(D77&lt;&gt;"",D77&lt;=180),"Short","Long")))</f>
        <v/>
      </c>
      <c r="R77" s="73" t="str">
        <f aca="false">IF(OR(A77="",D77=""),"",D77/60)</f>
        <v/>
      </c>
      <c r="S77" s="72" t="str">
        <f aca="false">IF(OR(A77="",B77=""),"",IF(AND(B77&gt;=DATE(2026,4,1),B77&lt;=DATE(2026,6,30)),"Yes","No"))</f>
        <v/>
      </c>
      <c r="T77" s="72" t="str">
        <f aca="false">IF(OR(A77="",B77=""),"",CHOOSE(WEEKDAY(B77),"Sun","Mon","Tue","Wed","Thu","Fri","Sat"))</f>
        <v/>
      </c>
      <c r="U77" s="72" t="str">
        <f aca="false">IF(OR(Q77&lt;&gt;"Long",D77=""),"",IF(D77&lt;480,"Under 8 min",IF(D77&lt;900,"8–15 min",IF(D77&lt;1500,"15–25 min","25+ min"))))</f>
        <v/>
      </c>
      <c r="V77" s="74" t="str">
        <f aca="false">IF(OR(A77="",N(E77)=0),"",(N(K77)+N(L77))/E77*100)</f>
        <v/>
      </c>
      <c r="W77" s="73" t="str">
        <f aca="false">IF(OR(A77="",N(E77)=0),"",N(L77)/E77*1000)</f>
        <v/>
      </c>
      <c r="X77" s="75" t="str">
        <f aca="false">IF(A77="","",N(N77)-N(O77))</f>
        <v/>
      </c>
      <c r="Y77" s="73" t="str">
        <f aca="false">IF(OR(A77="",N(E77)=0),"",X77/E77*1000)</f>
        <v/>
      </c>
      <c r="Z77" s="72" t="str">
        <f aca="false">IF(OR(A77="",G77=""),"",IF(Q77="Short","n/a (Short)",IF(G77&gt;=Benchmarks!$E$5,"Elite",IF(G77&gt;=Benchmarks!$D$5,"Strong",IF(G77&gt;=Benchmarks!$C$5,"Average","Needs work")))))</f>
        <v/>
      </c>
      <c r="AA77" s="72" t="str">
        <f aca="false">IF(OR(A77="",I77=""),"",IF(Q77="Short",IF(I77&gt;=Benchmarks!$E$7,"Elite",IF(I77&gt;=Benchmarks!$D$7,"Strong",IF(I77&gt;=Benchmarks!$C$7,"Average","Needs work"))),IF(I77&gt;=Benchmarks!$E$6,"Elite",IF(I77&gt;=Benchmarks!$D$6,"Strong",IF(I77&gt;=Benchmarks!$C$6,"Average","Needs work")))))</f>
        <v/>
      </c>
      <c r="AB77" s="72" t="str">
        <f aca="false">IF(V77="","",IF(V77&gt;=Benchmarks!$E$8,"Elite",IF(V77&gt;=Benchmarks!$D$8,"Strong",IF(V77&gt;=Benchmarks!$C$8,"Average","Needs work"))))</f>
        <v/>
      </c>
      <c r="AC77" s="73" t="str">
        <f aca="false">IF(COUNT(AG77:AI77)=0,"",AVERAGE(AG77:AI77))</f>
        <v/>
      </c>
      <c r="AD77" s="37" t="str">
        <f aca="false">IF(A77="","",IF(Q77="Short",IF(AH77="","Add % viewed to diagnose",IF(AND(AH77&gt;=3,N(AI77)&gt;=3),"Winner Short — expand it into a long-form video",IF(AH77&lt;=1,"Hook problem — viewers swipe away in the first seconds",IF(AI77=1,"Watched but no reaction — end on a question or opinion","Solid Short — keep iterating")))),IF(OR(AG77="",AH77=""),"Add CTR &amp; % viewed to diagnose",IF(AND(AG77&gt;=3,AH77&gt;=3),"WINNER — make a sequel, series or Shorts from it",IF(AND(AG77&gt;=3,AH77&lt;=2),"Click but leave — intro too slow or title over-promises",IF(AND(AG77&lt;=2,AH77&gt;=3),"Great video, weak packaging — A/B test title + thumbnail",IF(AND(AG77=1,AH77=1),"Topic miss — don't repeat this angle","Average — sharpen the hook and the title")))))))</f>
        <v/>
      </c>
      <c r="AE77" s="76" t="str">
        <f aca="false">IF(OR(A77="",N(E77)=0),"",Q77&amp;"-"&amp;(COUNTIFS($Q$5:$Q$204,Q77,$E$5:$E$204,"&gt;"&amp;E77)+COUNTIFS($Q$5:Q77,Q77,$E$5:E77,E77)))</f>
        <v/>
      </c>
      <c r="AF77" s="77" t="str">
        <f aca="false">IF(AND(Q77="Long",N(F77)&gt;=Benchmarks!$C$15,G77&lt;&gt;""),G77,"")</f>
        <v/>
      </c>
      <c r="AG77" s="78" t="str">
        <f aca="false">IF(Z77="Elite",4,IF(Z77="Strong",3,IF(Z77="Average",2,IF(Z77="Needs work",1,""))))</f>
        <v/>
      </c>
      <c r="AH77" s="78" t="str">
        <f aca="false">IF(AA77="Elite",4,IF(AA77="Strong",3,IF(AA77="Average",2,IF(AA77="Needs work",1,""))))</f>
        <v/>
      </c>
      <c r="AI77" s="78" t="str">
        <f aca="false">IF(AB77="Elite",4,IF(AB77="Strong",3,IF(AB77="Average",2,IF(AB77="Needs work",1,""))))</f>
        <v/>
      </c>
    </row>
    <row r="78" customFormat="false" ht="15" hidden="false" customHeight="false" outlineLevel="0" collapsed="false">
      <c r="A78" s="64"/>
      <c r="B78" s="65"/>
      <c r="C78" s="66"/>
      <c r="D78" s="67"/>
      <c r="E78" s="67"/>
      <c r="F78" s="67"/>
      <c r="G78" s="68"/>
      <c r="H78" s="69"/>
      <c r="I78" s="68"/>
      <c r="J78" s="70"/>
      <c r="K78" s="67"/>
      <c r="L78" s="67"/>
      <c r="M78" s="67"/>
      <c r="N78" s="67"/>
      <c r="O78" s="67"/>
      <c r="P78" s="71"/>
      <c r="Q78" s="72" t="str">
        <f aca="false">IF(A78="","",IF(C78&lt;&gt;"",C78,IF(AND(D78&lt;&gt;"",D78&lt;=180),"Short","Long")))</f>
        <v/>
      </c>
      <c r="R78" s="73" t="str">
        <f aca="false">IF(OR(A78="",D78=""),"",D78/60)</f>
        <v/>
      </c>
      <c r="S78" s="72" t="str">
        <f aca="false">IF(OR(A78="",B78=""),"",IF(AND(B78&gt;=DATE(2026,4,1),B78&lt;=DATE(2026,6,30)),"Yes","No"))</f>
        <v/>
      </c>
      <c r="T78" s="72" t="str">
        <f aca="false">IF(OR(A78="",B78=""),"",CHOOSE(WEEKDAY(B78),"Sun","Mon","Tue","Wed","Thu","Fri","Sat"))</f>
        <v/>
      </c>
      <c r="U78" s="72" t="str">
        <f aca="false">IF(OR(Q78&lt;&gt;"Long",D78=""),"",IF(D78&lt;480,"Under 8 min",IF(D78&lt;900,"8–15 min",IF(D78&lt;1500,"15–25 min","25+ min"))))</f>
        <v/>
      </c>
      <c r="V78" s="74" t="str">
        <f aca="false">IF(OR(A78="",N(E78)=0),"",(N(K78)+N(L78))/E78*100)</f>
        <v/>
      </c>
      <c r="W78" s="73" t="str">
        <f aca="false">IF(OR(A78="",N(E78)=0),"",N(L78)/E78*1000)</f>
        <v/>
      </c>
      <c r="X78" s="75" t="str">
        <f aca="false">IF(A78="","",N(N78)-N(O78))</f>
        <v/>
      </c>
      <c r="Y78" s="73" t="str">
        <f aca="false">IF(OR(A78="",N(E78)=0),"",X78/E78*1000)</f>
        <v/>
      </c>
      <c r="Z78" s="72" t="str">
        <f aca="false">IF(OR(A78="",G78=""),"",IF(Q78="Short","n/a (Short)",IF(G78&gt;=Benchmarks!$E$5,"Elite",IF(G78&gt;=Benchmarks!$D$5,"Strong",IF(G78&gt;=Benchmarks!$C$5,"Average","Needs work")))))</f>
        <v/>
      </c>
      <c r="AA78" s="72" t="str">
        <f aca="false">IF(OR(A78="",I78=""),"",IF(Q78="Short",IF(I78&gt;=Benchmarks!$E$7,"Elite",IF(I78&gt;=Benchmarks!$D$7,"Strong",IF(I78&gt;=Benchmarks!$C$7,"Average","Needs work"))),IF(I78&gt;=Benchmarks!$E$6,"Elite",IF(I78&gt;=Benchmarks!$D$6,"Strong",IF(I78&gt;=Benchmarks!$C$6,"Average","Needs work")))))</f>
        <v/>
      </c>
      <c r="AB78" s="72" t="str">
        <f aca="false">IF(V78="","",IF(V78&gt;=Benchmarks!$E$8,"Elite",IF(V78&gt;=Benchmarks!$D$8,"Strong",IF(V78&gt;=Benchmarks!$C$8,"Average","Needs work"))))</f>
        <v/>
      </c>
      <c r="AC78" s="73" t="str">
        <f aca="false">IF(COUNT(AG78:AI78)=0,"",AVERAGE(AG78:AI78))</f>
        <v/>
      </c>
      <c r="AD78" s="37" t="str">
        <f aca="false">IF(A78="","",IF(Q78="Short",IF(AH78="","Add % viewed to diagnose",IF(AND(AH78&gt;=3,N(AI78)&gt;=3),"Winner Short — expand it into a long-form video",IF(AH78&lt;=1,"Hook problem — viewers swipe away in the first seconds",IF(AI78=1,"Watched but no reaction — end on a question or opinion","Solid Short — keep iterating")))),IF(OR(AG78="",AH78=""),"Add CTR &amp; % viewed to diagnose",IF(AND(AG78&gt;=3,AH78&gt;=3),"WINNER — make a sequel, series or Shorts from it",IF(AND(AG78&gt;=3,AH78&lt;=2),"Click but leave — intro too slow or title over-promises",IF(AND(AG78&lt;=2,AH78&gt;=3),"Great video, weak packaging — A/B test title + thumbnail",IF(AND(AG78=1,AH78=1),"Topic miss — don't repeat this angle","Average — sharpen the hook and the title")))))))</f>
        <v/>
      </c>
      <c r="AE78" s="76" t="str">
        <f aca="false">IF(OR(A78="",N(E78)=0),"",Q78&amp;"-"&amp;(COUNTIFS($Q$5:$Q$204,Q78,$E$5:$E$204,"&gt;"&amp;E78)+COUNTIFS($Q$5:Q78,Q78,$E$5:E78,E78)))</f>
        <v/>
      </c>
      <c r="AF78" s="77" t="str">
        <f aca="false">IF(AND(Q78="Long",N(F78)&gt;=Benchmarks!$C$15,G78&lt;&gt;""),G78,"")</f>
        <v/>
      </c>
      <c r="AG78" s="78" t="str">
        <f aca="false">IF(Z78="Elite",4,IF(Z78="Strong",3,IF(Z78="Average",2,IF(Z78="Needs work",1,""))))</f>
        <v/>
      </c>
      <c r="AH78" s="78" t="str">
        <f aca="false">IF(AA78="Elite",4,IF(AA78="Strong",3,IF(AA78="Average",2,IF(AA78="Needs work",1,""))))</f>
        <v/>
      </c>
      <c r="AI78" s="78" t="str">
        <f aca="false">IF(AB78="Elite",4,IF(AB78="Strong",3,IF(AB78="Average",2,IF(AB78="Needs work",1,""))))</f>
        <v/>
      </c>
    </row>
    <row r="79" customFormat="false" ht="15" hidden="false" customHeight="false" outlineLevel="0" collapsed="false">
      <c r="A79" s="64"/>
      <c r="B79" s="65"/>
      <c r="C79" s="66"/>
      <c r="D79" s="67"/>
      <c r="E79" s="67"/>
      <c r="F79" s="67"/>
      <c r="G79" s="68"/>
      <c r="H79" s="69"/>
      <c r="I79" s="68"/>
      <c r="J79" s="70"/>
      <c r="K79" s="67"/>
      <c r="L79" s="67"/>
      <c r="M79" s="67"/>
      <c r="N79" s="67"/>
      <c r="O79" s="67"/>
      <c r="P79" s="71"/>
      <c r="Q79" s="72" t="str">
        <f aca="false">IF(A79="","",IF(C79&lt;&gt;"",C79,IF(AND(D79&lt;&gt;"",D79&lt;=180),"Short","Long")))</f>
        <v/>
      </c>
      <c r="R79" s="73" t="str">
        <f aca="false">IF(OR(A79="",D79=""),"",D79/60)</f>
        <v/>
      </c>
      <c r="S79" s="72" t="str">
        <f aca="false">IF(OR(A79="",B79=""),"",IF(AND(B79&gt;=DATE(2026,4,1),B79&lt;=DATE(2026,6,30)),"Yes","No"))</f>
        <v/>
      </c>
      <c r="T79" s="72" t="str">
        <f aca="false">IF(OR(A79="",B79=""),"",CHOOSE(WEEKDAY(B79),"Sun","Mon","Tue","Wed","Thu","Fri","Sat"))</f>
        <v/>
      </c>
      <c r="U79" s="72" t="str">
        <f aca="false">IF(OR(Q79&lt;&gt;"Long",D79=""),"",IF(D79&lt;480,"Under 8 min",IF(D79&lt;900,"8–15 min",IF(D79&lt;1500,"15–25 min","25+ min"))))</f>
        <v/>
      </c>
      <c r="V79" s="74" t="str">
        <f aca="false">IF(OR(A79="",N(E79)=0),"",(N(K79)+N(L79))/E79*100)</f>
        <v/>
      </c>
      <c r="W79" s="73" t="str">
        <f aca="false">IF(OR(A79="",N(E79)=0),"",N(L79)/E79*1000)</f>
        <v/>
      </c>
      <c r="X79" s="75" t="str">
        <f aca="false">IF(A79="","",N(N79)-N(O79))</f>
        <v/>
      </c>
      <c r="Y79" s="73" t="str">
        <f aca="false">IF(OR(A79="",N(E79)=0),"",X79/E79*1000)</f>
        <v/>
      </c>
      <c r="Z79" s="72" t="str">
        <f aca="false">IF(OR(A79="",G79=""),"",IF(Q79="Short","n/a (Short)",IF(G79&gt;=Benchmarks!$E$5,"Elite",IF(G79&gt;=Benchmarks!$D$5,"Strong",IF(G79&gt;=Benchmarks!$C$5,"Average","Needs work")))))</f>
        <v/>
      </c>
      <c r="AA79" s="72" t="str">
        <f aca="false">IF(OR(A79="",I79=""),"",IF(Q79="Short",IF(I79&gt;=Benchmarks!$E$7,"Elite",IF(I79&gt;=Benchmarks!$D$7,"Strong",IF(I79&gt;=Benchmarks!$C$7,"Average","Needs work"))),IF(I79&gt;=Benchmarks!$E$6,"Elite",IF(I79&gt;=Benchmarks!$D$6,"Strong",IF(I79&gt;=Benchmarks!$C$6,"Average","Needs work")))))</f>
        <v/>
      </c>
      <c r="AB79" s="72" t="str">
        <f aca="false">IF(V79="","",IF(V79&gt;=Benchmarks!$E$8,"Elite",IF(V79&gt;=Benchmarks!$D$8,"Strong",IF(V79&gt;=Benchmarks!$C$8,"Average","Needs work"))))</f>
        <v/>
      </c>
      <c r="AC79" s="73" t="str">
        <f aca="false">IF(COUNT(AG79:AI79)=0,"",AVERAGE(AG79:AI79))</f>
        <v/>
      </c>
      <c r="AD79" s="37" t="str">
        <f aca="false">IF(A79="","",IF(Q79="Short",IF(AH79="","Add % viewed to diagnose",IF(AND(AH79&gt;=3,N(AI79)&gt;=3),"Winner Short — expand it into a long-form video",IF(AH79&lt;=1,"Hook problem — viewers swipe away in the first seconds",IF(AI79=1,"Watched but no reaction — end on a question or opinion","Solid Short — keep iterating")))),IF(OR(AG79="",AH79=""),"Add CTR &amp; % viewed to diagnose",IF(AND(AG79&gt;=3,AH79&gt;=3),"WINNER — make a sequel, series or Shorts from it",IF(AND(AG79&gt;=3,AH79&lt;=2),"Click but leave — intro too slow or title over-promises",IF(AND(AG79&lt;=2,AH79&gt;=3),"Great video, weak packaging — A/B test title + thumbnail",IF(AND(AG79=1,AH79=1),"Topic miss — don't repeat this angle","Average — sharpen the hook and the title")))))))</f>
        <v/>
      </c>
      <c r="AE79" s="76" t="str">
        <f aca="false">IF(OR(A79="",N(E79)=0),"",Q79&amp;"-"&amp;(COUNTIFS($Q$5:$Q$204,Q79,$E$5:$E$204,"&gt;"&amp;E79)+COUNTIFS($Q$5:Q79,Q79,$E$5:E79,E79)))</f>
        <v/>
      </c>
      <c r="AF79" s="77" t="str">
        <f aca="false">IF(AND(Q79="Long",N(F79)&gt;=Benchmarks!$C$15,G79&lt;&gt;""),G79,"")</f>
        <v/>
      </c>
      <c r="AG79" s="78" t="str">
        <f aca="false">IF(Z79="Elite",4,IF(Z79="Strong",3,IF(Z79="Average",2,IF(Z79="Needs work",1,""))))</f>
        <v/>
      </c>
      <c r="AH79" s="78" t="str">
        <f aca="false">IF(AA79="Elite",4,IF(AA79="Strong",3,IF(AA79="Average",2,IF(AA79="Needs work",1,""))))</f>
        <v/>
      </c>
      <c r="AI79" s="78" t="str">
        <f aca="false">IF(AB79="Elite",4,IF(AB79="Strong",3,IF(AB79="Average",2,IF(AB79="Needs work",1,""))))</f>
        <v/>
      </c>
    </row>
    <row r="80" customFormat="false" ht="15" hidden="false" customHeight="false" outlineLevel="0" collapsed="false">
      <c r="A80" s="64"/>
      <c r="B80" s="65"/>
      <c r="C80" s="66"/>
      <c r="D80" s="67"/>
      <c r="E80" s="67"/>
      <c r="F80" s="67"/>
      <c r="G80" s="68"/>
      <c r="H80" s="69"/>
      <c r="I80" s="68"/>
      <c r="J80" s="70"/>
      <c r="K80" s="67"/>
      <c r="L80" s="67"/>
      <c r="M80" s="67"/>
      <c r="N80" s="67"/>
      <c r="O80" s="67"/>
      <c r="P80" s="71"/>
      <c r="Q80" s="72" t="str">
        <f aca="false">IF(A80="","",IF(C80&lt;&gt;"",C80,IF(AND(D80&lt;&gt;"",D80&lt;=180),"Short","Long")))</f>
        <v/>
      </c>
      <c r="R80" s="73" t="str">
        <f aca="false">IF(OR(A80="",D80=""),"",D80/60)</f>
        <v/>
      </c>
      <c r="S80" s="72" t="str">
        <f aca="false">IF(OR(A80="",B80=""),"",IF(AND(B80&gt;=DATE(2026,4,1),B80&lt;=DATE(2026,6,30)),"Yes","No"))</f>
        <v/>
      </c>
      <c r="T80" s="72" t="str">
        <f aca="false">IF(OR(A80="",B80=""),"",CHOOSE(WEEKDAY(B80),"Sun","Mon","Tue","Wed","Thu","Fri","Sat"))</f>
        <v/>
      </c>
      <c r="U80" s="72" t="str">
        <f aca="false">IF(OR(Q80&lt;&gt;"Long",D80=""),"",IF(D80&lt;480,"Under 8 min",IF(D80&lt;900,"8–15 min",IF(D80&lt;1500,"15–25 min","25+ min"))))</f>
        <v/>
      </c>
      <c r="V80" s="74" t="str">
        <f aca="false">IF(OR(A80="",N(E80)=0),"",(N(K80)+N(L80))/E80*100)</f>
        <v/>
      </c>
      <c r="W80" s="73" t="str">
        <f aca="false">IF(OR(A80="",N(E80)=0),"",N(L80)/E80*1000)</f>
        <v/>
      </c>
      <c r="X80" s="75" t="str">
        <f aca="false">IF(A80="","",N(N80)-N(O80))</f>
        <v/>
      </c>
      <c r="Y80" s="73" t="str">
        <f aca="false">IF(OR(A80="",N(E80)=0),"",X80/E80*1000)</f>
        <v/>
      </c>
      <c r="Z80" s="72" t="str">
        <f aca="false">IF(OR(A80="",G80=""),"",IF(Q80="Short","n/a (Short)",IF(G80&gt;=Benchmarks!$E$5,"Elite",IF(G80&gt;=Benchmarks!$D$5,"Strong",IF(G80&gt;=Benchmarks!$C$5,"Average","Needs work")))))</f>
        <v/>
      </c>
      <c r="AA80" s="72" t="str">
        <f aca="false">IF(OR(A80="",I80=""),"",IF(Q80="Short",IF(I80&gt;=Benchmarks!$E$7,"Elite",IF(I80&gt;=Benchmarks!$D$7,"Strong",IF(I80&gt;=Benchmarks!$C$7,"Average","Needs work"))),IF(I80&gt;=Benchmarks!$E$6,"Elite",IF(I80&gt;=Benchmarks!$D$6,"Strong",IF(I80&gt;=Benchmarks!$C$6,"Average","Needs work")))))</f>
        <v/>
      </c>
      <c r="AB80" s="72" t="str">
        <f aca="false">IF(V80="","",IF(V80&gt;=Benchmarks!$E$8,"Elite",IF(V80&gt;=Benchmarks!$D$8,"Strong",IF(V80&gt;=Benchmarks!$C$8,"Average","Needs work"))))</f>
        <v/>
      </c>
      <c r="AC80" s="73" t="str">
        <f aca="false">IF(COUNT(AG80:AI80)=0,"",AVERAGE(AG80:AI80))</f>
        <v/>
      </c>
      <c r="AD80" s="37" t="str">
        <f aca="false">IF(A80="","",IF(Q80="Short",IF(AH80="","Add % viewed to diagnose",IF(AND(AH80&gt;=3,N(AI80)&gt;=3),"Winner Short — expand it into a long-form video",IF(AH80&lt;=1,"Hook problem — viewers swipe away in the first seconds",IF(AI80=1,"Watched but no reaction — end on a question or opinion","Solid Short — keep iterating")))),IF(OR(AG80="",AH80=""),"Add CTR &amp; % viewed to diagnose",IF(AND(AG80&gt;=3,AH80&gt;=3),"WINNER — make a sequel, series or Shorts from it",IF(AND(AG80&gt;=3,AH80&lt;=2),"Click but leave — intro too slow or title over-promises",IF(AND(AG80&lt;=2,AH80&gt;=3),"Great video, weak packaging — A/B test title + thumbnail",IF(AND(AG80=1,AH80=1),"Topic miss — don't repeat this angle","Average — sharpen the hook and the title")))))))</f>
        <v/>
      </c>
      <c r="AE80" s="76" t="str">
        <f aca="false">IF(OR(A80="",N(E80)=0),"",Q80&amp;"-"&amp;(COUNTIFS($Q$5:$Q$204,Q80,$E$5:$E$204,"&gt;"&amp;E80)+COUNTIFS($Q$5:Q80,Q80,$E$5:E80,E80)))</f>
        <v/>
      </c>
      <c r="AF80" s="77" t="str">
        <f aca="false">IF(AND(Q80="Long",N(F80)&gt;=Benchmarks!$C$15,G80&lt;&gt;""),G80,"")</f>
        <v/>
      </c>
      <c r="AG80" s="78" t="str">
        <f aca="false">IF(Z80="Elite",4,IF(Z80="Strong",3,IF(Z80="Average",2,IF(Z80="Needs work",1,""))))</f>
        <v/>
      </c>
      <c r="AH80" s="78" t="str">
        <f aca="false">IF(AA80="Elite",4,IF(AA80="Strong",3,IF(AA80="Average",2,IF(AA80="Needs work",1,""))))</f>
        <v/>
      </c>
      <c r="AI80" s="78" t="str">
        <f aca="false">IF(AB80="Elite",4,IF(AB80="Strong",3,IF(AB80="Average",2,IF(AB80="Needs work",1,""))))</f>
        <v/>
      </c>
    </row>
    <row r="81" customFormat="false" ht="15" hidden="false" customHeight="false" outlineLevel="0" collapsed="false">
      <c r="A81" s="64"/>
      <c r="B81" s="65"/>
      <c r="C81" s="66"/>
      <c r="D81" s="67"/>
      <c r="E81" s="67"/>
      <c r="F81" s="67"/>
      <c r="G81" s="68"/>
      <c r="H81" s="69"/>
      <c r="I81" s="68"/>
      <c r="J81" s="70"/>
      <c r="K81" s="67"/>
      <c r="L81" s="67"/>
      <c r="M81" s="67"/>
      <c r="N81" s="67"/>
      <c r="O81" s="67"/>
      <c r="P81" s="71"/>
      <c r="Q81" s="72" t="str">
        <f aca="false">IF(A81="","",IF(C81&lt;&gt;"",C81,IF(AND(D81&lt;&gt;"",D81&lt;=180),"Short","Long")))</f>
        <v/>
      </c>
      <c r="R81" s="73" t="str">
        <f aca="false">IF(OR(A81="",D81=""),"",D81/60)</f>
        <v/>
      </c>
      <c r="S81" s="72" t="str">
        <f aca="false">IF(OR(A81="",B81=""),"",IF(AND(B81&gt;=DATE(2026,4,1),B81&lt;=DATE(2026,6,30)),"Yes","No"))</f>
        <v/>
      </c>
      <c r="T81" s="72" t="str">
        <f aca="false">IF(OR(A81="",B81=""),"",CHOOSE(WEEKDAY(B81),"Sun","Mon","Tue","Wed","Thu","Fri","Sat"))</f>
        <v/>
      </c>
      <c r="U81" s="72" t="str">
        <f aca="false">IF(OR(Q81&lt;&gt;"Long",D81=""),"",IF(D81&lt;480,"Under 8 min",IF(D81&lt;900,"8–15 min",IF(D81&lt;1500,"15–25 min","25+ min"))))</f>
        <v/>
      </c>
      <c r="V81" s="74" t="str">
        <f aca="false">IF(OR(A81="",N(E81)=0),"",(N(K81)+N(L81))/E81*100)</f>
        <v/>
      </c>
      <c r="W81" s="73" t="str">
        <f aca="false">IF(OR(A81="",N(E81)=0),"",N(L81)/E81*1000)</f>
        <v/>
      </c>
      <c r="X81" s="75" t="str">
        <f aca="false">IF(A81="","",N(N81)-N(O81))</f>
        <v/>
      </c>
      <c r="Y81" s="73" t="str">
        <f aca="false">IF(OR(A81="",N(E81)=0),"",X81/E81*1000)</f>
        <v/>
      </c>
      <c r="Z81" s="72" t="str">
        <f aca="false">IF(OR(A81="",G81=""),"",IF(Q81="Short","n/a (Short)",IF(G81&gt;=Benchmarks!$E$5,"Elite",IF(G81&gt;=Benchmarks!$D$5,"Strong",IF(G81&gt;=Benchmarks!$C$5,"Average","Needs work")))))</f>
        <v/>
      </c>
      <c r="AA81" s="72" t="str">
        <f aca="false">IF(OR(A81="",I81=""),"",IF(Q81="Short",IF(I81&gt;=Benchmarks!$E$7,"Elite",IF(I81&gt;=Benchmarks!$D$7,"Strong",IF(I81&gt;=Benchmarks!$C$7,"Average","Needs work"))),IF(I81&gt;=Benchmarks!$E$6,"Elite",IF(I81&gt;=Benchmarks!$D$6,"Strong",IF(I81&gt;=Benchmarks!$C$6,"Average","Needs work")))))</f>
        <v/>
      </c>
      <c r="AB81" s="72" t="str">
        <f aca="false">IF(V81="","",IF(V81&gt;=Benchmarks!$E$8,"Elite",IF(V81&gt;=Benchmarks!$D$8,"Strong",IF(V81&gt;=Benchmarks!$C$8,"Average","Needs work"))))</f>
        <v/>
      </c>
      <c r="AC81" s="73" t="str">
        <f aca="false">IF(COUNT(AG81:AI81)=0,"",AVERAGE(AG81:AI81))</f>
        <v/>
      </c>
      <c r="AD81" s="37" t="str">
        <f aca="false">IF(A81="","",IF(Q81="Short",IF(AH81="","Add % viewed to diagnose",IF(AND(AH81&gt;=3,N(AI81)&gt;=3),"Winner Short — expand it into a long-form video",IF(AH81&lt;=1,"Hook problem — viewers swipe away in the first seconds",IF(AI81=1,"Watched but no reaction — end on a question or opinion","Solid Short — keep iterating")))),IF(OR(AG81="",AH81=""),"Add CTR &amp; % viewed to diagnose",IF(AND(AG81&gt;=3,AH81&gt;=3),"WINNER — make a sequel, series or Shorts from it",IF(AND(AG81&gt;=3,AH81&lt;=2),"Click but leave — intro too slow or title over-promises",IF(AND(AG81&lt;=2,AH81&gt;=3),"Great video, weak packaging — A/B test title + thumbnail",IF(AND(AG81=1,AH81=1),"Topic miss — don't repeat this angle","Average — sharpen the hook and the title")))))))</f>
        <v/>
      </c>
      <c r="AE81" s="76" t="str">
        <f aca="false">IF(OR(A81="",N(E81)=0),"",Q81&amp;"-"&amp;(COUNTIFS($Q$5:$Q$204,Q81,$E$5:$E$204,"&gt;"&amp;E81)+COUNTIFS($Q$5:Q81,Q81,$E$5:E81,E81)))</f>
        <v/>
      </c>
      <c r="AF81" s="77" t="str">
        <f aca="false">IF(AND(Q81="Long",N(F81)&gt;=Benchmarks!$C$15,G81&lt;&gt;""),G81,"")</f>
        <v/>
      </c>
      <c r="AG81" s="78" t="str">
        <f aca="false">IF(Z81="Elite",4,IF(Z81="Strong",3,IF(Z81="Average",2,IF(Z81="Needs work",1,""))))</f>
        <v/>
      </c>
      <c r="AH81" s="78" t="str">
        <f aca="false">IF(AA81="Elite",4,IF(AA81="Strong",3,IF(AA81="Average",2,IF(AA81="Needs work",1,""))))</f>
        <v/>
      </c>
      <c r="AI81" s="78" t="str">
        <f aca="false">IF(AB81="Elite",4,IF(AB81="Strong",3,IF(AB81="Average",2,IF(AB81="Needs work",1,""))))</f>
        <v/>
      </c>
    </row>
    <row r="82" customFormat="false" ht="15" hidden="false" customHeight="false" outlineLevel="0" collapsed="false">
      <c r="A82" s="64"/>
      <c r="B82" s="65"/>
      <c r="C82" s="66"/>
      <c r="D82" s="67"/>
      <c r="E82" s="67"/>
      <c r="F82" s="67"/>
      <c r="G82" s="68"/>
      <c r="H82" s="69"/>
      <c r="I82" s="68"/>
      <c r="J82" s="70"/>
      <c r="K82" s="67"/>
      <c r="L82" s="67"/>
      <c r="M82" s="67"/>
      <c r="N82" s="67"/>
      <c r="O82" s="67"/>
      <c r="P82" s="71"/>
      <c r="Q82" s="72" t="str">
        <f aca="false">IF(A82="","",IF(C82&lt;&gt;"",C82,IF(AND(D82&lt;&gt;"",D82&lt;=180),"Short","Long")))</f>
        <v/>
      </c>
      <c r="R82" s="73" t="str">
        <f aca="false">IF(OR(A82="",D82=""),"",D82/60)</f>
        <v/>
      </c>
      <c r="S82" s="72" t="str">
        <f aca="false">IF(OR(A82="",B82=""),"",IF(AND(B82&gt;=DATE(2026,4,1),B82&lt;=DATE(2026,6,30)),"Yes","No"))</f>
        <v/>
      </c>
      <c r="T82" s="72" t="str">
        <f aca="false">IF(OR(A82="",B82=""),"",CHOOSE(WEEKDAY(B82),"Sun","Mon","Tue","Wed","Thu","Fri","Sat"))</f>
        <v/>
      </c>
      <c r="U82" s="72" t="str">
        <f aca="false">IF(OR(Q82&lt;&gt;"Long",D82=""),"",IF(D82&lt;480,"Under 8 min",IF(D82&lt;900,"8–15 min",IF(D82&lt;1500,"15–25 min","25+ min"))))</f>
        <v/>
      </c>
      <c r="V82" s="74" t="str">
        <f aca="false">IF(OR(A82="",N(E82)=0),"",(N(K82)+N(L82))/E82*100)</f>
        <v/>
      </c>
      <c r="W82" s="73" t="str">
        <f aca="false">IF(OR(A82="",N(E82)=0),"",N(L82)/E82*1000)</f>
        <v/>
      </c>
      <c r="X82" s="75" t="str">
        <f aca="false">IF(A82="","",N(N82)-N(O82))</f>
        <v/>
      </c>
      <c r="Y82" s="73" t="str">
        <f aca="false">IF(OR(A82="",N(E82)=0),"",X82/E82*1000)</f>
        <v/>
      </c>
      <c r="Z82" s="72" t="str">
        <f aca="false">IF(OR(A82="",G82=""),"",IF(Q82="Short","n/a (Short)",IF(G82&gt;=Benchmarks!$E$5,"Elite",IF(G82&gt;=Benchmarks!$D$5,"Strong",IF(G82&gt;=Benchmarks!$C$5,"Average","Needs work")))))</f>
        <v/>
      </c>
      <c r="AA82" s="72" t="str">
        <f aca="false">IF(OR(A82="",I82=""),"",IF(Q82="Short",IF(I82&gt;=Benchmarks!$E$7,"Elite",IF(I82&gt;=Benchmarks!$D$7,"Strong",IF(I82&gt;=Benchmarks!$C$7,"Average","Needs work"))),IF(I82&gt;=Benchmarks!$E$6,"Elite",IF(I82&gt;=Benchmarks!$D$6,"Strong",IF(I82&gt;=Benchmarks!$C$6,"Average","Needs work")))))</f>
        <v/>
      </c>
      <c r="AB82" s="72" t="str">
        <f aca="false">IF(V82="","",IF(V82&gt;=Benchmarks!$E$8,"Elite",IF(V82&gt;=Benchmarks!$D$8,"Strong",IF(V82&gt;=Benchmarks!$C$8,"Average","Needs work"))))</f>
        <v/>
      </c>
      <c r="AC82" s="73" t="str">
        <f aca="false">IF(COUNT(AG82:AI82)=0,"",AVERAGE(AG82:AI82))</f>
        <v/>
      </c>
      <c r="AD82" s="37" t="str">
        <f aca="false">IF(A82="","",IF(Q82="Short",IF(AH82="","Add % viewed to diagnose",IF(AND(AH82&gt;=3,N(AI82)&gt;=3),"Winner Short — expand it into a long-form video",IF(AH82&lt;=1,"Hook problem — viewers swipe away in the first seconds",IF(AI82=1,"Watched but no reaction — end on a question or opinion","Solid Short — keep iterating")))),IF(OR(AG82="",AH82=""),"Add CTR &amp; % viewed to diagnose",IF(AND(AG82&gt;=3,AH82&gt;=3),"WINNER — make a sequel, series or Shorts from it",IF(AND(AG82&gt;=3,AH82&lt;=2),"Click but leave — intro too slow or title over-promises",IF(AND(AG82&lt;=2,AH82&gt;=3),"Great video, weak packaging — A/B test title + thumbnail",IF(AND(AG82=1,AH82=1),"Topic miss — don't repeat this angle","Average — sharpen the hook and the title")))))))</f>
        <v/>
      </c>
      <c r="AE82" s="76" t="str">
        <f aca="false">IF(OR(A82="",N(E82)=0),"",Q82&amp;"-"&amp;(COUNTIFS($Q$5:$Q$204,Q82,$E$5:$E$204,"&gt;"&amp;E82)+COUNTIFS($Q$5:Q82,Q82,$E$5:E82,E82)))</f>
        <v/>
      </c>
      <c r="AF82" s="77" t="str">
        <f aca="false">IF(AND(Q82="Long",N(F82)&gt;=Benchmarks!$C$15,G82&lt;&gt;""),G82,"")</f>
        <v/>
      </c>
      <c r="AG82" s="78" t="str">
        <f aca="false">IF(Z82="Elite",4,IF(Z82="Strong",3,IF(Z82="Average",2,IF(Z82="Needs work",1,""))))</f>
        <v/>
      </c>
      <c r="AH82" s="78" t="str">
        <f aca="false">IF(AA82="Elite",4,IF(AA82="Strong",3,IF(AA82="Average",2,IF(AA82="Needs work",1,""))))</f>
        <v/>
      </c>
      <c r="AI82" s="78" t="str">
        <f aca="false">IF(AB82="Elite",4,IF(AB82="Strong",3,IF(AB82="Average",2,IF(AB82="Needs work",1,""))))</f>
        <v/>
      </c>
    </row>
    <row r="83" customFormat="false" ht="15" hidden="false" customHeight="false" outlineLevel="0" collapsed="false">
      <c r="A83" s="64"/>
      <c r="B83" s="65"/>
      <c r="C83" s="66"/>
      <c r="D83" s="67"/>
      <c r="E83" s="67"/>
      <c r="F83" s="67"/>
      <c r="G83" s="68"/>
      <c r="H83" s="69"/>
      <c r="I83" s="68"/>
      <c r="J83" s="70"/>
      <c r="K83" s="67"/>
      <c r="L83" s="67"/>
      <c r="M83" s="67"/>
      <c r="N83" s="67"/>
      <c r="O83" s="67"/>
      <c r="P83" s="71"/>
      <c r="Q83" s="72" t="str">
        <f aca="false">IF(A83="","",IF(C83&lt;&gt;"",C83,IF(AND(D83&lt;&gt;"",D83&lt;=180),"Short","Long")))</f>
        <v/>
      </c>
      <c r="R83" s="73" t="str">
        <f aca="false">IF(OR(A83="",D83=""),"",D83/60)</f>
        <v/>
      </c>
      <c r="S83" s="72" t="str">
        <f aca="false">IF(OR(A83="",B83=""),"",IF(AND(B83&gt;=DATE(2026,4,1),B83&lt;=DATE(2026,6,30)),"Yes","No"))</f>
        <v/>
      </c>
      <c r="T83" s="72" t="str">
        <f aca="false">IF(OR(A83="",B83=""),"",CHOOSE(WEEKDAY(B83),"Sun","Mon","Tue","Wed","Thu","Fri","Sat"))</f>
        <v/>
      </c>
      <c r="U83" s="72" t="str">
        <f aca="false">IF(OR(Q83&lt;&gt;"Long",D83=""),"",IF(D83&lt;480,"Under 8 min",IF(D83&lt;900,"8–15 min",IF(D83&lt;1500,"15–25 min","25+ min"))))</f>
        <v/>
      </c>
      <c r="V83" s="74" t="str">
        <f aca="false">IF(OR(A83="",N(E83)=0),"",(N(K83)+N(L83))/E83*100)</f>
        <v/>
      </c>
      <c r="W83" s="73" t="str">
        <f aca="false">IF(OR(A83="",N(E83)=0),"",N(L83)/E83*1000)</f>
        <v/>
      </c>
      <c r="X83" s="75" t="str">
        <f aca="false">IF(A83="","",N(N83)-N(O83))</f>
        <v/>
      </c>
      <c r="Y83" s="73" t="str">
        <f aca="false">IF(OR(A83="",N(E83)=0),"",X83/E83*1000)</f>
        <v/>
      </c>
      <c r="Z83" s="72" t="str">
        <f aca="false">IF(OR(A83="",G83=""),"",IF(Q83="Short","n/a (Short)",IF(G83&gt;=Benchmarks!$E$5,"Elite",IF(G83&gt;=Benchmarks!$D$5,"Strong",IF(G83&gt;=Benchmarks!$C$5,"Average","Needs work")))))</f>
        <v/>
      </c>
      <c r="AA83" s="72" t="str">
        <f aca="false">IF(OR(A83="",I83=""),"",IF(Q83="Short",IF(I83&gt;=Benchmarks!$E$7,"Elite",IF(I83&gt;=Benchmarks!$D$7,"Strong",IF(I83&gt;=Benchmarks!$C$7,"Average","Needs work"))),IF(I83&gt;=Benchmarks!$E$6,"Elite",IF(I83&gt;=Benchmarks!$D$6,"Strong",IF(I83&gt;=Benchmarks!$C$6,"Average","Needs work")))))</f>
        <v/>
      </c>
      <c r="AB83" s="72" t="str">
        <f aca="false">IF(V83="","",IF(V83&gt;=Benchmarks!$E$8,"Elite",IF(V83&gt;=Benchmarks!$D$8,"Strong",IF(V83&gt;=Benchmarks!$C$8,"Average","Needs work"))))</f>
        <v/>
      </c>
      <c r="AC83" s="73" t="str">
        <f aca="false">IF(COUNT(AG83:AI83)=0,"",AVERAGE(AG83:AI83))</f>
        <v/>
      </c>
      <c r="AD83" s="37" t="str">
        <f aca="false">IF(A83="","",IF(Q83="Short",IF(AH83="","Add % viewed to diagnose",IF(AND(AH83&gt;=3,N(AI83)&gt;=3),"Winner Short — expand it into a long-form video",IF(AH83&lt;=1,"Hook problem — viewers swipe away in the first seconds",IF(AI83=1,"Watched but no reaction — end on a question or opinion","Solid Short — keep iterating")))),IF(OR(AG83="",AH83=""),"Add CTR &amp; % viewed to diagnose",IF(AND(AG83&gt;=3,AH83&gt;=3),"WINNER — make a sequel, series or Shorts from it",IF(AND(AG83&gt;=3,AH83&lt;=2),"Click but leave — intro too slow or title over-promises",IF(AND(AG83&lt;=2,AH83&gt;=3),"Great video, weak packaging — A/B test title + thumbnail",IF(AND(AG83=1,AH83=1),"Topic miss — don't repeat this angle","Average — sharpen the hook and the title")))))))</f>
        <v/>
      </c>
      <c r="AE83" s="76" t="str">
        <f aca="false">IF(OR(A83="",N(E83)=0),"",Q83&amp;"-"&amp;(COUNTIFS($Q$5:$Q$204,Q83,$E$5:$E$204,"&gt;"&amp;E83)+COUNTIFS($Q$5:Q83,Q83,$E$5:E83,E83)))</f>
        <v/>
      </c>
      <c r="AF83" s="77" t="str">
        <f aca="false">IF(AND(Q83="Long",N(F83)&gt;=Benchmarks!$C$15,G83&lt;&gt;""),G83,"")</f>
        <v/>
      </c>
      <c r="AG83" s="78" t="str">
        <f aca="false">IF(Z83="Elite",4,IF(Z83="Strong",3,IF(Z83="Average",2,IF(Z83="Needs work",1,""))))</f>
        <v/>
      </c>
      <c r="AH83" s="78" t="str">
        <f aca="false">IF(AA83="Elite",4,IF(AA83="Strong",3,IF(AA83="Average",2,IF(AA83="Needs work",1,""))))</f>
        <v/>
      </c>
      <c r="AI83" s="78" t="str">
        <f aca="false">IF(AB83="Elite",4,IF(AB83="Strong",3,IF(AB83="Average",2,IF(AB83="Needs work",1,""))))</f>
        <v/>
      </c>
    </row>
    <row r="84" customFormat="false" ht="15" hidden="false" customHeight="false" outlineLevel="0" collapsed="false">
      <c r="A84" s="64"/>
      <c r="B84" s="65"/>
      <c r="C84" s="66"/>
      <c r="D84" s="67"/>
      <c r="E84" s="67"/>
      <c r="F84" s="67"/>
      <c r="G84" s="68"/>
      <c r="H84" s="69"/>
      <c r="I84" s="68"/>
      <c r="J84" s="70"/>
      <c r="K84" s="67"/>
      <c r="L84" s="67"/>
      <c r="M84" s="67"/>
      <c r="N84" s="67"/>
      <c r="O84" s="67"/>
      <c r="P84" s="71"/>
      <c r="Q84" s="72" t="str">
        <f aca="false">IF(A84="","",IF(C84&lt;&gt;"",C84,IF(AND(D84&lt;&gt;"",D84&lt;=180),"Short","Long")))</f>
        <v/>
      </c>
      <c r="R84" s="73" t="str">
        <f aca="false">IF(OR(A84="",D84=""),"",D84/60)</f>
        <v/>
      </c>
      <c r="S84" s="72" t="str">
        <f aca="false">IF(OR(A84="",B84=""),"",IF(AND(B84&gt;=DATE(2026,4,1),B84&lt;=DATE(2026,6,30)),"Yes","No"))</f>
        <v/>
      </c>
      <c r="T84" s="72" t="str">
        <f aca="false">IF(OR(A84="",B84=""),"",CHOOSE(WEEKDAY(B84),"Sun","Mon","Tue","Wed","Thu","Fri","Sat"))</f>
        <v/>
      </c>
      <c r="U84" s="72" t="str">
        <f aca="false">IF(OR(Q84&lt;&gt;"Long",D84=""),"",IF(D84&lt;480,"Under 8 min",IF(D84&lt;900,"8–15 min",IF(D84&lt;1500,"15–25 min","25+ min"))))</f>
        <v/>
      </c>
      <c r="V84" s="74" t="str">
        <f aca="false">IF(OR(A84="",N(E84)=0),"",(N(K84)+N(L84))/E84*100)</f>
        <v/>
      </c>
      <c r="W84" s="73" t="str">
        <f aca="false">IF(OR(A84="",N(E84)=0),"",N(L84)/E84*1000)</f>
        <v/>
      </c>
      <c r="X84" s="75" t="str">
        <f aca="false">IF(A84="","",N(N84)-N(O84))</f>
        <v/>
      </c>
      <c r="Y84" s="73" t="str">
        <f aca="false">IF(OR(A84="",N(E84)=0),"",X84/E84*1000)</f>
        <v/>
      </c>
      <c r="Z84" s="72" t="str">
        <f aca="false">IF(OR(A84="",G84=""),"",IF(Q84="Short","n/a (Short)",IF(G84&gt;=Benchmarks!$E$5,"Elite",IF(G84&gt;=Benchmarks!$D$5,"Strong",IF(G84&gt;=Benchmarks!$C$5,"Average","Needs work")))))</f>
        <v/>
      </c>
      <c r="AA84" s="72" t="str">
        <f aca="false">IF(OR(A84="",I84=""),"",IF(Q84="Short",IF(I84&gt;=Benchmarks!$E$7,"Elite",IF(I84&gt;=Benchmarks!$D$7,"Strong",IF(I84&gt;=Benchmarks!$C$7,"Average","Needs work"))),IF(I84&gt;=Benchmarks!$E$6,"Elite",IF(I84&gt;=Benchmarks!$D$6,"Strong",IF(I84&gt;=Benchmarks!$C$6,"Average","Needs work")))))</f>
        <v/>
      </c>
      <c r="AB84" s="72" t="str">
        <f aca="false">IF(V84="","",IF(V84&gt;=Benchmarks!$E$8,"Elite",IF(V84&gt;=Benchmarks!$D$8,"Strong",IF(V84&gt;=Benchmarks!$C$8,"Average","Needs work"))))</f>
        <v/>
      </c>
      <c r="AC84" s="73" t="str">
        <f aca="false">IF(COUNT(AG84:AI84)=0,"",AVERAGE(AG84:AI84))</f>
        <v/>
      </c>
      <c r="AD84" s="37" t="str">
        <f aca="false">IF(A84="","",IF(Q84="Short",IF(AH84="","Add % viewed to diagnose",IF(AND(AH84&gt;=3,N(AI84)&gt;=3),"Winner Short — expand it into a long-form video",IF(AH84&lt;=1,"Hook problem — viewers swipe away in the first seconds",IF(AI84=1,"Watched but no reaction — end on a question or opinion","Solid Short — keep iterating")))),IF(OR(AG84="",AH84=""),"Add CTR &amp; % viewed to diagnose",IF(AND(AG84&gt;=3,AH84&gt;=3),"WINNER — make a sequel, series or Shorts from it",IF(AND(AG84&gt;=3,AH84&lt;=2),"Click but leave — intro too slow or title over-promises",IF(AND(AG84&lt;=2,AH84&gt;=3),"Great video, weak packaging — A/B test title + thumbnail",IF(AND(AG84=1,AH84=1),"Topic miss — don't repeat this angle","Average — sharpen the hook and the title")))))))</f>
        <v/>
      </c>
      <c r="AE84" s="76" t="str">
        <f aca="false">IF(OR(A84="",N(E84)=0),"",Q84&amp;"-"&amp;(COUNTIFS($Q$5:$Q$204,Q84,$E$5:$E$204,"&gt;"&amp;E84)+COUNTIFS($Q$5:Q84,Q84,$E$5:E84,E84)))</f>
        <v/>
      </c>
      <c r="AF84" s="77" t="str">
        <f aca="false">IF(AND(Q84="Long",N(F84)&gt;=Benchmarks!$C$15,G84&lt;&gt;""),G84,"")</f>
        <v/>
      </c>
      <c r="AG84" s="78" t="str">
        <f aca="false">IF(Z84="Elite",4,IF(Z84="Strong",3,IF(Z84="Average",2,IF(Z84="Needs work",1,""))))</f>
        <v/>
      </c>
      <c r="AH84" s="78" t="str">
        <f aca="false">IF(AA84="Elite",4,IF(AA84="Strong",3,IF(AA84="Average",2,IF(AA84="Needs work",1,""))))</f>
        <v/>
      </c>
      <c r="AI84" s="78" t="str">
        <f aca="false">IF(AB84="Elite",4,IF(AB84="Strong",3,IF(AB84="Average",2,IF(AB84="Needs work",1,""))))</f>
        <v/>
      </c>
    </row>
    <row r="85" customFormat="false" ht="15" hidden="false" customHeight="false" outlineLevel="0" collapsed="false">
      <c r="A85" s="64"/>
      <c r="B85" s="65"/>
      <c r="C85" s="66"/>
      <c r="D85" s="67"/>
      <c r="E85" s="67"/>
      <c r="F85" s="67"/>
      <c r="G85" s="68"/>
      <c r="H85" s="69"/>
      <c r="I85" s="68"/>
      <c r="J85" s="70"/>
      <c r="K85" s="67"/>
      <c r="L85" s="67"/>
      <c r="M85" s="67"/>
      <c r="N85" s="67"/>
      <c r="O85" s="67"/>
      <c r="P85" s="71"/>
      <c r="Q85" s="72" t="str">
        <f aca="false">IF(A85="","",IF(C85&lt;&gt;"",C85,IF(AND(D85&lt;&gt;"",D85&lt;=180),"Short","Long")))</f>
        <v/>
      </c>
      <c r="R85" s="73" t="str">
        <f aca="false">IF(OR(A85="",D85=""),"",D85/60)</f>
        <v/>
      </c>
      <c r="S85" s="72" t="str">
        <f aca="false">IF(OR(A85="",B85=""),"",IF(AND(B85&gt;=DATE(2026,4,1),B85&lt;=DATE(2026,6,30)),"Yes","No"))</f>
        <v/>
      </c>
      <c r="T85" s="72" t="str">
        <f aca="false">IF(OR(A85="",B85=""),"",CHOOSE(WEEKDAY(B85),"Sun","Mon","Tue","Wed","Thu","Fri","Sat"))</f>
        <v/>
      </c>
      <c r="U85" s="72" t="str">
        <f aca="false">IF(OR(Q85&lt;&gt;"Long",D85=""),"",IF(D85&lt;480,"Under 8 min",IF(D85&lt;900,"8–15 min",IF(D85&lt;1500,"15–25 min","25+ min"))))</f>
        <v/>
      </c>
      <c r="V85" s="74" t="str">
        <f aca="false">IF(OR(A85="",N(E85)=0),"",(N(K85)+N(L85))/E85*100)</f>
        <v/>
      </c>
      <c r="W85" s="73" t="str">
        <f aca="false">IF(OR(A85="",N(E85)=0),"",N(L85)/E85*1000)</f>
        <v/>
      </c>
      <c r="X85" s="75" t="str">
        <f aca="false">IF(A85="","",N(N85)-N(O85))</f>
        <v/>
      </c>
      <c r="Y85" s="73" t="str">
        <f aca="false">IF(OR(A85="",N(E85)=0),"",X85/E85*1000)</f>
        <v/>
      </c>
      <c r="Z85" s="72" t="str">
        <f aca="false">IF(OR(A85="",G85=""),"",IF(Q85="Short","n/a (Short)",IF(G85&gt;=Benchmarks!$E$5,"Elite",IF(G85&gt;=Benchmarks!$D$5,"Strong",IF(G85&gt;=Benchmarks!$C$5,"Average","Needs work")))))</f>
        <v/>
      </c>
      <c r="AA85" s="72" t="str">
        <f aca="false">IF(OR(A85="",I85=""),"",IF(Q85="Short",IF(I85&gt;=Benchmarks!$E$7,"Elite",IF(I85&gt;=Benchmarks!$D$7,"Strong",IF(I85&gt;=Benchmarks!$C$7,"Average","Needs work"))),IF(I85&gt;=Benchmarks!$E$6,"Elite",IF(I85&gt;=Benchmarks!$D$6,"Strong",IF(I85&gt;=Benchmarks!$C$6,"Average","Needs work")))))</f>
        <v/>
      </c>
      <c r="AB85" s="72" t="str">
        <f aca="false">IF(V85="","",IF(V85&gt;=Benchmarks!$E$8,"Elite",IF(V85&gt;=Benchmarks!$D$8,"Strong",IF(V85&gt;=Benchmarks!$C$8,"Average","Needs work"))))</f>
        <v/>
      </c>
      <c r="AC85" s="73" t="str">
        <f aca="false">IF(COUNT(AG85:AI85)=0,"",AVERAGE(AG85:AI85))</f>
        <v/>
      </c>
      <c r="AD85" s="37" t="str">
        <f aca="false">IF(A85="","",IF(Q85="Short",IF(AH85="","Add % viewed to diagnose",IF(AND(AH85&gt;=3,N(AI85)&gt;=3),"Winner Short — expand it into a long-form video",IF(AH85&lt;=1,"Hook problem — viewers swipe away in the first seconds",IF(AI85=1,"Watched but no reaction — end on a question or opinion","Solid Short — keep iterating")))),IF(OR(AG85="",AH85=""),"Add CTR &amp; % viewed to diagnose",IF(AND(AG85&gt;=3,AH85&gt;=3),"WINNER — make a sequel, series or Shorts from it",IF(AND(AG85&gt;=3,AH85&lt;=2),"Click but leave — intro too slow or title over-promises",IF(AND(AG85&lt;=2,AH85&gt;=3),"Great video, weak packaging — A/B test title + thumbnail",IF(AND(AG85=1,AH85=1),"Topic miss — don't repeat this angle","Average — sharpen the hook and the title")))))))</f>
        <v/>
      </c>
      <c r="AE85" s="76" t="str">
        <f aca="false">IF(OR(A85="",N(E85)=0),"",Q85&amp;"-"&amp;(COUNTIFS($Q$5:$Q$204,Q85,$E$5:$E$204,"&gt;"&amp;E85)+COUNTIFS($Q$5:Q85,Q85,$E$5:E85,E85)))</f>
        <v/>
      </c>
      <c r="AF85" s="77" t="str">
        <f aca="false">IF(AND(Q85="Long",N(F85)&gt;=Benchmarks!$C$15,G85&lt;&gt;""),G85,"")</f>
        <v/>
      </c>
      <c r="AG85" s="78" t="str">
        <f aca="false">IF(Z85="Elite",4,IF(Z85="Strong",3,IF(Z85="Average",2,IF(Z85="Needs work",1,""))))</f>
        <v/>
      </c>
      <c r="AH85" s="78" t="str">
        <f aca="false">IF(AA85="Elite",4,IF(AA85="Strong",3,IF(AA85="Average",2,IF(AA85="Needs work",1,""))))</f>
        <v/>
      </c>
      <c r="AI85" s="78" t="str">
        <f aca="false">IF(AB85="Elite",4,IF(AB85="Strong",3,IF(AB85="Average",2,IF(AB85="Needs work",1,""))))</f>
        <v/>
      </c>
    </row>
    <row r="86" customFormat="false" ht="15" hidden="false" customHeight="false" outlineLevel="0" collapsed="false">
      <c r="A86" s="64"/>
      <c r="B86" s="65"/>
      <c r="C86" s="66"/>
      <c r="D86" s="67"/>
      <c r="E86" s="67"/>
      <c r="F86" s="67"/>
      <c r="G86" s="68"/>
      <c r="H86" s="69"/>
      <c r="I86" s="68"/>
      <c r="J86" s="70"/>
      <c r="K86" s="67"/>
      <c r="L86" s="67"/>
      <c r="M86" s="67"/>
      <c r="N86" s="67"/>
      <c r="O86" s="67"/>
      <c r="P86" s="71"/>
      <c r="Q86" s="72" t="str">
        <f aca="false">IF(A86="","",IF(C86&lt;&gt;"",C86,IF(AND(D86&lt;&gt;"",D86&lt;=180),"Short","Long")))</f>
        <v/>
      </c>
      <c r="R86" s="73" t="str">
        <f aca="false">IF(OR(A86="",D86=""),"",D86/60)</f>
        <v/>
      </c>
      <c r="S86" s="72" t="str">
        <f aca="false">IF(OR(A86="",B86=""),"",IF(AND(B86&gt;=DATE(2026,4,1),B86&lt;=DATE(2026,6,30)),"Yes","No"))</f>
        <v/>
      </c>
      <c r="T86" s="72" t="str">
        <f aca="false">IF(OR(A86="",B86=""),"",CHOOSE(WEEKDAY(B86),"Sun","Mon","Tue","Wed","Thu","Fri","Sat"))</f>
        <v/>
      </c>
      <c r="U86" s="72" t="str">
        <f aca="false">IF(OR(Q86&lt;&gt;"Long",D86=""),"",IF(D86&lt;480,"Under 8 min",IF(D86&lt;900,"8–15 min",IF(D86&lt;1500,"15–25 min","25+ min"))))</f>
        <v/>
      </c>
      <c r="V86" s="74" t="str">
        <f aca="false">IF(OR(A86="",N(E86)=0),"",(N(K86)+N(L86))/E86*100)</f>
        <v/>
      </c>
      <c r="W86" s="73" t="str">
        <f aca="false">IF(OR(A86="",N(E86)=0),"",N(L86)/E86*1000)</f>
        <v/>
      </c>
      <c r="X86" s="75" t="str">
        <f aca="false">IF(A86="","",N(N86)-N(O86))</f>
        <v/>
      </c>
      <c r="Y86" s="73" t="str">
        <f aca="false">IF(OR(A86="",N(E86)=0),"",X86/E86*1000)</f>
        <v/>
      </c>
      <c r="Z86" s="72" t="str">
        <f aca="false">IF(OR(A86="",G86=""),"",IF(Q86="Short","n/a (Short)",IF(G86&gt;=Benchmarks!$E$5,"Elite",IF(G86&gt;=Benchmarks!$D$5,"Strong",IF(G86&gt;=Benchmarks!$C$5,"Average","Needs work")))))</f>
        <v/>
      </c>
      <c r="AA86" s="72" t="str">
        <f aca="false">IF(OR(A86="",I86=""),"",IF(Q86="Short",IF(I86&gt;=Benchmarks!$E$7,"Elite",IF(I86&gt;=Benchmarks!$D$7,"Strong",IF(I86&gt;=Benchmarks!$C$7,"Average","Needs work"))),IF(I86&gt;=Benchmarks!$E$6,"Elite",IF(I86&gt;=Benchmarks!$D$6,"Strong",IF(I86&gt;=Benchmarks!$C$6,"Average","Needs work")))))</f>
        <v/>
      </c>
      <c r="AB86" s="72" t="str">
        <f aca="false">IF(V86="","",IF(V86&gt;=Benchmarks!$E$8,"Elite",IF(V86&gt;=Benchmarks!$D$8,"Strong",IF(V86&gt;=Benchmarks!$C$8,"Average","Needs work"))))</f>
        <v/>
      </c>
      <c r="AC86" s="73" t="str">
        <f aca="false">IF(COUNT(AG86:AI86)=0,"",AVERAGE(AG86:AI86))</f>
        <v/>
      </c>
      <c r="AD86" s="37" t="str">
        <f aca="false">IF(A86="","",IF(Q86="Short",IF(AH86="","Add % viewed to diagnose",IF(AND(AH86&gt;=3,N(AI86)&gt;=3),"Winner Short — expand it into a long-form video",IF(AH86&lt;=1,"Hook problem — viewers swipe away in the first seconds",IF(AI86=1,"Watched but no reaction — end on a question or opinion","Solid Short — keep iterating")))),IF(OR(AG86="",AH86=""),"Add CTR &amp; % viewed to diagnose",IF(AND(AG86&gt;=3,AH86&gt;=3),"WINNER — make a sequel, series or Shorts from it",IF(AND(AG86&gt;=3,AH86&lt;=2),"Click but leave — intro too slow or title over-promises",IF(AND(AG86&lt;=2,AH86&gt;=3),"Great video, weak packaging — A/B test title + thumbnail",IF(AND(AG86=1,AH86=1),"Topic miss — don't repeat this angle","Average — sharpen the hook and the title")))))))</f>
        <v/>
      </c>
      <c r="AE86" s="76" t="str">
        <f aca="false">IF(OR(A86="",N(E86)=0),"",Q86&amp;"-"&amp;(COUNTIFS($Q$5:$Q$204,Q86,$E$5:$E$204,"&gt;"&amp;E86)+COUNTIFS($Q$5:Q86,Q86,$E$5:E86,E86)))</f>
        <v/>
      </c>
      <c r="AF86" s="77" t="str">
        <f aca="false">IF(AND(Q86="Long",N(F86)&gt;=Benchmarks!$C$15,G86&lt;&gt;""),G86,"")</f>
        <v/>
      </c>
      <c r="AG86" s="78" t="str">
        <f aca="false">IF(Z86="Elite",4,IF(Z86="Strong",3,IF(Z86="Average",2,IF(Z86="Needs work",1,""))))</f>
        <v/>
      </c>
      <c r="AH86" s="78" t="str">
        <f aca="false">IF(AA86="Elite",4,IF(AA86="Strong",3,IF(AA86="Average",2,IF(AA86="Needs work",1,""))))</f>
        <v/>
      </c>
      <c r="AI86" s="78" t="str">
        <f aca="false">IF(AB86="Elite",4,IF(AB86="Strong",3,IF(AB86="Average",2,IF(AB86="Needs work",1,""))))</f>
        <v/>
      </c>
    </row>
    <row r="87" customFormat="false" ht="15" hidden="false" customHeight="false" outlineLevel="0" collapsed="false">
      <c r="A87" s="64"/>
      <c r="B87" s="65"/>
      <c r="C87" s="66"/>
      <c r="D87" s="67"/>
      <c r="E87" s="67"/>
      <c r="F87" s="67"/>
      <c r="G87" s="68"/>
      <c r="H87" s="69"/>
      <c r="I87" s="68"/>
      <c r="J87" s="70"/>
      <c r="K87" s="67"/>
      <c r="L87" s="67"/>
      <c r="M87" s="67"/>
      <c r="N87" s="67"/>
      <c r="O87" s="67"/>
      <c r="P87" s="71"/>
      <c r="Q87" s="72" t="str">
        <f aca="false">IF(A87="","",IF(C87&lt;&gt;"",C87,IF(AND(D87&lt;&gt;"",D87&lt;=180),"Short","Long")))</f>
        <v/>
      </c>
      <c r="R87" s="73" t="str">
        <f aca="false">IF(OR(A87="",D87=""),"",D87/60)</f>
        <v/>
      </c>
      <c r="S87" s="72" t="str">
        <f aca="false">IF(OR(A87="",B87=""),"",IF(AND(B87&gt;=DATE(2026,4,1),B87&lt;=DATE(2026,6,30)),"Yes","No"))</f>
        <v/>
      </c>
      <c r="T87" s="72" t="str">
        <f aca="false">IF(OR(A87="",B87=""),"",CHOOSE(WEEKDAY(B87),"Sun","Mon","Tue","Wed","Thu","Fri","Sat"))</f>
        <v/>
      </c>
      <c r="U87" s="72" t="str">
        <f aca="false">IF(OR(Q87&lt;&gt;"Long",D87=""),"",IF(D87&lt;480,"Under 8 min",IF(D87&lt;900,"8–15 min",IF(D87&lt;1500,"15–25 min","25+ min"))))</f>
        <v/>
      </c>
      <c r="V87" s="74" t="str">
        <f aca="false">IF(OR(A87="",N(E87)=0),"",(N(K87)+N(L87))/E87*100)</f>
        <v/>
      </c>
      <c r="W87" s="73" t="str">
        <f aca="false">IF(OR(A87="",N(E87)=0),"",N(L87)/E87*1000)</f>
        <v/>
      </c>
      <c r="X87" s="75" t="str">
        <f aca="false">IF(A87="","",N(N87)-N(O87))</f>
        <v/>
      </c>
      <c r="Y87" s="73" t="str">
        <f aca="false">IF(OR(A87="",N(E87)=0),"",X87/E87*1000)</f>
        <v/>
      </c>
      <c r="Z87" s="72" t="str">
        <f aca="false">IF(OR(A87="",G87=""),"",IF(Q87="Short","n/a (Short)",IF(G87&gt;=Benchmarks!$E$5,"Elite",IF(G87&gt;=Benchmarks!$D$5,"Strong",IF(G87&gt;=Benchmarks!$C$5,"Average","Needs work")))))</f>
        <v/>
      </c>
      <c r="AA87" s="72" t="str">
        <f aca="false">IF(OR(A87="",I87=""),"",IF(Q87="Short",IF(I87&gt;=Benchmarks!$E$7,"Elite",IF(I87&gt;=Benchmarks!$D$7,"Strong",IF(I87&gt;=Benchmarks!$C$7,"Average","Needs work"))),IF(I87&gt;=Benchmarks!$E$6,"Elite",IF(I87&gt;=Benchmarks!$D$6,"Strong",IF(I87&gt;=Benchmarks!$C$6,"Average","Needs work")))))</f>
        <v/>
      </c>
      <c r="AB87" s="72" t="str">
        <f aca="false">IF(V87="","",IF(V87&gt;=Benchmarks!$E$8,"Elite",IF(V87&gt;=Benchmarks!$D$8,"Strong",IF(V87&gt;=Benchmarks!$C$8,"Average","Needs work"))))</f>
        <v/>
      </c>
      <c r="AC87" s="73" t="str">
        <f aca="false">IF(COUNT(AG87:AI87)=0,"",AVERAGE(AG87:AI87))</f>
        <v/>
      </c>
      <c r="AD87" s="37" t="str">
        <f aca="false">IF(A87="","",IF(Q87="Short",IF(AH87="","Add % viewed to diagnose",IF(AND(AH87&gt;=3,N(AI87)&gt;=3),"Winner Short — expand it into a long-form video",IF(AH87&lt;=1,"Hook problem — viewers swipe away in the first seconds",IF(AI87=1,"Watched but no reaction — end on a question or opinion","Solid Short — keep iterating")))),IF(OR(AG87="",AH87=""),"Add CTR &amp; % viewed to diagnose",IF(AND(AG87&gt;=3,AH87&gt;=3),"WINNER — make a sequel, series or Shorts from it",IF(AND(AG87&gt;=3,AH87&lt;=2),"Click but leave — intro too slow or title over-promises",IF(AND(AG87&lt;=2,AH87&gt;=3),"Great video, weak packaging — A/B test title + thumbnail",IF(AND(AG87=1,AH87=1),"Topic miss — don't repeat this angle","Average — sharpen the hook and the title")))))))</f>
        <v/>
      </c>
      <c r="AE87" s="76" t="str">
        <f aca="false">IF(OR(A87="",N(E87)=0),"",Q87&amp;"-"&amp;(COUNTIFS($Q$5:$Q$204,Q87,$E$5:$E$204,"&gt;"&amp;E87)+COUNTIFS($Q$5:Q87,Q87,$E$5:E87,E87)))</f>
        <v/>
      </c>
      <c r="AF87" s="77" t="str">
        <f aca="false">IF(AND(Q87="Long",N(F87)&gt;=Benchmarks!$C$15,G87&lt;&gt;""),G87,"")</f>
        <v/>
      </c>
      <c r="AG87" s="78" t="str">
        <f aca="false">IF(Z87="Elite",4,IF(Z87="Strong",3,IF(Z87="Average",2,IF(Z87="Needs work",1,""))))</f>
        <v/>
      </c>
      <c r="AH87" s="78" t="str">
        <f aca="false">IF(AA87="Elite",4,IF(AA87="Strong",3,IF(AA87="Average",2,IF(AA87="Needs work",1,""))))</f>
        <v/>
      </c>
      <c r="AI87" s="78" t="str">
        <f aca="false">IF(AB87="Elite",4,IF(AB87="Strong",3,IF(AB87="Average",2,IF(AB87="Needs work",1,""))))</f>
        <v/>
      </c>
    </row>
    <row r="88" customFormat="false" ht="15" hidden="false" customHeight="false" outlineLevel="0" collapsed="false">
      <c r="A88" s="64"/>
      <c r="B88" s="65"/>
      <c r="C88" s="66"/>
      <c r="D88" s="67"/>
      <c r="E88" s="67"/>
      <c r="F88" s="67"/>
      <c r="G88" s="68"/>
      <c r="H88" s="69"/>
      <c r="I88" s="68"/>
      <c r="J88" s="70"/>
      <c r="K88" s="67"/>
      <c r="L88" s="67"/>
      <c r="M88" s="67"/>
      <c r="N88" s="67"/>
      <c r="O88" s="67"/>
      <c r="P88" s="71"/>
      <c r="Q88" s="72" t="str">
        <f aca="false">IF(A88="","",IF(C88&lt;&gt;"",C88,IF(AND(D88&lt;&gt;"",D88&lt;=180),"Short","Long")))</f>
        <v/>
      </c>
      <c r="R88" s="73" t="str">
        <f aca="false">IF(OR(A88="",D88=""),"",D88/60)</f>
        <v/>
      </c>
      <c r="S88" s="72" t="str">
        <f aca="false">IF(OR(A88="",B88=""),"",IF(AND(B88&gt;=DATE(2026,4,1),B88&lt;=DATE(2026,6,30)),"Yes","No"))</f>
        <v/>
      </c>
      <c r="T88" s="72" t="str">
        <f aca="false">IF(OR(A88="",B88=""),"",CHOOSE(WEEKDAY(B88),"Sun","Mon","Tue","Wed","Thu","Fri","Sat"))</f>
        <v/>
      </c>
      <c r="U88" s="72" t="str">
        <f aca="false">IF(OR(Q88&lt;&gt;"Long",D88=""),"",IF(D88&lt;480,"Under 8 min",IF(D88&lt;900,"8–15 min",IF(D88&lt;1500,"15–25 min","25+ min"))))</f>
        <v/>
      </c>
      <c r="V88" s="74" t="str">
        <f aca="false">IF(OR(A88="",N(E88)=0),"",(N(K88)+N(L88))/E88*100)</f>
        <v/>
      </c>
      <c r="W88" s="73" t="str">
        <f aca="false">IF(OR(A88="",N(E88)=0),"",N(L88)/E88*1000)</f>
        <v/>
      </c>
      <c r="X88" s="75" t="str">
        <f aca="false">IF(A88="","",N(N88)-N(O88))</f>
        <v/>
      </c>
      <c r="Y88" s="73" t="str">
        <f aca="false">IF(OR(A88="",N(E88)=0),"",X88/E88*1000)</f>
        <v/>
      </c>
      <c r="Z88" s="72" t="str">
        <f aca="false">IF(OR(A88="",G88=""),"",IF(Q88="Short","n/a (Short)",IF(G88&gt;=Benchmarks!$E$5,"Elite",IF(G88&gt;=Benchmarks!$D$5,"Strong",IF(G88&gt;=Benchmarks!$C$5,"Average","Needs work")))))</f>
        <v/>
      </c>
      <c r="AA88" s="72" t="str">
        <f aca="false">IF(OR(A88="",I88=""),"",IF(Q88="Short",IF(I88&gt;=Benchmarks!$E$7,"Elite",IF(I88&gt;=Benchmarks!$D$7,"Strong",IF(I88&gt;=Benchmarks!$C$7,"Average","Needs work"))),IF(I88&gt;=Benchmarks!$E$6,"Elite",IF(I88&gt;=Benchmarks!$D$6,"Strong",IF(I88&gt;=Benchmarks!$C$6,"Average","Needs work")))))</f>
        <v/>
      </c>
      <c r="AB88" s="72" t="str">
        <f aca="false">IF(V88="","",IF(V88&gt;=Benchmarks!$E$8,"Elite",IF(V88&gt;=Benchmarks!$D$8,"Strong",IF(V88&gt;=Benchmarks!$C$8,"Average","Needs work"))))</f>
        <v/>
      </c>
      <c r="AC88" s="73" t="str">
        <f aca="false">IF(COUNT(AG88:AI88)=0,"",AVERAGE(AG88:AI88))</f>
        <v/>
      </c>
      <c r="AD88" s="37" t="str">
        <f aca="false">IF(A88="","",IF(Q88="Short",IF(AH88="","Add % viewed to diagnose",IF(AND(AH88&gt;=3,N(AI88)&gt;=3),"Winner Short — expand it into a long-form video",IF(AH88&lt;=1,"Hook problem — viewers swipe away in the first seconds",IF(AI88=1,"Watched but no reaction — end on a question or opinion","Solid Short — keep iterating")))),IF(OR(AG88="",AH88=""),"Add CTR &amp; % viewed to diagnose",IF(AND(AG88&gt;=3,AH88&gt;=3),"WINNER — make a sequel, series or Shorts from it",IF(AND(AG88&gt;=3,AH88&lt;=2),"Click but leave — intro too slow or title over-promises",IF(AND(AG88&lt;=2,AH88&gt;=3),"Great video, weak packaging — A/B test title + thumbnail",IF(AND(AG88=1,AH88=1),"Topic miss — don't repeat this angle","Average — sharpen the hook and the title")))))))</f>
        <v/>
      </c>
      <c r="AE88" s="76" t="str">
        <f aca="false">IF(OR(A88="",N(E88)=0),"",Q88&amp;"-"&amp;(COUNTIFS($Q$5:$Q$204,Q88,$E$5:$E$204,"&gt;"&amp;E88)+COUNTIFS($Q$5:Q88,Q88,$E$5:E88,E88)))</f>
        <v/>
      </c>
      <c r="AF88" s="77" t="str">
        <f aca="false">IF(AND(Q88="Long",N(F88)&gt;=Benchmarks!$C$15,G88&lt;&gt;""),G88,"")</f>
        <v/>
      </c>
      <c r="AG88" s="78" t="str">
        <f aca="false">IF(Z88="Elite",4,IF(Z88="Strong",3,IF(Z88="Average",2,IF(Z88="Needs work",1,""))))</f>
        <v/>
      </c>
      <c r="AH88" s="78" t="str">
        <f aca="false">IF(AA88="Elite",4,IF(AA88="Strong",3,IF(AA88="Average",2,IF(AA88="Needs work",1,""))))</f>
        <v/>
      </c>
      <c r="AI88" s="78" t="str">
        <f aca="false">IF(AB88="Elite",4,IF(AB88="Strong",3,IF(AB88="Average",2,IF(AB88="Needs work",1,""))))</f>
        <v/>
      </c>
    </row>
    <row r="89" customFormat="false" ht="15" hidden="false" customHeight="false" outlineLevel="0" collapsed="false">
      <c r="A89" s="64"/>
      <c r="B89" s="65"/>
      <c r="C89" s="66"/>
      <c r="D89" s="67"/>
      <c r="E89" s="67"/>
      <c r="F89" s="67"/>
      <c r="G89" s="68"/>
      <c r="H89" s="69"/>
      <c r="I89" s="68"/>
      <c r="J89" s="70"/>
      <c r="K89" s="67"/>
      <c r="L89" s="67"/>
      <c r="M89" s="67"/>
      <c r="N89" s="67"/>
      <c r="O89" s="67"/>
      <c r="P89" s="71"/>
      <c r="Q89" s="72" t="str">
        <f aca="false">IF(A89="","",IF(C89&lt;&gt;"",C89,IF(AND(D89&lt;&gt;"",D89&lt;=180),"Short","Long")))</f>
        <v/>
      </c>
      <c r="R89" s="73" t="str">
        <f aca="false">IF(OR(A89="",D89=""),"",D89/60)</f>
        <v/>
      </c>
      <c r="S89" s="72" t="str">
        <f aca="false">IF(OR(A89="",B89=""),"",IF(AND(B89&gt;=DATE(2026,4,1),B89&lt;=DATE(2026,6,30)),"Yes","No"))</f>
        <v/>
      </c>
      <c r="T89" s="72" t="str">
        <f aca="false">IF(OR(A89="",B89=""),"",CHOOSE(WEEKDAY(B89),"Sun","Mon","Tue","Wed","Thu","Fri","Sat"))</f>
        <v/>
      </c>
      <c r="U89" s="72" t="str">
        <f aca="false">IF(OR(Q89&lt;&gt;"Long",D89=""),"",IF(D89&lt;480,"Under 8 min",IF(D89&lt;900,"8–15 min",IF(D89&lt;1500,"15–25 min","25+ min"))))</f>
        <v/>
      </c>
      <c r="V89" s="74" t="str">
        <f aca="false">IF(OR(A89="",N(E89)=0),"",(N(K89)+N(L89))/E89*100)</f>
        <v/>
      </c>
      <c r="W89" s="73" t="str">
        <f aca="false">IF(OR(A89="",N(E89)=0),"",N(L89)/E89*1000)</f>
        <v/>
      </c>
      <c r="X89" s="75" t="str">
        <f aca="false">IF(A89="","",N(N89)-N(O89))</f>
        <v/>
      </c>
      <c r="Y89" s="73" t="str">
        <f aca="false">IF(OR(A89="",N(E89)=0),"",X89/E89*1000)</f>
        <v/>
      </c>
      <c r="Z89" s="72" t="str">
        <f aca="false">IF(OR(A89="",G89=""),"",IF(Q89="Short","n/a (Short)",IF(G89&gt;=Benchmarks!$E$5,"Elite",IF(G89&gt;=Benchmarks!$D$5,"Strong",IF(G89&gt;=Benchmarks!$C$5,"Average","Needs work")))))</f>
        <v/>
      </c>
      <c r="AA89" s="72" t="str">
        <f aca="false">IF(OR(A89="",I89=""),"",IF(Q89="Short",IF(I89&gt;=Benchmarks!$E$7,"Elite",IF(I89&gt;=Benchmarks!$D$7,"Strong",IF(I89&gt;=Benchmarks!$C$7,"Average","Needs work"))),IF(I89&gt;=Benchmarks!$E$6,"Elite",IF(I89&gt;=Benchmarks!$D$6,"Strong",IF(I89&gt;=Benchmarks!$C$6,"Average","Needs work")))))</f>
        <v/>
      </c>
      <c r="AB89" s="72" t="str">
        <f aca="false">IF(V89="","",IF(V89&gt;=Benchmarks!$E$8,"Elite",IF(V89&gt;=Benchmarks!$D$8,"Strong",IF(V89&gt;=Benchmarks!$C$8,"Average","Needs work"))))</f>
        <v/>
      </c>
      <c r="AC89" s="73" t="str">
        <f aca="false">IF(COUNT(AG89:AI89)=0,"",AVERAGE(AG89:AI89))</f>
        <v/>
      </c>
      <c r="AD89" s="37" t="str">
        <f aca="false">IF(A89="","",IF(Q89="Short",IF(AH89="","Add % viewed to diagnose",IF(AND(AH89&gt;=3,N(AI89)&gt;=3),"Winner Short — expand it into a long-form video",IF(AH89&lt;=1,"Hook problem — viewers swipe away in the first seconds",IF(AI89=1,"Watched but no reaction — end on a question or opinion","Solid Short — keep iterating")))),IF(OR(AG89="",AH89=""),"Add CTR &amp; % viewed to diagnose",IF(AND(AG89&gt;=3,AH89&gt;=3),"WINNER — make a sequel, series or Shorts from it",IF(AND(AG89&gt;=3,AH89&lt;=2),"Click but leave — intro too slow or title over-promises",IF(AND(AG89&lt;=2,AH89&gt;=3),"Great video, weak packaging — A/B test title + thumbnail",IF(AND(AG89=1,AH89=1),"Topic miss — don't repeat this angle","Average — sharpen the hook and the title")))))))</f>
        <v/>
      </c>
      <c r="AE89" s="76" t="str">
        <f aca="false">IF(OR(A89="",N(E89)=0),"",Q89&amp;"-"&amp;(COUNTIFS($Q$5:$Q$204,Q89,$E$5:$E$204,"&gt;"&amp;E89)+COUNTIFS($Q$5:Q89,Q89,$E$5:E89,E89)))</f>
        <v/>
      </c>
      <c r="AF89" s="77" t="str">
        <f aca="false">IF(AND(Q89="Long",N(F89)&gt;=Benchmarks!$C$15,G89&lt;&gt;""),G89,"")</f>
        <v/>
      </c>
      <c r="AG89" s="78" t="str">
        <f aca="false">IF(Z89="Elite",4,IF(Z89="Strong",3,IF(Z89="Average",2,IF(Z89="Needs work",1,""))))</f>
        <v/>
      </c>
      <c r="AH89" s="78" t="str">
        <f aca="false">IF(AA89="Elite",4,IF(AA89="Strong",3,IF(AA89="Average",2,IF(AA89="Needs work",1,""))))</f>
        <v/>
      </c>
      <c r="AI89" s="78" t="str">
        <f aca="false">IF(AB89="Elite",4,IF(AB89="Strong",3,IF(AB89="Average",2,IF(AB89="Needs work",1,""))))</f>
        <v/>
      </c>
    </row>
    <row r="90" customFormat="false" ht="15" hidden="false" customHeight="false" outlineLevel="0" collapsed="false">
      <c r="A90" s="64"/>
      <c r="B90" s="65"/>
      <c r="C90" s="66"/>
      <c r="D90" s="67"/>
      <c r="E90" s="67"/>
      <c r="F90" s="67"/>
      <c r="G90" s="68"/>
      <c r="H90" s="69"/>
      <c r="I90" s="68"/>
      <c r="J90" s="70"/>
      <c r="K90" s="67"/>
      <c r="L90" s="67"/>
      <c r="M90" s="67"/>
      <c r="N90" s="67"/>
      <c r="O90" s="67"/>
      <c r="P90" s="71"/>
      <c r="Q90" s="72" t="str">
        <f aca="false">IF(A90="","",IF(C90&lt;&gt;"",C90,IF(AND(D90&lt;&gt;"",D90&lt;=180),"Short","Long")))</f>
        <v/>
      </c>
      <c r="R90" s="73" t="str">
        <f aca="false">IF(OR(A90="",D90=""),"",D90/60)</f>
        <v/>
      </c>
      <c r="S90" s="72" t="str">
        <f aca="false">IF(OR(A90="",B90=""),"",IF(AND(B90&gt;=DATE(2026,4,1),B90&lt;=DATE(2026,6,30)),"Yes","No"))</f>
        <v/>
      </c>
      <c r="T90" s="72" t="str">
        <f aca="false">IF(OR(A90="",B90=""),"",CHOOSE(WEEKDAY(B90),"Sun","Mon","Tue","Wed","Thu","Fri","Sat"))</f>
        <v/>
      </c>
      <c r="U90" s="72" t="str">
        <f aca="false">IF(OR(Q90&lt;&gt;"Long",D90=""),"",IF(D90&lt;480,"Under 8 min",IF(D90&lt;900,"8–15 min",IF(D90&lt;1500,"15–25 min","25+ min"))))</f>
        <v/>
      </c>
      <c r="V90" s="74" t="str">
        <f aca="false">IF(OR(A90="",N(E90)=0),"",(N(K90)+N(L90))/E90*100)</f>
        <v/>
      </c>
      <c r="W90" s="73" t="str">
        <f aca="false">IF(OR(A90="",N(E90)=0),"",N(L90)/E90*1000)</f>
        <v/>
      </c>
      <c r="X90" s="75" t="str">
        <f aca="false">IF(A90="","",N(N90)-N(O90))</f>
        <v/>
      </c>
      <c r="Y90" s="73" t="str">
        <f aca="false">IF(OR(A90="",N(E90)=0),"",X90/E90*1000)</f>
        <v/>
      </c>
      <c r="Z90" s="72" t="str">
        <f aca="false">IF(OR(A90="",G90=""),"",IF(Q90="Short","n/a (Short)",IF(G90&gt;=Benchmarks!$E$5,"Elite",IF(G90&gt;=Benchmarks!$D$5,"Strong",IF(G90&gt;=Benchmarks!$C$5,"Average","Needs work")))))</f>
        <v/>
      </c>
      <c r="AA90" s="72" t="str">
        <f aca="false">IF(OR(A90="",I90=""),"",IF(Q90="Short",IF(I90&gt;=Benchmarks!$E$7,"Elite",IF(I90&gt;=Benchmarks!$D$7,"Strong",IF(I90&gt;=Benchmarks!$C$7,"Average","Needs work"))),IF(I90&gt;=Benchmarks!$E$6,"Elite",IF(I90&gt;=Benchmarks!$D$6,"Strong",IF(I90&gt;=Benchmarks!$C$6,"Average","Needs work")))))</f>
        <v/>
      </c>
      <c r="AB90" s="72" t="str">
        <f aca="false">IF(V90="","",IF(V90&gt;=Benchmarks!$E$8,"Elite",IF(V90&gt;=Benchmarks!$D$8,"Strong",IF(V90&gt;=Benchmarks!$C$8,"Average","Needs work"))))</f>
        <v/>
      </c>
      <c r="AC90" s="73" t="str">
        <f aca="false">IF(COUNT(AG90:AI90)=0,"",AVERAGE(AG90:AI90))</f>
        <v/>
      </c>
      <c r="AD90" s="37" t="str">
        <f aca="false">IF(A90="","",IF(Q90="Short",IF(AH90="","Add % viewed to diagnose",IF(AND(AH90&gt;=3,N(AI90)&gt;=3),"Winner Short — expand it into a long-form video",IF(AH90&lt;=1,"Hook problem — viewers swipe away in the first seconds",IF(AI90=1,"Watched but no reaction — end on a question or opinion","Solid Short — keep iterating")))),IF(OR(AG90="",AH90=""),"Add CTR &amp; % viewed to diagnose",IF(AND(AG90&gt;=3,AH90&gt;=3),"WINNER — make a sequel, series or Shorts from it",IF(AND(AG90&gt;=3,AH90&lt;=2),"Click but leave — intro too slow or title over-promises",IF(AND(AG90&lt;=2,AH90&gt;=3),"Great video, weak packaging — A/B test title + thumbnail",IF(AND(AG90=1,AH90=1),"Topic miss — don't repeat this angle","Average — sharpen the hook and the title")))))))</f>
        <v/>
      </c>
      <c r="AE90" s="76" t="str">
        <f aca="false">IF(OR(A90="",N(E90)=0),"",Q90&amp;"-"&amp;(COUNTIFS($Q$5:$Q$204,Q90,$E$5:$E$204,"&gt;"&amp;E90)+COUNTIFS($Q$5:Q90,Q90,$E$5:E90,E90)))</f>
        <v/>
      </c>
      <c r="AF90" s="77" t="str">
        <f aca="false">IF(AND(Q90="Long",N(F90)&gt;=Benchmarks!$C$15,G90&lt;&gt;""),G90,"")</f>
        <v/>
      </c>
      <c r="AG90" s="78" t="str">
        <f aca="false">IF(Z90="Elite",4,IF(Z90="Strong",3,IF(Z90="Average",2,IF(Z90="Needs work",1,""))))</f>
        <v/>
      </c>
      <c r="AH90" s="78" t="str">
        <f aca="false">IF(AA90="Elite",4,IF(AA90="Strong",3,IF(AA90="Average",2,IF(AA90="Needs work",1,""))))</f>
        <v/>
      </c>
      <c r="AI90" s="78" t="str">
        <f aca="false">IF(AB90="Elite",4,IF(AB90="Strong",3,IF(AB90="Average",2,IF(AB90="Needs work",1,""))))</f>
        <v/>
      </c>
    </row>
    <row r="91" customFormat="false" ht="15" hidden="false" customHeight="false" outlineLevel="0" collapsed="false">
      <c r="A91" s="64"/>
      <c r="B91" s="65"/>
      <c r="C91" s="66"/>
      <c r="D91" s="67"/>
      <c r="E91" s="67"/>
      <c r="F91" s="67"/>
      <c r="G91" s="68"/>
      <c r="H91" s="69"/>
      <c r="I91" s="68"/>
      <c r="J91" s="70"/>
      <c r="K91" s="67"/>
      <c r="L91" s="67"/>
      <c r="M91" s="67"/>
      <c r="N91" s="67"/>
      <c r="O91" s="67"/>
      <c r="P91" s="71"/>
      <c r="Q91" s="72" t="str">
        <f aca="false">IF(A91="","",IF(C91&lt;&gt;"",C91,IF(AND(D91&lt;&gt;"",D91&lt;=180),"Short","Long")))</f>
        <v/>
      </c>
      <c r="R91" s="73" t="str">
        <f aca="false">IF(OR(A91="",D91=""),"",D91/60)</f>
        <v/>
      </c>
      <c r="S91" s="72" t="str">
        <f aca="false">IF(OR(A91="",B91=""),"",IF(AND(B91&gt;=DATE(2026,4,1),B91&lt;=DATE(2026,6,30)),"Yes","No"))</f>
        <v/>
      </c>
      <c r="T91" s="72" t="str">
        <f aca="false">IF(OR(A91="",B91=""),"",CHOOSE(WEEKDAY(B91),"Sun","Mon","Tue","Wed","Thu","Fri","Sat"))</f>
        <v/>
      </c>
      <c r="U91" s="72" t="str">
        <f aca="false">IF(OR(Q91&lt;&gt;"Long",D91=""),"",IF(D91&lt;480,"Under 8 min",IF(D91&lt;900,"8–15 min",IF(D91&lt;1500,"15–25 min","25+ min"))))</f>
        <v/>
      </c>
      <c r="V91" s="74" t="str">
        <f aca="false">IF(OR(A91="",N(E91)=0),"",(N(K91)+N(L91))/E91*100)</f>
        <v/>
      </c>
      <c r="W91" s="73" t="str">
        <f aca="false">IF(OR(A91="",N(E91)=0),"",N(L91)/E91*1000)</f>
        <v/>
      </c>
      <c r="X91" s="75" t="str">
        <f aca="false">IF(A91="","",N(N91)-N(O91))</f>
        <v/>
      </c>
      <c r="Y91" s="73" t="str">
        <f aca="false">IF(OR(A91="",N(E91)=0),"",X91/E91*1000)</f>
        <v/>
      </c>
      <c r="Z91" s="72" t="str">
        <f aca="false">IF(OR(A91="",G91=""),"",IF(Q91="Short","n/a (Short)",IF(G91&gt;=Benchmarks!$E$5,"Elite",IF(G91&gt;=Benchmarks!$D$5,"Strong",IF(G91&gt;=Benchmarks!$C$5,"Average","Needs work")))))</f>
        <v/>
      </c>
      <c r="AA91" s="72" t="str">
        <f aca="false">IF(OR(A91="",I91=""),"",IF(Q91="Short",IF(I91&gt;=Benchmarks!$E$7,"Elite",IF(I91&gt;=Benchmarks!$D$7,"Strong",IF(I91&gt;=Benchmarks!$C$7,"Average","Needs work"))),IF(I91&gt;=Benchmarks!$E$6,"Elite",IF(I91&gt;=Benchmarks!$D$6,"Strong",IF(I91&gt;=Benchmarks!$C$6,"Average","Needs work")))))</f>
        <v/>
      </c>
      <c r="AB91" s="72" t="str">
        <f aca="false">IF(V91="","",IF(V91&gt;=Benchmarks!$E$8,"Elite",IF(V91&gt;=Benchmarks!$D$8,"Strong",IF(V91&gt;=Benchmarks!$C$8,"Average","Needs work"))))</f>
        <v/>
      </c>
      <c r="AC91" s="73" t="str">
        <f aca="false">IF(COUNT(AG91:AI91)=0,"",AVERAGE(AG91:AI91))</f>
        <v/>
      </c>
      <c r="AD91" s="37" t="str">
        <f aca="false">IF(A91="","",IF(Q91="Short",IF(AH91="","Add % viewed to diagnose",IF(AND(AH91&gt;=3,N(AI91)&gt;=3),"Winner Short — expand it into a long-form video",IF(AH91&lt;=1,"Hook problem — viewers swipe away in the first seconds",IF(AI91=1,"Watched but no reaction — end on a question or opinion","Solid Short — keep iterating")))),IF(OR(AG91="",AH91=""),"Add CTR &amp; % viewed to diagnose",IF(AND(AG91&gt;=3,AH91&gt;=3),"WINNER — make a sequel, series or Shorts from it",IF(AND(AG91&gt;=3,AH91&lt;=2),"Click but leave — intro too slow or title over-promises",IF(AND(AG91&lt;=2,AH91&gt;=3),"Great video, weak packaging — A/B test title + thumbnail",IF(AND(AG91=1,AH91=1),"Topic miss — don't repeat this angle","Average — sharpen the hook and the title")))))))</f>
        <v/>
      </c>
      <c r="AE91" s="76" t="str">
        <f aca="false">IF(OR(A91="",N(E91)=0),"",Q91&amp;"-"&amp;(COUNTIFS($Q$5:$Q$204,Q91,$E$5:$E$204,"&gt;"&amp;E91)+COUNTIFS($Q$5:Q91,Q91,$E$5:E91,E91)))</f>
        <v/>
      </c>
      <c r="AF91" s="77" t="str">
        <f aca="false">IF(AND(Q91="Long",N(F91)&gt;=Benchmarks!$C$15,G91&lt;&gt;""),G91,"")</f>
        <v/>
      </c>
      <c r="AG91" s="78" t="str">
        <f aca="false">IF(Z91="Elite",4,IF(Z91="Strong",3,IF(Z91="Average",2,IF(Z91="Needs work",1,""))))</f>
        <v/>
      </c>
      <c r="AH91" s="78" t="str">
        <f aca="false">IF(AA91="Elite",4,IF(AA91="Strong",3,IF(AA91="Average",2,IF(AA91="Needs work",1,""))))</f>
        <v/>
      </c>
      <c r="AI91" s="78" t="str">
        <f aca="false">IF(AB91="Elite",4,IF(AB91="Strong",3,IF(AB91="Average",2,IF(AB91="Needs work",1,""))))</f>
        <v/>
      </c>
    </row>
    <row r="92" customFormat="false" ht="15" hidden="false" customHeight="false" outlineLevel="0" collapsed="false">
      <c r="A92" s="64"/>
      <c r="B92" s="65"/>
      <c r="C92" s="66"/>
      <c r="D92" s="67"/>
      <c r="E92" s="67"/>
      <c r="F92" s="67"/>
      <c r="G92" s="68"/>
      <c r="H92" s="69"/>
      <c r="I92" s="68"/>
      <c r="J92" s="70"/>
      <c r="K92" s="67"/>
      <c r="L92" s="67"/>
      <c r="M92" s="67"/>
      <c r="N92" s="67"/>
      <c r="O92" s="67"/>
      <c r="P92" s="71"/>
      <c r="Q92" s="72" t="str">
        <f aca="false">IF(A92="","",IF(C92&lt;&gt;"",C92,IF(AND(D92&lt;&gt;"",D92&lt;=180),"Short","Long")))</f>
        <v/>
      </c>
      <c r="R92" s="73" t="str">
        <f aca="false">IF(OR(A92="",D92=""),"",D92/60)</f>
        <v/>
      </c>
      <c r="S92" s="72" t="str">
        <f aca="false">IF(OR(A92="",B92=""),"",IF(AND(B92&gt;=DATE(2026,4,1),B92&lt;=DATE(2026,6,30)),"Yes","No"))</f>
        <v/>
      </c>
      <c r="T92" s="72" t="str">
        <f aca="false">IF(OR(A92="",B92=""),"",CHOOSE(WEEKDAY(B92),"Sun","Mon","Tue","Wed","Thu","Fri","Sat"))</f>
        <v/>
      </c>
      <c r="U92" s="72" t="str">
        <f aca="false">IF(OR(Q92&lt;&gt;"Long",D92=""),"",IF(D92&lt;480,"Under 8 min",IF(D92&lt;900,"8–15 min",IF(D92&lt;1500,"15–25 min","25+ min"))))</f>
        <v/>
      </c>
      <c r="V92" s="74" t="str">
        <f aca="false">IF(OR(A92="",N(E92)=0),"",(N(K92)+N(L92))/E92*100)</f>
        <v/>
      </c>
      <c r="W92" s="73" t="str">
        <f aca="false">IF(OR(A92="",N(E92)=0),"",N(L92)/E92*1000)</f>
        <v/>
      </c>
      <c r="X92" s="75" t="str">
        <f aca="false">IF(A92="","",N(N92)-N(O92))</f>
        <v/>
      </c>
      <c r="Y92" s="73" t="str">
        <f aca="false">IF(OR(A92="",N(E92)=0),"",X92/E92*1000)</f>
        <v/>
      </c>
      <c r="Z92" s="72" t="str">
        <f aca="false">IF(OR(A92="",G92=""),"",IF(Q92="Short","n/a (Short)",IF(G92&gt;=Benchmarks!$E$5,"Elite",IF(G92&gt;=Benchmarks!$D$5,"Strong",IF(G92&gt;=Benchmarks!$C$5,"Average","Needs work")))))</f>
        <v/>
      </c>
      <c r="AA92" s="72" t="str">
        <f aca="false">IF(OR(A92="",I92=""),"",IF(Q92="Short",IF(I92&gt;=Benchmarks!$E$7,"Elite",IF(I92&gt;=Benchmarks!$D$7,"Strong",IF(I92&gt;=Benchmarks!$C$7,"Average","Needs work"))),IF(I92&gt;=Benchmarks!$E$6,"Elite",IF(I92&gt;=Benchmarks!$D$6,"Strong",IF(I92&gt;=Benchmarks!$C$6,"Average","Needs work")))))</f>
        <v/>
      </c>
      <c r="AB92" s="72" t="str">
        <f aca="false">IF(V92="","",IF(V92&gt;=Benchmarks!$E$8,"Elite",IF(V92&gt;=Benchmarks!$D$8,"Strong",IF(V92&gt;=Benchmarks!$C$8,"Average","Needs work"))))</f>
        <v/>
      </c>
      <c r="AC92" s="73" t="str">
        <f aca="false">IF(COUNT(AG92:AI92)=0,"",AVERAGE(AG92:AI92))</f>
        <v/>
      </c>
      <c r="AD92" s="37" t="str">
        <f aca="false">IF(A92="","",IF(Q92="Short",IF(AH92="","Add % viewed to diagnose",IF(AND(AH92&gt;=3,N(AI92)&gt;=3),"Winner Short — expand it into a long-form video",IF(AH92&lt;=1,"Hook problem — viewers swipe away in the first seconds",IF(AI92=1,"Watched but no reaction — end on a question or opinion","Solid Short — keep iterating")))),IF(OR(AG92="",AH92=""),"Add CTR &amp; % viewed to diagnose",IF(AND(AG92&gt;=3,AH92&gt;=3),"WINNER — make a sequel, series or Shorts from it",IF(AND(AG92&gt;=3,AH92&lt;=2),"Click but leave — intro too slow or title over-promises",IF(AND(AG92&lt;=2,AH92&gt;=3),"Great video, weak packaging — A/B test title + thumbnail",IF(AND(AG92=1,AH92=1),"Topic miss — don't repeat this angle","Average — sharpen the hook and the title")))))))</f>
        <v/>
      </c>
      <c r="AE92" s="76" t="str">
        <f aca="false">IF(OR(A92="",N(E92)=0),"",Q92&amp;"-"&amp;(COUNTIFS($Q$5:$Q$204,Q92,$E$5:$E$204,"&gt;"&amp;E92)+COUNTIFS($Q$5:Q92,Q92,$E$5:E92,E92)))</f>
        <v/>
      </c>
      <c r="AF92" s="77" t="str">
        <f aca="false">IF(AND(Q92="Long",N(F92)&gt;=Benchmarks!$C$15,G92&lt;&gt;""),G92,"")</f>
        <v/>
      </c>
      <c r="AG92" s="78" t="str">
        <f aca="false">IF(Z92="Elite",4,IF(Z92="Strong",3,IF(Z92="Average",2,IF(Z92="Needs work",1,""))))</f>
        <v/>
      </c>
      <c r="AH92" s="78" t="str">
        <f aca="false">IF(AA92="Elite",4,IF(AA92="Strong",3,IF(AA92="Average",2,IF(AA92="Needs work",1,""))))</f>
        <v/>
      </c>
      <c r="AI92" s="78" t="str">
        <f aca="false">IF(AB92="Elite",4,IF(AB92="Strong",3,IF(AB92="Average",2,IF(AB92="Needs work",1,""))))</f>
        <v/>
      </c>
    </row>
    <row r="93" customFormat="false" ht="15" hidden="false" customHeight="false" outlineLevel="0" collapsed="false">
      <c r="A93" s="64"/>
      <c r="B93" s="65"/>
      <c r="C93" s="66"/>
      <c r="D93" s="67"/>
      <c r="E93" s="67"/>
      <c r="F93" s="67"/>
      <c r="G93" s="68"/>
      <c r="H93" s="69"/>
      <c r="I93" s="68"/>
      <c r="J93" s="70"/>
      <c r="K93" s="67"/>
      <c r="L93" s="67"/>
      <c r="M93" s="67"/>
      <c r="N93" s="67"/>
      <c r="O93" s="67"/>
      <c r="P93" s="71"/>
      <c r="Q93" s="72" t="str">
        <f aca="false">IF(A93="","",IF(C93&lt;&gt;"",C93,IF(AND(D93&lt;&gt;"",D93&lt;=180),"Short","Long")))</f>
        <v/>
      </c>
      <c r="R93" s="73" t="str">
        <f aca="false">IF(OR(A93="",D93=""),"",D93/60)</f>
        <v/>
      </c>
      <c r="S93" s="72" t="str">
        <f aca="false">IF(OR(A93="",B93=""),"",IF(AND(B93&gt;=DATE(2026,4,1),B93&lt;=DATE(2026,6,30)),"Yes","No"))</f>
        <v/>
      </c>
      <c r="T93" s="72" t="str">
        <f aca="false">IF(OR(A93="",B93=""),"",CHOOSE(WEEKDAY(B93),"Sun","Mon","Tue","Wed","Thu","Fri","Sat"))</f>
        <v/>
      </c>
      <c r="U93" s="72" t="str">
        <f aca="false">IF(OR(Q93&lt;&gt;"Long",D93=""),"",IF(D93&lt;480,"Under 8 min",IF(D93&lt;900,"8–15 min",IF(D93&lt;1500,"15–25 min","25+ min"))))</f>
        <v/>
      </c>
      <c r="V93" s="74" t="str">
        <f aca="false">IF(OR(A93="",N(E93)=0),"",(N(K93)+N(L93))/E93*100)</f>
        <v/>
      </c>
      <c r="W93" s="73" t="str">
        <f aca="false">IF(OR(A93="",N(E93)=0),"",N(L93)/E93*1000)</f>
        <v/>
      </c>
      <c r="X93" s="75" t="str">
        <f aca="false">IF(A93="","",N(N93)-N(O93))</f>
        <v/>
      </c>
      <c r="Y93" s="73" t="str">
        <f aca="false">IF(OR(A93="",N(E93)=0),"",X93/E93*1000)</f>
        <v/>
      </c>
      <c r="Z93" s="72" t="str">
        <f aca="false">IF(OR(A93="",G93=""),"",IF(Q93="Short","n/a (Short)",IF(G93&gt;=Benchmarks!$E$5,"Elite",IF(G93&gt;=Benchmarks!$D$5,"Strong",IF(G93&gt;=Benchmarks!$C$5,"Average","Needs work")))))</f>
        <v/>
      </c>
      <c r="AA93" s="72" t="str">
        <f aca="false">IF(OR(A93="",I93=""),"",IF(Q93="Short",IF(I93&gt;=Benchmarks!$E$7,"Elite",IF(I93&gt;=Benchmarks!$D$7,"Strong",IF(I93&gt;=Benchmarks!$C$7,"Average","Needs work"))),IF(I93&gt;=Benchmarks!$E$6,"Elite",IF(I93&gt;=Benchmarks!$D$6,"Strong",IF(I93&gt;=Benchmarks!$C$6,"Average","Needs work")))))</f>
        <v/>
      </c>
      <c r="AB93" s="72" t="str">
        <f aca="false">IF(V93="","",IF(V93&gt;=Benchmarks!$E$8,"Elite",IF(V93&gt;=Benchmarks!$D$8,"Strong",IF(V93&gt;=Benchmarks!$C$8,"Average","Needs work"))))</f>
        <v/>
      </c>
      <c r="AC93" s="73" t="str">
        <f aca="false">IF(COUNT(AG93:AI93)=0,"",AVERAGE(AG93:AI93))</f>
        <v/>
      </c>
      <c r="AD93" s="37" t="str">
        <f aca="false">IF(A93="","",IF(Q93="Short",IF(AH93="","Add % viewed to diagnose",IF(AND(AH93&gt;=3,N(AI93)&gt;=3),"Winner Short — expand it into a long-form video",IF(AH93&lt;=1,"Hook problem — viewers swipe away in the first seconds",IF(AI93=1,"Watched but no reaction — end on a question or opinion","Solid Short — keep iterating")))),IF(OR(AG93="",AH93=""),"Add CTR &amp; % viewed to diagnose",IF(AND(AG93&gt;=3,AH93&gt;=3),"WINNER — make a sequel, series or Shorts from it",IF(AND(AG93&gt;=3,AH93&lt;=2),"Click but leave — intro too slow or title over-promises",IF(AND(AG93&lt;=2,AH93&gt;=3),"Great video, weak packaging — A/B test title + thumbnail",IF(AND(AG93=1,AH93=1),"Topic miss — don't repeat this angle","Average — sharpen the hook and the title")))))))</f>
        <v/>
      </c>
      <c r="AE93" s="76" t="str">
        <f aca="false">IF(OR(A93="",N(E93)=0),"",Q93&amp;"-"&amp;(COUNTIFS($Q$5:$Q$204,Q93,$E$5:$E$204,"&gt;"&amp;E93)+COUNTIFS($Q$5:Q93,Q93,$E$5:E93,E93)))</f>
        <v/>
      </c>
      <c r="AF93" s="77" t="str">
        <f aca="false">IF(AND(Q93="Long",N(F93)&gt;=Benchmarks!$C$15,G93&lt;&gt;""),G93,"")</f>
        <v/>
      </c>
      <c r="AG93" s="78" t="str">
        <f aca="false">IF(Z93="Elite",4,IF(Z93="Strong",3,IF(Z93="Average",2,IF(Z93="Needs work",1,""))))</f>
        <v/>
      </c>
      <c r="AH93" s="78" t="str">
        <f aca="false">IF(AA93="Elite",4,IF(AA93="Strong",3,IF(AA93="Average",2,IF(AA93="Needs work",1,""))))</f>
        <v/>
      </c>
      <c r="AI93" s="78" t="str">
        <f aca="false">IF(AB93="Elite",4,IF(AB93="Strong",3,IF(AB93="Average",2,IF(AB93="Needs work",1,""))))</f>
        <v/>
      </c>
    </row>
    <row r="94" customFormat="false" ht="15" hidden="false" customHeight="false" outlineLevel="0" collapsed="false">
      <c r="A94" s="64"/>
      <c r="B94" s="65"/>
      <c r="C94" s="66"/>
      <c r="D94" s="67"/>
      <c r="E94" s="67"/>
      <c r="F94" s="67"/>
      <c r="G94" s="68"/>
      <c r="H94" s="69"/>
      <c r="I94" s="68"/>
      <c r="J94" s="70"/>
      <c r="K94" s="67"/>
      <c r="L94" s="67"/>
      <c r="M94" s="67"/>
      <c r="N94" s="67"/>
      <c r="O94" s="67"/>
      <c r="P94" s="71"/>
      <c r="Q94" s="72" t="str">
        <f aca="false">IF(A94="","",IF(C94&lt;&gt;"",C94,IF(AND(D94&lt;&gt;"",D94&lt;=180),"Short","Long")))</f>
        <v/>
      </c>
      <c r="R94" s="73" t="str">
        <f aca="false">IF(OR(A94="",D94=""),"",D94/60)</f>
        <v/>
      </c>
      <c r="S94" s="72" t="str">
        <f aca="false">IF(OR(A94="",B94=""),"",IF(AND(B94&gt;=DATE(2026,4,1),B94&lt;=DATE(2026,6,30)),"Yes","No"))</f>
        <v/>
      </c>
      <c r="T94" s="72" t="str">
        <f aca="false">IF(OR(A94="",B94=""),"",CHOOSE(WEEKDAY(B94),"Sun","Mon","Tue","Wed","Thu","Fri","Sat"))</f>
        <v/>
      </c>
      <c r="U94" s="72" t="str">
        <f aca="false">IF(OR(Q94&lt;&gt;"Long",D94=""),"",IF(D94&lt;480,"Under 8 min",IF(D94&lt;900,"8–15 min",IF(D94&lt;1500,"15–25 min","25+ min"))))</f>
        <v/>
      </c>
      <c r="V94" s="74" t="str">
        <f aca="false">IF(OR(A94="",N(E94)=0),"",(N(K94)+N(L94))/E94*100)</f>
        <v/>
      </c>
      <c r="W94" s="73" t="str">
        <f aca="false">IF(OR(A94="",N(E94)=0),"",N(L94)/E94*1000)</f>
        <v/>
      </c>
      <c r="X94" s="75" t="str">
        <f aca="false">IF(A94="","",N(N94)-N(O94))</f>
        <v/>
      </c>
      <c r="Y94" s="73" t="str">
        <f aca="false">IF(OR(A94="",N(E94)=0),"",X94/E94*1000)</f>
        <v/>
      </c>
      <c r="Z94" s="72" t="str">
        <f aca="false">IF(OR(A94="",G94=""),"",IF(Q94="Short","n/a (Short)",IF(G94&gt;=Benchmarks!$E$5,"Elite",IF(G94&gt;=Benchmarks!$D$5,"Strong",IF(G94&gt;=Benchmarks!$C$5,"Average","Needs work")))))</f>
        <v/>
      </c>
      <c r="AA94" s="72" t="str">
        <f aca="false">IF(OR(A94="",I94=""),"",IF(Q94="Short",IF(I94&gt;=Benchmarks!$E$7,"Elite",IF(I94&gt;=Benchmarks!$D$7,"Strong",IF(I94&gt;=Benchmarks!$C$7,"Average","Needs work"))),IF(I94&gt;=Benchmarks!$E$6,"Elite",IF(I94&gt;=Benchmarks!$D$6,"Strong",IF(I94&gt;=Benchmarks!$C$6,"Average","Needs work")))))</f>
        <v/>
      </c>
      <c r="AB94" s="72" t="str">
        <f aca="false">IF(V94="","",IF(V94&gt;=Benchmarks!$E$8,"Elite",IF(V94&gt;=Benchmarks!$D$8,"Strong",IF(V94&gt;=Benchmarks!$C$8,"Average","Needs work"))))</f>
        <v/>
      </c>
      <c r="AC94" s="73" t="str">
        <f aca="false">IF(COUNT(AG94:AI94)=0,"",AVERAGE(AG94:AI94))</f>
        <v/>
      </c>
      <c r="AD94" s="37" t="str">
        <f aca="false">IF(A94="","",IF(Q94="Short",IF(AH94="","Add % viewed to diagnose",IF(AND(AH94&gt;=3,N(AI94)&gt;=3),"Winner Short — expand it into a long-form video",IF(AH94&lt;=1,"Hook problem — viewers swipe away in the first seconds",IF(AI94=1,"Watched but no reaction — end on a question or opinion","Solid Short — keep iterating")))),IF(OR(AG94="",AH94=""),"Add CTR &amp; % viewed to diagnose",IF(AND(AG94&gt;=3,AH94&gt;=3),"WINNER — make a sequel, series or Shorts from it",IF(AND(AG94&gt;=3,AH94&lt;=2),"Click but leave — intro too slow or title over-promises",IF(AND(AG94&lt;=2,AH94&gt;=3),"Great video, weak packaging — A/B test title + thumbnail",IF(AND(AG94=1,AH94=1),"Topic miss — don't repeat this angle","Average — sharpen the hook and the title")))))))</f>
        <v/>
      </c>
      <c r="AE94" s="76" t="str">
        <f aca="false">IF(OR(A94="",N(E94)=0),"",Q94&amp;"-"&amp;(COUNTIFS($Q$5:$Q$204,Q94,$E$5:$E$204,"&gt;"&amp;E94)+COUNTIFS($Q$5:Q94,Q94,$E$5:E94,E94)))</f>
        <v/>
      </c>
      <c r="AF94" s="77" t="str">
        <f aca="false">IF(AND(Q94="Long",N(F94)&gt;=Benchmarks!$C$15,G94&lt;&gt;""),G94,"")</f>
        <v/>
      </c>
      <c r="AG94" s="78" t="str">
        <f aca="false">IF(Z94="Elite",4,IF(Z94="Strong",3,IF(Z94="Average",2,IF(Z94="Needs work",1,""))))</f>
        <v/>
      </c>
      <c r="AH94" s="78" t="str">
        <f aca="false">IF(AA94="Elite",4,IF(AA94="Strong",3,IF(AA94="Average",2,IF(AA94="Needs work",1,""))))</f>
        <v/>
      </c>
      <c r="AI94" s="78" t="str">
        <f aca="false">IF(AB94="Elite",4,IF(AB94="Strong",3,IF(AB94="Average",2,IF(AB94="Needs work",1,""))))</f>
        <v/>
      </c>
    </row>
    <row r="95" customFormat="false" ht="15" hidden="false" customHeight="false" outlineLevel="0" collapsed="false">
      <c r="A95" s="64"/>
      <c r="B95" s="65"/>
      <c r="C95" s="66"/>
      <c r="D95" s="67"/>
      <c r="E95" s="67"/>
      <c r="F95" s="67"/>
      <c r="G95" s="68"/>
      <c r="H95" s="69"/>
      <c r="I95" s="68"/>
      <c r="J95" s="70"/>
      <c r="K95" s="67"/>
      <c r="L95" s="67"/>
      <c r="M95" s="67"/>
      <c r="N95" s="67"/>
      <c r="O95" s="67"/>
      <c r="P95" s="71"/>
      <c r="Q95" s="72" t="str">
        <f aca="false">IF(A95="","",IF(C95&lt;&gt;"",C95,IF(AND(D95&lt;&gt;"",D95&lt;=180),"Short","Long")))</f>
        <v/>
      </c>
      <c r="R95" s="73" t="str">
        <f aca="false">IF(OR(A95="",D95=""),"",D95/60)</f>
        <v/>
      </c>
      <c r="S95" s="72" t="str">
        <f aca="false">IF(OR(A95="",B95=""),"",IF(AND(B95&gt;=DATE(2026,4,1),B95&lt;=DATE(2026,6,30)),"Yes","No"))</f>
        <v/>
      </c>
      <c r="T95" s="72" t="str">
        <f aca="false">IF(OR(A95="",B95=""),"",CHOOSE(WEEKDAY(B95),"Sun","Mon","Tue","Wed","Thu","Fri","Sat"))</f>
        <v/>
      </c>
      <c r="U95" s="72" t="str">
        <f aca="false">IF(OR(Q95&lt;&gt;"Long",D95=""),"",IF(D95&lt;480,"Under 8 min",IF(D95&lt;900,"8–15 min",IF(D95&lt;1500,"15–25 min","25+ min"))))</f>
        <v/>
      </c>
      <c r="V95" s="74" t="str">
        <f aca="false">IF(OR(A95="",N(E95)=0),"",(N(K95)+N(L95))/E95*100)</f>
        <v/>
      </c>
      <c r="W95" s="73" t="str">
        <f aca="false">IF(OR(A95="",N(E95)=0),"",N(L95)/E95*1000)</f>
        <v/>
      </c>
      <c r="X95" s="75" t="str">
        <f aca="false">IF(A95="","",N(N95)-N(O95))</f>
        <v/>
      </c>
      <c r="Y95" s="73" t="str">
        <f aca="false">IF(OR(A95="",N(E95)=0),"",X95/E95*1000)</f>
        <v/>
      </c>
      <c r="Z95" s="72" t="str">
        <f aca="false">IF(OR(A95="",G95=""),"",IF(Q95="Short","n/a (Short)",IF(G95&gt;=Benchmarks!$E$5,"Elite",IF(G95&gt;=Benchmarks!$D$5,"Strong",IF(G95&gt;=Benchmarks!$C$5,"Average","Needs work")))))</f>
        <v/>
      </c>
      <c r="AA95" s="72" t="str">
        <f aca="false">IF(OR(A95="",I95=""),"",IF(Q95="Short",IF(I95&gt;=Benchmarks!$E$7,"Elite",IF(I95&gt;=Benchmarks!$D$7,"Strong",IF(I95&gt;=Benchmarks!$C$7,"Average","Needs work"))),IF(I95&gt;=Benchmarks!$E$6,"Elite",IF(I95&gt;=Benchmarks!$D$6,"Strong",IF(I95&gt;=Benchmarks!$C$6,"Average","Needs work")))))</f>
        <v/>
      </c>
      <c r="AB95" s="72" t="str">
        <f aca="false">IF(V95="","",IF(V95&gt;=Benchmarks!$E$8,"Elite",IF(V95&gt;=Benchmarks!$D$8,"Strong",IF(V95&gt;=Benchmarks!$C$8,"Average","Needs work"))))</f>
        <v/>
      </c>
      <c r="AC95" s="73" t="str">
        <f aca="false">IF(COUNT(AG95:AI95)=0,"",AVERAGE(AG95:AI95))</f>
        <v/>
      </c>
      <c r="AD95" s="37" t="str">
        <f aca="false">IF(A95="","",IF(Q95="Short",IF(AH95="","Add % viewed to diagnose",IF(AND(AH95&gt;=3,N(AI95)&gt;=3),"Winner Short — expand it into a long-form video",IF(AH95&lt;=1,"Hook problem — viewers swipe away in the first seconds",IF(AI95=1,"Watched but no reaction — end on a question or opinion","Solid Short — keep iterating")))),IF(OR(AG95="",AH95=""),"Add CTR &amp; % viewed to diagnose",IF(AND(AG95&gt;=3,AH95&gt;=3),"WINNER — make a sequel, series or Shorts from it",IF(AND(AG95&gt;=3,AH95&lt;=2),"Click but leave — intro too slow or title over-promises",IF(AND(AG95&lt;=2,AH95&gt;=3),"Great video, weak packaging — A/B test title + thumbnail",IF(AND(AG95=1,AH95=1),"Topic miss — don't repeat this angle","Average — sharpen the hook and the title")))))))</f>
        <v/>
      </c>
      <c r="AE95" s="76" t="str">
        <f aca="false">IF(OR(A95="",N(E95)=0),"",Q95&amp;"-"&amp;(COUNTIFS($Q$5:$Q$204,Q95,$E$5:$E$204,"&gt;"&amp;E95)+COUNTIFS($Q$5:Q95,Q95,$E$5:E95,E95)))</f>
        <v/>
      </c>
      <c r="AF95" s="77" t="str">
        <f aca="false">IF(AND(Q95="Long",N(F95)&gt;=Benchmarks!$C$15,G95&lt;&gt;""),G95,"")</f>
        <v/>
      </c>
      <c r="AG95" s="78" t="str">
        <f aca="false">IF(Z95="Elite",4,IF(Z95="Strong",3,IF(Z95="Average",2,IF(Z95="Needs work",1,""))))</f>
        <v/>
      </c>
      <c r="AH95" s="78" t="str">
        <f aca="false">IF(AA95="Elite",4,IF(AA95="Strong",3,IF(AA95="Average",2,IF(AA95="Needs work",1,""))))</f>
        <v/>
      </c>
      <c r="AI95" s="78" t="str">
        <f aca="false">IF(AB95="Elite",4,IF(AB95="Strong",3,IF(AB95="Average",2,IF(AB95="Needs work",1,""))))</f>
        <v/>
      </c>
    </row>
    <row r="96" customFormat="false" ht="15" hidden="false" customHeight="false" outlineLevel="0" collapsed="false">
      <c r="A96" s="64"/>
      <c r="B96" s="65"/>
      <c r="C96" s="66"/>
      <c r="D96" s="67"/>
      <c r="E96" s="67"/>
      <c r="F96" s="67"/>
      <c r="G96" s="68"/>
      <c r="H96" s="69"/>
      <c r="I96" s="68"/>
      <c r="J96" s="70"/>
      <c r="K96" s="67"/>
      <c r="L96" s="67"/>
      <c r="M96" s="67"/>
      <c r="N96" s="67"/>
      <c r="O96" s="67"/>
      <c r="P96" s="71"/>
      <c r="Q96" s="72" t="str">
        <f aca="false">IF(A96="","",IF(C96&lt;&gt;"",C96,IF(AND(D96&lt;&gt;"",D96&lt;=180),"Short","Long")))</f>
        <v/>
      </c>
      <c r="R96" s="73" t="str">
        <f aca="false">IF(OR(A96="",D96=""),"",D96/60)</f>
        <v/>
      </c>
      <c r="S96" s="72" t="str">
        <f aca="false">IF(OR(A96="",B96=""),"",IF(AND(B96&gt;=DATE(2026,4,1),B96&lt;=DATE(2026,6,30)),"Yes","No"))</f>
        <v/>
      </c>
      <c r="T96" s="72" t="str">
        <f aca="false">IF(OR(A96="",B96=""),"",CHOOSE(WEEKDAY(B96),"Sun","Mon","Tue","Wed","Thu","Fri","Sat"))</f>
        <v/>
      </c>
      <c r="U96" s="72" t="str">
        <f aca="false">IF(OR(Q96&lt;&gt;"Long",D96=""),"",IF(D96&lt;480,"Under 8 min",IF(D96&lt;900,"8–15 min",IF(D96&lt;1500,"15–25 min","25+ min"))))</f>
        <v/>
      </c>
      <c r="V96" s="74" t="str">
        <f aca="false">IF(OR(A96="",N(E96)=0),"",(N(K96)+N(L96))/E96*100)</f>
        <v/>
      </c>
      <c r="W96" s="73" t="str">
        <f aca="false">IF(OR(A96="",N(E96)=0),"",N(L96)/E96*1000)</f>
        <v/>
      </c>
      <c r="X96" s="75" t="str">
        <f aca="false">IF(A96="","",N(N96)-N(O96))</f>
        <v/>
      </c>
      <c r="Y96" s="73" t="str">
        <f aca="false">IF(OR(A96="",N(E96)=0),"",X96/E96*1000)</f>
        <v/>
      </c>
      <c r="Z96" s="72" t="str">
        <f aca="false">IF(OR(A96="",G96=""),"",IF(Q96="Short","n/a (Short)",IF(G96&gt;=Benchmarks!$E$5,"Elite",IF(G96&gt;=Benchmarks!$D$5,"Strong",IF(G96&gt;=Benchmarks!$C$5,"Average","Needs work")))))</f>
        <v/>
      </c>
      <c r="AA96" s="72" t="str">
        <f aca="false">IF(OR(A96="",I96=""),"",IF(Q96="Short",IF(I96&gt;=Benchmarks!$E$7,"Elite",IF(I96&gt;=Benchmarks!$D$7,"Strong",IF(I96&gt;=Benchmarks!$C$7,"Average","Needs work"))),IF(I96&gt;=Benchmarks!$E$6,"Elite",IF(I96&gt;=Benchmarks!$D$6,"Strong",IF(I96&gt;=Benchmarks!$C$6,"Average","Needs work")))))</f>
        <v/>
      </c>
      <c r="AB96" s="72" t="str">
        <f aca="false">IF(V96="","",IF(V96&gt;=Benchmarks!$E$8,"Elite",IF(V96&gt;=Benchmarks!$D$8,"Strong",IF(V96&gt;=Benchmarks!$C$8,"Average","Needs work"))))</f>
        <v/>
      </c>
      <c r="AC96" s="73" t="str">
        <f aca="false">IF(COUNT(AG96:AI96)=0,"",AVERAGE(AG96:AI96))</f>
        <v/>
      </c>
      <c r="AD96" s="37" t="str">
        <f aca="false">IF(A96="","",IF(Q96="Short",IF(AH96="","Add % viewed to diagnose",IF(AND(AH96&gt;=3,N(AI96)&gt;=3),"Winner Short — expand it into a long-form video",IF(AH96&lt;=1,"Hook problem — viewers swipe away in the first seconds",IF(AI96=1,"Watched but no reaction — end on a question or opinion","Solid Short — keep iterating")))),IF(OR(AG96="",AH96=""),"Add CTR &amp; % viewed to diagnose",IF(AND(AG96&gt;=3,AH96&gt;=3),"WINNER — make a sequel, series or Shorts from it",IF(AND(AG96&gt;=3,AH96&lt;=2),"Click but leave — intro too slow or title over-promises",IF(AND(AG96&lt;=2,AH96&gt;=3),"Great video, weak packaging — A/B test title + thumbnail",IF(AND(AG96=1,AH96=1),"Topic miss — don't repeat this angle","Average — sharpen the hook and the title")))))))</f>
        <v/>
      </c>
      <c r="AE96" s="76" t="str">
        <f aca="false">IF(OR(A96="",N(E96)=0),"",Q96&amp;"-"&amp;(COUNTIFS($Q$5:$Q$204,Q96,$E$5:$E$204,"&gt;"&amp;E96)+COUNTIFS($Q$5:Q96,Q96,$E$5:E96,E96)))</f>
        <v/>
      </c>
      <c r="AF96" s="77" t="str">
        <f aca="false">IF(AND(Q96="Long",N(F96)&gt;=Benchmarks!$C$15,G96&lt;&gt;""),G96,"")</f>
        <v/>
      </c>
      <c r="AG96" s="78" t="str">
        <f aca="false">IF(Z96="Elite",4,IF(Z96="Strong",3,IF(Z96="Average",2,IF(Z96="Needs work",1,""))))</f>
        <v/>
      </c>
      <c r="AH96" s="78" t="str">
        <f aca="false">IF(AA96="Elite",4,IF(AA96="Strong",3,IF(AA96="Average",2,IF(AA96="Needs work",1,""))))</f>
        <v/>
      </c>
      <c r="AI96" s="78" t="str">
        <f aca="false">IF(AB96="Elite",4,IF(AB96="Strong",3,IF(AB96="Average",2,IF(AB96="Needs work",1,""))))</f>
        <v/>
      </c>
    </row>
    <row r="97" customFormat="false" ht="15" hidden="false" customHeight="false" outlineLevel="0" collapsed="false">
      <c r="A97" s="64"/>
      <c r="B97" s="65"/>
      <c r="C97" s="66"/>
      <c r="D97" s="67"/>
      <c r="E97" s="67"/>
      <c r="F97" s="67"/>
      <c r="G97" s="68"/>
      <c r="H97" s="69"/>
      <c r="I97" s="68"/>
      <c r="J97" s="70"/>
      <c r="K97" s="67"/>
      <c r="L97" s="67"/>
      <c r="M97" s="67"/>
      <c r="N97" s="67"/>
      <c r="O97" s="67"/>
      <c r="P97" s="71"/>
      <c r="Q97" s="72" t="str">
        <f aca="false">IF(A97="","",IF(C97&lt;&gt;"",C97,IF(AND(D97&lt;&gt;"",D97&lt;=180),"Short","Long")))</f>
        <v/>
      </c>
      <c r="R97" s="73" t="str">
        <f aca="false">IF(OR(A97="",D97=""),"",D97/60)</f>
        <v/>
      </c>
      <c r="S97" s="72" t="str">
        <f aca="false">IF(OR(A97="",B97=""),"",IF(AND(B97&gt;=DATE(2026,4,1),B97&lt;=DATE(2026,6,30)),"Yes","No"))</f>
        <v/>
      </c>
      <c r="T97" s="72" t="str">
        <f aca="false">IF(OR(A97="",B97=""),"",CHOOSE(WEEKDAY(B97),"Sun","Mon","Tue","Wed","Thu","Fri","Sat"))</f>
        <v/>
      </c>
      <c r="U97" s="72" t="str">
        <f aca="false">IF(OR(Q97&lt;&gt;"Long",D97=""),"",IF(D97&lt;480,"Under 8 min",IF(D97&lt;900,"8–15 min",IF(D97&lt;1500,"15–25 min","25+ min"))))</f>
        <v/>
      </c>
      <c r="V97" s="74" t="str">
        <f aca="false">IF(OR(A97="",N(E97)=0),"",(N(K97)+N(L97))/E97*100)</f>
        <v/>
      </c>
      <c r="W97" s="73" t="str">
        <f aca="false">IF(OR(A97="",N(E97)=0),"",N(L97)/E97*1000)</f>
        <v/>
      </c>
      <c r="X97" s="75" t="str">
        <f aca="false">IF(A97="","",N(N97)-N(O97))</f>
        <v/>
      </c>
      <c r="Y97" s="73" t="str">
        <f aca="false">IF(OR(A97="",N(E97)=0),"",X97/E97*1000)</f>
        <v/>
      </c>
      <c r="Z97" s="72" t="str">
        <f aca="false">IF(OR(A97="",G97=""),"",IF(Q97="Short","n/a (Short)",IF(G97&gt;=Benchmarks!$E$5,"Elite",IF(G97&gt;=Benchmarks!$D$5,"Strong",IF(G97&gt;=Benchmarks!$C$5,"Average","Needs work")))))</f>
        <v/>
      </c>
      <c r="AA97" s="72" t="str">
        <f aca="false">IF(OR(A97="",I97=""),"",IF(Q97="Short",IF(I97&gt;=Benchmarks!$E$7,"Elite",IF(I97&gt;=Benchmarks!$D$7,"Strong",IF(I97&gt;=Benchmarks!$C$7,"Average","Needs work"))),IF(I97&gt;=Benchmarks!$E$6,"Elite",IF(I97&gt;=Benchmarks!$D$6,"Strong",IF(I97&gt;=Benchmarks!$C$6,"Average","Needs work")))))</f>
        <v/>
      </c>
      <c r="AB97" s="72" t="str">
        <f aca="false">IF(V97="","",IF(V97&gt;=Benchmarks!$E$8,"Elite",IF(V97&gt;=Benchmarks!$D$8,"Strong",IF(V97&gt;=Benchmarks!$C$8,"Average","Needs work"))))</f>
        <v/>
      </c>
      <c r="AC97" s="73" t="str">
        <f aca="false">IF(COUNT(AG97:AI97)=0,"",AVERAGE(AG97:AI97))</f>
        <v/>
      </c>
      <c r="AD97" s="37" t="str">
        <f aca="false">IF(A97="","",IF(Q97="Short",IF(AH97="","Add % viewed to diagnose",IF(AND(AH97&gt;=3,N(AI97)&gt;=3),"Winner Short — expand it into a long-form video",IF(AH97&lt;=1,"Hook problem — viewers swipe away in the first seconds",IF(AI97=1,"Watched but no reaction — end on a question or opinion","Solid Short — keep iterating")))),IF(OR(AG97="",AH97=""),"Add CTR &amp; % viewed to diagnose",IF(AND(AG97&gt;=3,AH97&gt;=3),"WINNER — make a sequel, series or Shorts from it",IF(AND(AG97&gt;=3,AH97&lt;=2),"Click but leave — intro too slow or title over-promises",IF(AND(AG97&lt;=2,AH97&gt;=3),"Great video, weak packaging — A/B test title + thumbnail",IF(AND(AG97=1,AH97=1),"Topic miss — don't repeat this angle","Average — sharpen the hook and the title")))))))</f>
        <v/>
      </c>
      <c r="AE97" s="76" t="str">
        <f aca="false">IF(OR(A97="",N(E97)=0),"",Q97&amp;"-"&amp;(COUNTIFS($Q$5:$Q$204,Q97,$E$5:$E$204,"&gt;"&amp;E97)+COUNTIFS($Q$5:Q97,Q97,$E$5:E97,E97)))</f>
        <v/>
      </c>
      <c r="AF97" s="77" t="str">
        <f aca="false">IF(AND(Q97="Long",N(F97)&gt;=Benchmarks!$C$15,G97&lt;&gt;""),G97,"")</f>
        <v/>
      </c>
      <c r="AG97" s="78" t="str">
        <f aca="false">IF(Z97="Elite",4,IF(Z97="Strong",3,IF(Z97="Average",2,IF(Z97="Needs work",1,""))))</f>
        <v/>
      </c>
      <c r="AH97" s="78" t="str">
        <f aca="false">IF(AA97="Elite",4,IF(AA97="Strong",3,IF(AA97="Average",2,IF(AA97="Needs work",1,""))))</f>
        <v/>
      </c>
      <c r="AI97" s="78" t="str">
        <f aca="false">IF(AB97="Elite",4,IF(AB97="Strong",3,IF(AB97="Average",2,IF(AB97="Needs work",1,""))))</f>
        <v/>
      </c>
    </row>
    <row r="98" customFormat="false" ht="15" hidden="false" customHeight="false" outlineLevel="0" collapsed="false">
      <c r="A98" s="64"/>
      <c r="B98" s="65"/>
      <c r="C98" s="66"/>
      <c r="D98" s="67"/>
      <c r="E98" s="67"/>
      <c r="F98" s="67"/>
      <c r="G98" s="68"/>
      <c r="H98" s="69"/>
      <c r="I98" s="68"/>
      <c r="J98" s="70"/>
      <c r="K98" s="67"/>
      <c r="L98" s="67"/>
      <c r="M98" s="67"/>
      <c r="N98" s="67"/>
      <c r="O98" s="67"/>
      <c r="P98" s="71"/>
      <c r="Q98" s="72" t="str">
        <f aca="false">IF(A98="","",IF(C98&lt;&gt;"",C98,IF(AND(D98&lt;&gt;"",D98&lt;=180),"Short","Long")))</f>
        <v/>
      </c>
      <c r="R98" s="73" t="str">
        <f aca="false">IF(OR(A98="",D98=""),"",D98/60)</f>
        <v/>
      </c>
      <c r="S98" s="72" t="str">
        <f aca="false">IF(OR(A98="",B98=""),"",IF(AND(B98&gt;=DATE(2026,4,1),B98&lt;=DATE(2026,6,30)),"Yes","No"))</f>
        <v/>
      </c>
      <c r="T98" s="72" t="str">
        <f aca="false">IF(OR(A98="",B98=""),"",CHOOSE(WEEKDAY(B98),"Sun","Mon","Tue","Wed","Thu","Fri","Sat"))</f>
        <v/>
      </c>
      <c r="U98" s="72" t="str">
        <f aca="false">IF(OR(Q98&lt;&gt;"Long",D98=""),"",IF(D98&lt;480,"Under 8 min",IF(D98&lt;900,"8–15 min",IF(D98&lt;1500,"15–25 min","25+ min"))))</f>
        <v/>
      </c>
      <c r="V98" s="74" t="str">
        <f aca="false">IF(OR(A98="",N(E98)=0),"",(N(K98)+N(L98))/E98*100)</f>
        <v/>
      </c>
      <c r="W98" s="73" t="str">
        <f aca="false">IF(OR(A98="",N(E98)=0),"",N(L98)/E98*1000)</f>
        <v/>
      </c>
      <c r="X98" s="75" t="str">
        <f aca="false">IF(A98="","",N(N98)-N(O98))</f>
        <v/>
      </c>
      <c r="Y98" s="73" t="str">
        <f aca="false">IF(OR(A98="",N(E98)=0),"",X98/E98*1000)</f>
        <v/>
      </c>
      <c r="Z98" s="72" t="str">
        <f aca="false">IF(OR(A98="",G98=""),"",IF(Q98="Short","n/a (Short)",IF(G98&gt;=Benchmarks!$E$5,"Elite",IF(G98&gt;=Benchmarks!$D$5,"Strong",IF(G98&gt;=Benchmarks!$C$5,"Average","Needs work")))))</f>
        <v/>
      </c>
      <c r="AA98" s="72" t="str">
        <f aca="false">IF(OR(A98="",I98=""),"",IF(Q98="Short",IF(I98&gt;=Benchmarks!$E$7,"Elite",IF(I98&gt;=Benchmarks!$D$7,"Strong",IF(I98&gt;=Benchmarks!$C$7,"Average","Needs work"))),IF(I98&gt;=Benchmarks!$E$6,"Elite",IF(I98&gt;=Benchmarks!$D$6,"Strong",IF(I98&gt;=Benchmarks!$C$6,"Average","Needs work")))))</f>
        <v/>
      </c>
      <c r="AB98" s="72" t="str">
        <f aca="false">IF(V98="","",IF(V98&gt;=Benchmarks!$E$8,"Elite",IF(V98&gt;=Benchmarks!$D$8,"Strong",IF(V98&gt;=Benchmarks!$C$8,"Average","Needs work"))))</f>
        <v/>
      </c>
      <c r="AC98" s="73" t="str">
        <f aca="false">IF(COUNT(AG98:AI98)=0,"",AVERAGE(AG98:AI98))</f>
        <v/>
      </c>
      <c r="AD98" s="37" t="str">
        <f aca="false">IF(A98="","",IF(Q98="Short",IF(AH98="","Add % viewed to diagnose",IF(AND(AH98&gt;=3,N(AI98)&gt;=3),"Winner Short — expand it into a long-form video",IF(AH98&lt;=1,"Hook problem — viewers swipe away in the first seconds",IF(AI98=1,"Watched but no reaction — end on a question or opinion","Solid Short — keep iterating")))),IF(OR(AG98="",AH98=""),"Add CTR &amp; % viewed to diagnose",IF(AND(AG98&gt;=3,AH98&gt;=3),"WINNER — make a sequel, series or Shorts from it",IF(AND(AG98&gt;=3,AH98&lt;=2),"Click but leave — intro too slow or title over-promises",IF(AND(AG98&lt;=2,AH98&gt;=3),"Great video, weak packaging — A/B test title + thumbnail",IF(AND(AG98=1,AH98=1),"Topic miss — don't repeat this angle","Average — sharpen the hook and the title")))))))</f>
        <v/>
      </c>
      <c r="AE98" s="76" t="str">
        <f aca="false">IF(OR(A98="",N(E98)=0),"",Q98&amp;"-"&amp;(COUNTIFS($Q$5:$Q$204,Q98,$E$5:$E$204,"&gt;"&amp;E98)+COUNTIFS($Q$5:Q98,Q98,$E$5:E98,E98)))</f>
        <v/>
      </c>
      <c r="AF98" s="77" t="str">
        <f aca="false">IF(AND(Q98="Long",N(F98)&gt;=Benchmarks!$C$15,G98&lt;&gt;""),G98,"")</f>
        <v/>
      </c>
      <c r="AG98" s="78" t="str">
        <f aca="false">IF(Z98="Elite",4,IF(Z98="Strong",3,IF(Z98="Average",2,IF(Z98="Needs work",1,""))))</f>
        <v/>
      </c>
      <c r="AH98" s="78" t="str">
        <f aca="false">IF(AA98="Elite",4,IF(AA98="Strong",3,IF(AA98="Average",2,IF(AA98="Needs work",1,""))))</f>
        <v/>
      </c>
      <c r="AI98" s="78" t="str">
        <f aca="false">IF(AB98="Elite",4,IF(AB98="Strong",3,IF(AB98="Average",2,IF(AB98="Needs work",1,""))))</f>
        <v/>
      </c>
    </row>
    <row r="99" customFormat="false" ht="15" hidden="false" customHeight="false" outlineLevel="0" collapsed="false">
      <c r="A99" s="64"/>
      <c r="B99" s="65"/>
      <c r="C99" s="66"/>
      <c r="D99" s="67"/>
      <c r="E99" s="67"/>
      <c r="F99" s="67"/>
      <c r="G99" s="68"/>
      <c r="H99" s="69"/>
      <c r="I99" s="68"/>
      <c r="J99" s="70"/>
      <c r="K99" s="67"/>
      <c r="L99" s="67"/>
      <c r="M99" s="67"/>
      <c r="N99" s="67"/>
      <c r="O99" s="67"/>
      <c r="P99" s="71"/>
      <c r="Q99" s="72" t="str">
        <f aca="false">IF(A99="","",IF(C99&lt;&gt;"",C99,IF(AND(D99&lt;&gt;"",D99&lt;=180),"Short","Long")))</f>
        <v/>
      </c>
      <c r="R99" s="73" t="str">
        <f aca="false">IF(OR(A99="",D99=""),"",D99/60)</f>
        <v/>
      </c>
      <c r="S99" s="72" t="str">
        <f aca="false">IF(OR(A99="",B99=""),"",IF(AND(B99&gt;=DATE(2026,4,1),B99&lt;=DATE(2026,6,30)),"Yes","No"))</f>
        <v/>
      </c>
      <c r="T99" s="72" t="str">
        <f aca="false">IF(OR(A99="",B99=""),"",CHOOSE(WEEKDAY(B99),"Sun","Mon","Tue","Wed","Thu","Fri","Sat"))</f>
        <v/>
      </c>
      <c r="U99" s="72" t="str">
        <f aca="false">IF(OR(Q99&lt;&gt;"Long",D99=""),"",IF(D99&lt;480,"Under 8 min",IF(D99&lt;900,"8–15 min",IF(D99&lt;1500,"15–25 min","25+ min"))))</f>
        <v/>
      </c>
      <c r="V99" s="74" t="str">
        <f aca="false">IF(OR(A99="",N(E99)=0),"",(N(K99)+N(L99))/E99*100)</f>
        <v/>
      </c>
      <c r="W99" s="73" t="str">
        <f aca="false">IF(OR(A99="",N(E99)=0),"",N(L99)/E99*1000)</f>
        <v/>
      </c>
      <c r="X99" s="75" t="str">
        <f aca="false">IF(A99="","",N(N99)-N(O99))</f>
        <v/>
      </c>
      <c r="Y99" s="73" t="str">
        <f aca="false">IF(OR(A99="",N(E99)=0),"",X99/E99*1000)</f>
        <v/>
      </c>
      <c r="Z99" s="72" t="str">
        <f aca="false">IF(OR(A99="",G99=""),"",IF(Q99="Short","n/a (Short)",IF(G99&gt;=Benchmarks!$E$5,"Elite",IF(G99&gt;=Benchmarks!$D$5,"Strong",IF(G99&gt;=Benchmarks!$C$5,"Average","Needs work")))))</f>
        <v/>
      </c>
      <c r="AA99" s="72" t="str">
        <f aca="false">IF(OR(A99="",I99=""),"",IF(Q99="Short",IF(I99&gt;=Benchmarks!$E$7,"Elite",IF(I99&gt;=Benchmarks!$D$7,"Strong",IF(I99&gt;=Benchmarks!$C$7,"Average","Needs work"))),IF(I99&gt;=Benchmarks!$E$6,"Elite",IF(I99&gt;=Benchmarks!$D$6,"Strong",IF(I99&gt;=Benchmarks!$C$6,"Average","Needs work")))))</f>
        <v/>
      </c>
      <c r="AB99" s="72" t="str">
        <f aca="false">IF(V99="","",IF(V99&gt;=Benchmarks!$E$8,"Elite",IF(V99&gt;=Benchmarks!$D$8,"Strong",IF(V99&gt;=Benchmarks!$C$8,"Average","Needs work"))))</f>
        <v/>
      </c>
      <c r="AC99" s="73" t="str">
        <f aca="false">IF(COUNT(AG99:AI99)=0,"",AVERAGE(AG99:AI99))</f>
        <v/>
      </c>
      <c r="AD99" s="37" t="str">
        <f aca="false">IF(A99="","",IF(Q99="Short",IF(AH99="","Add % viewed to diagnose",IF(AND(AH99&gt;=3,N(AI99)&gt;=3),"Winner Short — expand it into a long-form video",IF(AH99&lt;=1,"Hook problem — viewers swipe away in the first seconds",IF(AI99=1,"Watched but no reaction — end on a question or opinion","Solid Short — keep iterating")))),IF(OR(AG99="",AH99=""),"Add CTR &amp; % viewed to diagnose",IF(AND(AG99&gt;=3,AH99&gt;=3),"WINNER — make a sequel, series or Shorts from it",IF(AND(AG99&gt;=3,AH99&lt;=2),"Click but leave — intro too slow or title over-promises",IF(AND(AG99&lt;=2,AH99&gt;=3),"Great video, weak packaging — A/B test title + thumbnail",IF(AND(AG99=1,AH99=1),"Topic miss — don't repeat this angle","Average — sharpen the hook and the title")))))))</f>
        <v/>
      </c>
      <c r="AE99" s="76" t="str">
        <f aca="false">IF(OR(A99="",N(E99)=0),"",Q99&amp;"-"&amp;(COUNTIFS($Q$5:$Q$204,Q99,$E$5:$E$204,"&gt;"&amp;E99)+COUNTIFS($Q$5:Q99,Q99,$E$5:E99,E99)))</f>
        <v/>
      </c>
      <c r="AF99" s="77" t="str">
        <f aca="false">IF(AND(Q99="Long",N(F99)&gt;=Benchmarks!$C$15,G99&lt;&gt;""),G99,"")</f>
        <v/>
      </c>
      <c r="AG99" s="78" t="str">
        <f aca="false">IF(Z99="Elite",4,IF(Z99="Strong",3,IF(Z99="Average",2,IF(Z99="Needs work",1,""))))</f>
        <v/>
      </c>
      <c r="AH99" s="78" t="str">
        <f aca="false">IF(AA99="Elite",4,IF(AA99="Strong",3,IF(AA99="Average",2,IF(AA99="Needs work",1,""))))</f>
        <v/>
      </c>
      <c r="AI99" s="78" t="str">
        <f aca="false">IF(AB99="Elite",4,IF(AB99="Strong",3,IF(AB99="Average",2,IF(AB99="Needs work",1,""))))</f>
        <v/>
      </c>
    </row>
    <row r="100" customFormat="false" ht="15" hidden="false" customHeight="false" outlineLevel="0" collapsed="false">
      <c r="A100" s="64"/>
      <c r="B100" s="65"/>
      <c r="C100" s="66"/>
      <c r="D100" s="67"/>
      <c r="E100" s="67"/>
      <c r="F100" s="67"/>
      <c r="G100" s="68"/>
      <c r="H100" s="69"/>
      <c r="I100" s="68"/>
      <c r="J100" s="70"/>
      <c r="K100" s="67"/>
      <c r="L100" s="67"/>
      <c r="M100" s="67"/>
      <c r="N100" s="67"/>
      <c r="O100" s="67"/>
      <c r="P100" s="71"/>
      <c r="Q100" s="72" t="str">
        <f aca="false">IF(A100="","",IF(C100&lt;&gt;"",C100,IF(AND(D100&lt;&gt;"",D100&lt;=180),"Short","Long")))</f>
        <v/>
      </c>
      <c r="R100" s="73" t="str">
        <f aca="false">IF(OR(A100="",D100=""),"",D100/60)</f>
        <v/>
      </c>
      <c r="S100" s="72" t="str">
        <f aca="false">IF(OR(A100="",B100=""),"",IF(AND(B100&gt;=DATE(2026,4,1),B100&lt;=DATE(2026,6,30)),"Yes","No"))</f>
        <v/>
      </c>
      <c r="T100" s="72" t="str">
        <f aca="false">IF(OR(A100="",B100=""),"",CHOOSE(WEEKDAY(B100),"Sun","Mon","Tue","Wed","Thu","Fri","Sat"))</f>
        <v/>
      </c>
      <c r="U100" s="72" t="str">
        <f aca="false">IF(OR(Q100&lt;&gt;"Long",D100=""),"",IF(D100&lt;480,"Under 8 min",IF(D100&lt;900,"8–15 min",IF(D100&lt;1500,"15–25 min","25+ min"))))</f>
        <v/>
      </c>
      <c r="V100" s="74" t="str">
        <f aca="false">IF(OR(A100="",N(E100)=0),"",(N(K100)+N(L100))/E100*100)</f>
        <v/>
      </c>
      <c r="W100" s="73" t="str">
        <f aca="false">IF(OR(A100="",N(E100)=0),"",N(L100)/E100*1000)</f>
        <v/>
      </c>
      <c r="X100" s="75" t="str">
        <f aca="false">IF(A100="","",N(N100)-N(O100))</f>
        <v/>
      </c>
      <c r="Y100" s="73" t="str">
        <f aca="false">IF(OR(A100="",N(E100)=0),"",X100/E100*1000)</f>
        <v/>
      </c>
      <c r="Z100" s="72" t="str">
        <f aca="false">IF(OR(A100="",G100=""),"",IF(Q100="Short","n/a (Short)",IF(G100&gt;=Benchmarks!$E$5,"Elite",IF(G100&gt;=Benchmarks!$D$5,"Strong",IF(G100&gt;=Benchmarks!$C$5,"Average","Needs work")))))</f>
        <v/>
      </c>
      <c r="AA100" s="72" t="str">
        <f aca="false">IF(OR(A100="",I100=""),"",IF(Q100="Short",IF(I100&gt;=Benchmarks!$E$7,"Elite",IF(I100&gt;=Benchmarks!$D$7,"Strong",IF(I100&gt;=Benchmarks!$C$7,"Average","Needs work"))),IF(I100&gt;=Benchmarks!$E$6,"Elite",IF(I100&gt;=Benchmarks!$D$6,"Strong",IF(I100&gt;=Benchmarks!$C$6,"Average","Needs work")))))</f>
        <v/>
      </c>
      <c r="AB100" s="72" t="str">
        <f aca="false">IF(V100="","",IF(V100&gt;=Benchmarks!$E$8,"Elite",IF(V100&gt;=Benchmarks!$D$8,"Strong",IF(V100&gt;=Benchmarks!$C$8,"Average","Needs work"))))</f>
        <v/>
      </c>
      <c r="AC100" s="73" t="str">
        <f aca="false">IF(COUNT(AG100:AI100)=0,"",AVERAGE(AG100:AI100))</f>
        <v/>
      </c>
      <c r="AD100" s="37" t="str">
        <f aca="false">IF(A100="","",IF(Q100="Short",IF(AH100="","Add % viewed to diagnose",IF(AND(AH100&gt;=3,N(AI100)&gt;=3),"Winner Short — expand it into a long-form video",IF(AH100&lt;=1,"Hook problem — viewers swipe away in the first seconds",IF(AI100=1,"Watched but no reaction — end on a question or opinion","Solid Short — keep iterating")))),IF(OR(AG100="",AH100=""),"Add CTR &amp; % viewed to diagnose",IF(AND(AG100&gt;=3,AH100&gt;=3),"WINNER — make a sequel, series or Shorts from it",IF(AND(AG100&gt;=3,AH100&lt;=2),"Click but leave — intro too slow or title over-promises",IF(AND(AG100&lt;=2,AH100&gt;=3),"Great video, weak packaging — A/B test title + thumbnail",IF(AND(AG100=1,AH100=1),"Topic miss — don't repeat this angle","Average — sharpen the hook and the title")))))))</f>
        <v/>
      </c>
      <c r="AE100" s="76" t="str">
        <f aca="false">IF(OR(A100="",N(E100)=0),"",Q100&amp;"-"&amp;(COUNTIFS($Q$5:$Q$204,Q100,$E$5:$E$204,"&gt;"&amp;E100)+COUNTIFS($Q$5:Q100,Q100,$E$5:E100,E100)))</f>
        <v/>
      </c>
      <c r="AF100" s="77" t="str">
        <f aca="false">IF(AND(Q100="Long",N(F100)&gt;=Benchmarks!$C$15,G100&lt;&gt;""),G100,"")</f>
        <v/>
      </c>
      <c r="AG100" s="78" t="str">
        <f aca="false">IF(Z100="Elite",4,IF(Z100="Strong",3,IF(Z100="Average",2,IF(Z100="Needs work",1,""))))</f>
        <v/>
      </c>
      <c r="AH100" s="78" t="str">
        <f aca="false">IF(AA100="Elite",4,IF(AA100="Strong",3,IF(AA100="Average",2,IF(AA100="Needs work",1,""))))</f>
        <v/>
      </c>
      <c r="AI100" s="78" t="str">
        <f aca="false">IF(AB100="Elite",4,IF(AB100="Strong",3,IF(AB100="Average",2,IF(AB100="Needs work",1,""))))</f>
        <v/>
      </c>
    </row>
    <row r="101" customFormat="false" ht="15" hidden="false" customHeight="false" outlineLevel="0" collapsed="false">
      <c r="A101" s="64"/>
      <c r="B101" s="65"/>
      <c r="C101" s="66"/>
      <c r="D101" s="67"/>
      <c r="E101" s="67"/>
      <c r="F101" s="67"/>
      <c r="G101" s="68"/>
      <c r="H101" s="69"/>
      <c r="I101" s="68"/>
      <c r="J101" s="70"/>
      <c r="K101" s="67"/>
      <c r="L101" s="67"/>
      <c r="M101" s="67"/>
      <c r="N101" s="67"/>
      <c r="O101" s="67"/>
      <c r="P101" s="71"/>
      <c r="Q101" s="72" t="str">
        <f aca="false">IF(A101="","",IF(C101&lt;&gt;"",C101,IF(AND(D101&lt;&gt;"",D101&lt;=180),"Short","Long")))</f>
        <v/>
      </c>
      <c r="R101" s="73" t="str">
        <f aca="false">IF(OR(A101="",D101=""),"",D101/60)</f>
        <v/>
      </c>
      <c r="S101" s="72" t="str">
        <f aca="false">IF(OR(A101="",B101=""),"",IF(AND(B101&gt;=DATE(2026,4,1),B101&lt;=DATE(2026,6,30)),"Yes","No"))</f>
        <v/>
      </c>
      <c r="T101" s="72" t="str">
        <f aca="false">IF(OR(A101="",B101=""),"",CHOOSE(WEEKDAY(B101),"Sun","Mon","Tue","Wed","Thu","Fri","Sat"))</f>
        <v/>
      </c>
      <c r="U101" s="72" t="str">
        <f aca="false">IF(OR(Q101&lt;&gt;"Long",D101=""),"",IF(D101&lt;480,"Under 8 min",IF(D101&lt;900,"8–15 min",IF(D101&lt;1500,"15–25 min","25+ min"))))</f>
        <v/>
      </c>
      <c r="V101" s="74" t="str">
        <f aca="false">IF(OR(A101="",N(E101)=0),"",(N(K101)+N(L101))/E101*100)</f>
        <v/>
      </c>
      <c r="W101" s="73" t="str">
        <f aca="false">IF(OR(A101="",N(E101)=0),"",N(L101)/E101*1000)</f>
        <v/>
      </c>
      <c r="X101" s="75" t="str">
        <f aca="false">IF(A101="","",N(N101)-N(O101))</f>
        <v/>
      </c>
      <c r="Y101" s="73" t="str">
        <f aca="false">IF(OR(A101="",N(E101)=0),"",X101/E101*1000)</f>
        <v/>
      </c>
      <c r="Z101" s="72" t="str">
        <f aca="false">IF(OR(A101="",G101=""),"",IF(Q101="Short","n/a (Short)",IF(G101&gt;=Benchmarks!$E$5,"Elite",IF(G101&gt;=Benchmarks!$D$5,"Strong",IF(G101&gt;=Benchmarks!$C$5,"Average","Needs work")))))</f>
        <v/>
      </c>
      <c r="AA101" s="72" t="str">
        <f aca="false">IF(OR(A101="",I101=""),"",IF(Q101="Short",IF(I101&gt;=Benchmarks!$E$7,"Elite",IF(I101&gt;=Benchmarks!$D$7,"Strong",IF(I101&gt;=Benchmarks!$C$7,"Average","Needs work"))),IF(I101&gt;=Benchmarks!$E$6,"Elite",IF(I101&gt;=Benchmarks!$D$6,"Strong",IF(I101&gt;=Benchmarks!$C$6,"Average","Needs work")))))</f>
        <v/>
      </c>
      <c r="AB101" s="72" t="str">
        <f aca="false">IF(V101="","",IF(V101&gt;=Benchmarks!$E$8,"Elite",IF(V101&gt;=Benchmarks!$D$8,"Strong",IF(V101&gt;=Benchmarks!$C$8,"Average","Needs work"))))</f>
        <v/>
      </c>
      <c r="AC101" s="73" t="str">
        <f aca="false">IF(COUNT(AG101:AI101)=0,"",AVERAGE(AG101:AI101))</f>
        <v/>
      </c>
      <c r="AD101" s="37" t="str">
        <f aca="false">IF(A101="","",IF(Q101="Short",IF(AH101="","Add % viewed to diagnose",IF(AND(AH101&gt;=3,N(AI101)&gt;=3),"Winner Short — expand it into a long-form video",IF(AH101&lt;=1,"Hook problem — viewers swipe away in the first seconds",IF(AI101=1,"Watched but no reaction — end on a question or opinion","Solid Short — keep iterating")))),IF(OR(AG101="",AH101=""),"Add CTR &amp; % viewed to diagnose",IF(AND(AG101&gt;=3,AH101&gt;=3),"WINNER — make a sequel, series or Shorts from it",IF(AND(AG101&gt;=3,AH101&lt;=2),"Click but leave — intro too slow or title over-promises",IF(AND(AG101&lt;=2,AH101&gt;=3),"Great video, weak packaging — A/B test title + thumbnail",IF(AND(AG101=1,AH101=1),"Topic miss — don't repeat this angle","Average — sharpen the hook and the title")))))))</f>
        <v/>
      </c>
      <c r="AE101" s="76" t="str">
        <f aca="false">IF(OR(A101="",N(E101)=0),"",Q101&amp;"-"&amp;(COUNTIFS($Q$5:$Q$204,Q101,$E$5:$E$204,"&gt;"&amp;E101)+COUNTIFS($Q$5:Q101,Q101,$E$5:E101,E101)))</f>
        <v/>
      </c>
      <c r="AF101" s="77" t="str">
        <f aca="false">IF(AND(Q101="Long",N(F101)&gt;=Benchmarks!$C$15,G101&lt;&gt;""),G101,"")</f>
        <v/>
      </c>
      <c r="AG101" s="78" t="str">
        <f aca="false">IF(Z101="Elite",4,IF(Z101="Strong",3,IF(Z101="Average",2,IF(Z101="Needs work",1,""))))</f>
        <v/>
      </c>
      <c r="AH101" s="78" t="str">
        <f aca="false">IF(AA101="Elite",4,IF(AA101="Strong",3,IF(AA101="Average",2,IF(AA101="Needs work",1,""))))</f>
        <v/>
      </c>
      <c r="AI101" s="78" t="str">
        <f aca="false">IF(AB101="Elite",4,IF(AB101="Strong",3,IF(AB101="Average",2,IF(AB101="Needs work",1,""))))</f>
        <v/>
      </c>
    </row>
    <row r="102" customFormat="false" ht="15" hidden="false" customHeight="false" outlineLevel="0" collapsed="false">
      <c r="A102" s="64"/>
      <c r="B102" s="65"/>
      <c r="C102" s="66"/>
      <c r="D102" s="67"/>
      <c r="E102" s="67"/>
      <c r="F102" s="67"/>
      <c r="G102" s="68"/>
      <c r="H102" s="69"/>
      <c r="I102" s="68"/>
      <c r="J102" s="70"/>
      <c r="K102" s="67"/>
      <c r="L102" s="67"/>
      <c r="M102" s="67"/>
      <c r="N102" s="67"/>
      <c r="O102" s="67"/>
      <c r="P102" s="71"/>
      <c r="Q102" s="72" t="str">
        <f aca="false">IF(A102="","",IF(C102&lt;&gt;"",C102,IF(AND(D102&lt;&gt;"",D102&lt;=180),"Short","Long")))</f>
        <v/>
      </c>
      <c r="R102" s="73" t="str">
        <f aca="false">IF(OR(A102="",D102=""),"",D102/60)</f>
        <v/>
      </c>
      <c r="S102" s="72" t="str">
        <f aca="false">IF(OR(A102="",B102=""),"",IF(AND(B102&gt;=DATE(2026,4,1),B102&lt;=DATE(2026,6,30)),"Yes","No"))</f>
        <v/>
      </c>
      <c r="T102" s="72" t="str">
        <f aca="false">IF(OR(A102="",B102=""),"",CHOOSE(WEEKDAY(B102),"Sun","Mon","Tue","Wed","Thu","Fri","Sat"))</f>
        <v/>
      </c>
      <c r="U102" s="72" t="str">
        <f aca="false">IF(OR(Q102&lt;&gt;"Long",D102=""),"",IF(D102&lt;480,"Under 8 min",IF(D102&lt;900,"8–15 min",IF(D102&lt;1500,"15–25 min","25+ min"))))</f>
        <v/>
      </c>
      <c r="V102" s="74" t="str">
        <f aca="false">IF(OR(A102="",N(E102)=0),"",(N(K102)+N(L102))/E102*100)</f>
        <v/>
      </c>
      <c r="W102" s="73" t="str">
        <f aca="false">IF(OR(A102="",N(E102)=0),"",N(L102)/E102*1000)</f>
        <v/>
      </c>
      <c r="X102" s="75" t="str">
        <f aca="false">IF(A102="","",N(N102)-N(O102))</f>
        <v/>
      </c>
      <c r="Y102" s="73" t="str">
        <f aca="false">IF(OR(A102="",N(E102)=0),"",X102/E102*1000)</f>
        <v/>
      </c>
      <c r="Z102" s="72" t="str">
        <f aca="false">IF(OR(A102="",G102=""),"",IF(Q102="Short","n/a (Short)",IF(G102&gt;=Benchmarks!$E$5,"Elite",IF(G102&gt;=Benchmarks!$D$5,"Strong",IF(G102&gt;=Benchmarks!$C$5,"Average","Needs work")))))</f>
        <v/>
      </c>
      <c r="AA102" s="72" t="str">
        <f aca="false">IF(OR(A102="",I102=""),"",IF(Q102="Short",IF(I102&gt;=Benchmarks!$E$7,"Elite",IF(I102&gt;=Benchmarks!$D$7,"Strong",IF(I102&gt;=Benchmarks!$C$7,"Average","Needs work"))),IF(I102&gt;=Benchmarks!$E$6,"Elite",IF(I102&gt;=Benchmarks!$D$6,"Strong",IF(I102&gt;=Benchmarks!$C$6,"Average","Needs work")))))</f>
        <v/>
      </c>
      <c r="AB102" s="72" t="str">
        <f aca="false">IF(V102="","",IF(V102&gt;=Benchmarks!$E$8,"Elite",IF(V102&gt;=Benchmarks!$D$8,"Strong",IF(V102&gt;=Benchmarks!$C$8,"Average","Needs work"))))</f>
        <v/>
      </c>
      <c r="AC102" s="73" t="str">
        <f aca="false">IF(COUNT(AG102:AI102)=0,"",AVERAGE(AG102:AI102))</f>
        <v/>
      </c>
      <c r="AD102" s="37" t="str">
        <f aca="false">IF(A102="","",IF(Q102="Short",IF(AH102="","Add % viewed to diagnose",IF(AND(AH102&gt;=3,N(AI102)&gt;=3),"Winner Short — expand it into a long-form video",IF(AH102&lt;=1,"Hook problem — viewers swipe away in the first seconds",IF(AI102=1,"Watched but no reaction — end on a question or opinion","Solid Short — keep iterating")))),IF(OR(AG102="",AH102=""),"Add CTR &amp; % viewed to diagnose",IF(AND(AG102&gt;=3,AH102&gt;=3),"WINNER — make a sequel, series or Shorts from it",IF(AND(AG102&gt;=3,AH102&lt;=2),"Click but leave — intro too slow or title over-promises",IF(AND(AG102&lt;=2,AH102&gt;=3),"Great video, weak packaging — A/B test title + thumbnail",IF(AND(AG102=1,AH102=1),"Topic miss — don't repeat this angle","Average — sharpen the hook and the title")))))))</f>
        <v/>
      </c>
      <c r="AE102" s="76" t="str">
        <f aca="false">IF(OR(A102="",N(E102)=0),"",Q102&amp;"-"&amp;(COUNTIFS($Q$5:$Q$204,Q102,$E$5:$E$204,"&gt;"&amp;E102)+COUNTIFS($Q$5:Q102,Q102,$E$5:E102,E102)))</f>
        <v/>
      </c>
      <c r="AF102" s="77" t="str">
        <f aca="false">IF(AND(Q102="Long",N(F102)&gt;=Benchmarks!$C$15,G102&lt;&gt;""),G102,"")</f>
        <v/>
      </c>
      <c r="AG102" s="78" t="str">
        <f aca="false">IF(Z102="Elite",4,IF(Z102="Strong",3,IF(Z102="Average",2,IF(Z102="Needs work",1,""))))</f>
        <v/>
      </c>
      <c r="AH102" s="78" t="str">
        <f aca="false">IF(AA102="Elite",4,IF(AA102="Strong",3,IF(AA102="Average",2,IF(AA102="Needs work",1,""))))</f>
        <v/>
      </c>
      <c r="AI102" s="78" t="str">
        <f aca="false">IF(AB102="Elite",4,IF(AB102="Strong",3,IF(AB102="Average",2,IF(AB102="Needs work",1,""))))</f>
        <v/>
      </c>
    </row>
    <row r="103" customFormat="false" ht="15" hidden="false" customHeight="false" outlineLevel="0" collapsed="false">
      <c r="A103" s="64"/>
      <c r="B103" s="65"/>
      <c r="C103" s="66"/>
      <c r="D103" s="67"/>
      <c r="E103" s="67"/>
      <c r="F103" s="67"/>
      <c r="G103" s="68"/>
      <c r="H103" s="69"/>
      <c r="I103" s="68"/>
      <c r="J103" s="70"/>
      <c r="K103" s="67"/>
      <c r="L103" s="67"/>
      <c r="M103" s="67"/>
      <c r="N103" s="67"/>
      <c r="O103" s="67"/>
      <c r="P103" s="71"/>
      <c r="Q103" s="72" t="str">
        <f aca="false">IF(A103="","",IF(C103&lt;&gt;"",C103,IF(AND(D103&lt;&gt;"",D103&lt;=180),"Short","Long")))</f>
        <v/>
      </c>
      <c r="R103" s="73" t="str">
        <f aca="false">IF(OR(A103="",D103=""),"",D103/60)</f>
        <v/>
      </c>
      <c r="S103" s="72" t="str">
        <f aca="false">IF(OR(A103="",B103=""),"",IF(AND(B103&gt;=DATE(2026,4,1),B103&lt;=DATE(2026,6,30)),"Yes","No"))</f>
        <v/>
      </c>
      <c r="T103" s="72" t="str">
        <f aca="false">IF(OR(A103="",B103=""),"",CHOOSE(WEEKDAY(B103),"Sun","Mon","Tue","Wed","Thu","Fri","Sat"))</f>
        <v/>
      </c>
      <c r="U103" s="72" t="str">
        <f aca="false">IF(OR(Q103&lt;&gt;"Long",D103=""),"",IF(D103&lt;480,"Under 8 min",IF(D103&lt;900,"8–15 min",IF(D103&lt;1500,"15–25 min","25+ min"))))</f>
        <v/>
      </c>
      <c r="V103" s="74" t="str">
        <f aca="false">IF(OR(A103="",N(E103)=0),"",(N(K103)+N(L103))/E103*100)</f>
        <v/>
      </c>
      <c r="W103" s="73" t="str">
        <f aca="false">IF(OR(A103="",N(E103)=0),"",N(L103)/E103*1000)</f>
        <v/>
      </c>
      <c r="X103" s="75" t="str">
        <f aca="false">IF(A103="","",N(N103)-N(O103))</f>
        <v/>
      </c>
      <c r="Y103" s="73" t="str">
        <f aca="false">IF(OR(A103="",N(E103)=0),"",X103/E103*1000)</f>
        <v/>
      </c>
      <c r="Z103" s="72" t="str">
        <f aca="false">IF(OR(A103="",G103=""),"",IF(Q103="Short","n/a (Short)",IF(G103&gt;=Benchmarks!$E$5,"Elite",IF(G103&gt;=Benchmarks!$D$5,"Strong",IF(G103&gt;=Benchmarks!$C$5,"Average","Needs work")))))</f>
        <v/>
      </c>
      <c r="AA103" s="72" t="str">
        <f aca="false">IF(OR(A103="",I103=""),"",IF(Q103="Short",IF(I103&gt;=Benchmarks!$E$7,"Elite",IF(I103&gt;=Benchmarks!$D$7,"Strong",IF(I103&gt;=Benchmarks!$C$7,"Average","Needs work"))),IF(I103&gt;=Benchmarks!$E$6,"Elite",IF(I103&gt;=Benchmarks!$D$6,"Strong",IF(I103&gt;=Benchmarks!$C$6,"Average","Needs work")))))</f>
        <v/>
      </c>
      <c r="AB103" s="72" t="str">
        <f aca="false">IF(V103="","",IF(V103&gt;=Benchmarks!$E$8,"Elite",IF(V103&gt;=Benchmarks!$D$8,"Strong",IF(V103&gt;=Benchmarks!$C$8,"Average","Needs work"))))</f>
        <v/>
      </c>
      <c r="AC103" s="73" t="str">
        <f aca="false">IF(COUNT(AG103:AI103)=0,"",AVERAGE(AG103:AI103))</f>
        <v/>
      </c>
      <c r="AD103" s="37" t="str">
        <f aca="false">IF(A103="","",IF(Q103="Short",IF(AH103="","Add % viewed to diagnose",IF(AND(AH103&gt;=3,N(AI103)&gt;=3),"Winner Short — expand it into a long-form video",IF(AH103&lt;=1,"Hook problem — viewers swipe away in the first seconds",IF(AI103=1,"Watched but no reaction — end on a question or opinion","Solid Short — keep iterating")))),IF(OR(AG103="",AH103=""),"Add CTR &amp; % viewed to diagnose",IF(AND(AG103&gt;=3,AH103&gt;=3),"WINNER — make a sequel, series or Shorts from it",IF(AND(AG103&gt;=3,AH103&lt;=2),"Click but leave — intro too slow or title over-promises",IF(AND(AG103&lt;=2,AH103&gt;=3),"Great video, weak packaging — A/B test title + thumbnail",IF(AND(AG103=1,AH103=1),"Topic miss — don't repeat this angle","Average — sharpen the hook and the title")))))))</f>
        <v/>
      </c>
      <c r="AE103" s="76" t="str">
        <f aca="false">IF(OR(A103="",N(E103)=0),"",Q103&amp;"-"&amp;(COUNTIFS($Q$5:$Q$204,Q103,$E$5:$E$204,"&gt;"&amp;E103)+COUNTIFS($Q$5:Q103,Q103,$E$5:E103,E103)))</f>
        <v/>
      </c>
      <c r="AF103" s="77" t="str">
        <f aca="false">IF(AND(Q103="Long",N(F103)&gt;=Benchmarks!$C$15,G103&lt;&gt;""),G103,"")</f>
        <v/>
      </c>
      <c r="AG103" s="78" t="str">
        <f aca="false">IF(Z103="Elite",4,IF(Z103="Strong",3,IF(Z103="Average",2,IF(Z103="Needs work",1,""))))</f>
        <v/>
      </c>
      <c r="AH103" s="78" t="str">
        <f aca="false">IF(AA103="Elite",4,IF(AA103="Strong",3,IF(AA103="Average",2,IF(AA103="Needs work",1,""))))</f>
        <v/>
      </c>
      <c r="AI103" s="78" t="str">
        <f aca="false">IF(AB103="Elite",4,IF(AB103="Strong",3,IF(AB103="Average",2,IF(AB103="Needs work",1,""))))</f>
        <v/>
      </c>
    </row>
    <row r="104" customFormat="false" ht="15" hidden="false" customHeight="false" outlineLevel="0" collapsed="false">
      <c r="A104" s="64"/>
      <c r="B104" s="65"/>
      <c r="C104" s="66"/>
      <c r="D104" s="67"/>
      <c r="E104" s="67"/>
      <c r="F104" s="67"/>
      <c r="G104" s="68"/>
      <c r="H104" s="69"/>
      <c r="I104" s="68"/>
      <c r="J104" s="70"/>
      <c r="K104" s="67"/>
      <c r="L104" s="67"/>
      <c r="M104" s="67"/>
      <c r="N104" s="67"/>
      <c r="O104" s="67"/>
      <c r="P104" s="71"/>
      <c r="Q104" s="72" t="str">
        <f aca="false">IF(A104="","",IF(C104&lt;&gt;"",C104,IF(AND(D104&lt;&gt;"",D104&lt;=180),"Short","Long")))</f>
        <v/>
      </c>
      <c r="R104" s="73" t="str">
        <f aca="false">IF(OR(A104="",D104=""),"",D104/60)</f>
        <v/>
      </c>
      <c r="S104" s="72" t="str">
        <f aca="false">IF(OR(A104="",B104=""),"",IF(AND(B104&gt;=DATE(2026,4,1),B104&lt;=DATE(2026,6,30)),"Yes","No"))</f>
        <v/>
      </c>
      <c r="T104" s="72" t="str">
        <f aca="false">IF(OR(A104="",B104=""),"",CHOOSE(WEEKDAY(B104),"Sun","Mon","Tue","Wed","Thu","Fri","Sat"))</f>
        <v/>
      </c>
      <c r="U104" s="72" t="str">
        <f aca="false">IF(OR(Q104&lt;&gt;"Long",D104=""),"",IF(D104&lt;480,"Under 8 min",IF(D104&lt;900,"8–15 min",IF(D104&lt;1500,"15–25 min","25+ min"))))</f>
        <v/>
      </c>
      <c r="V104" s="74" t="str">
        <f aca="false">IF(OR(A104="",N(E104)=0),"",(N(K104)+N(L104))/E104*100)</f>
        <v/>
      </c>
      <c r="W104" s="73" t="str">
        <f aca="false">IF(OR(A104="",N(E104)=0),"",N(L104)/E104*1000)</f>
        <v/>
      </c>
      <c r="X104" s="75" t="str">
        <f aca="false">IF(A104="","",N(N104)-N(O104))</f>
        <v/>
      </c>
      <c r="Y104" s="73" t="str">
        <f aca="false">IF(OR(A104="",N(E104)=0),"",X104/E104*1000)</f>
        <v/>
      </c>
      <c r="Z104" s="72" t="str">
        <f aca="false">IF(OR(A104="",G104=""),"",IF(Q104="Short","n/a (Short)",IF(G104&gt;=Benchmarks!$E$5,"Elite",IF(G104&gt;=Benchmarks!$D$5,"Strong",IF(G104&gt;=Benchmarks!$C$5,"Average","Needs work")))))</f>
        <v/>
      </c>
      <c r="AA104" s="72" t="str">
        <f aca="false">IF(OR(A104="",I104=""),"",IF(Q104="Short",IF(I104&gt;=Benchmarks!$E$7,"Elite",IF(I104&gt;=Benchmarks!$D$7,"Strong",IF(I104&gt;=Benchmarks!$C$7,"Average","Needs work"))),IF(I104&gt;=Benchmarks!$E$6,"Elite",IF(I104&gt;=Benchmarks!$D$6,"Strong",IF(I104&gt;=Benchmarks!$C$6,"Average","Needs work")))))</f>
        <v/>
      </c>
      <c r="AB104" s="72" t="str">
        <f aca="false">IF(V104="","",IF(V104&gt;=Benchmarks!$E$8,"Elite",IF(V104&gt;=Benchmarks!$D$8,"Strong",IF(V104&gt;=Benchmarks!$C$8,"Average","Needs work"))))</f>
        <v/>
      </c>
      <c r="AC104" s="73" t="str">
        <f aca="false">IF(COUNT(AG104:AI104)=0,"",AVERAGE(AG104:AI104))</f>
        <v/>
      </c>
      <c r="AD104" s="37" t="str">
        <f aca="false">IF(A104="","",IF(Q104="Short",IF(AH104="","Add % viewed to diagnose",IF(AND(AH104&gt;=3,N(AI104)&gt;=3),"Winner Short — expand it into a long-form video",IF(AH104&lt;=1,"Hook problem — viewers swipe away in the first seconds",IF(AI104=1,"Watched but no reaction — end on a question or opinion","Solid Short — keep iterating")))),IF(OR(AG104="",AH104=""),"Add CTR &amp; % viewed to diagnose",IF(AND(AG104&gt;=3,AH104&gt;=3),"WINNER — make a sequel, series or Shorts from it",IF(AND(AG104&gt;=3,AH104&lt;=2),"Click but leave — intro too slow or title over-promises",IF(AND(AG104&lt;=2,AH104&gt;=3),"Great video, weak packaging — A/B test title + thumbnail",IF(AND(AG104=1,AH104=1),"Topic miss — don't repeat this angle","Average — sharpen the hook and the title")))))))</f>
        <v/>
      </c>
      <c r="AE104" s="76" t="str">
        <f aca="false">IF(OR(A104="",N(E104)=0),"",Q104&amp;"-"&amp;(COUNTIFS($Q$5:$Q$204,Q104,$E$5:$E$204,"&gt;"&amp;E104)+COUNTIFS($Q$5:Q104,Q104,$E$5:E104,E104)))</f>
        <v/>
      </c>
      <c r="AF104" s="77" t="str">
        <f aca="false">IF(AND(Q104="Long",N(F104)&gt;=Benchmarks!$C$15,G104&lt;&gt;""),G104,"")</f>
        <v/>
      </c>
      <c r="AG104" s="78" t="str">
        <f aca="false">IF(Z104="Elite",4,IF(Z104="Strong",3,IF(Z104="Average",2,IF(Z104="Needs work",1,""))))</f>
        <v/>
      </c>
      <c r="AH104" s="78" t="str">
        <f aca="false">IF(AA104="Elite",4,IF(AA104="Strong",3,IF(AA104="Average",2,IF(AA104="Needs work",1,""))))</f>
        <v/>
      </c>
      <c r="AI104" s="78" t="str">
        <f aca="false">IF(AB104="Elite",4,IF(AB104="Strong",3,IF(AB104="Average",2,IF(AB104="Needs work",1,""))))</f>
        <v/>
      </c>
    </row>
    <row r="105" customFormat="false" ht="15" hidden="false" customHeight="false" outlineLevel="0" collapsed="false">
      <c r="A105" s="64"/>
      <c r="B105" s="65"/>
      <c r="C105" s="66"/>
      <c r="D105" s="67"/>
      <c r="E105" s="67"/>
      <c r="F105" s="67"/>
      <c r="G105" s="68"/>
      <c r="H105" s="69"/>
      <c r="I105" s="68"/>
      <c r="J105" s="70"/>
      <c r="K105" s="67"/>
      <c r="L105" s="67"/>
      <c r="M105" s="67"/>
      <c r="N105" s="67"/>
      <c r="O105" s="67"/>
      <c r="P105" s="71"/>
      <c r="Q105" s="72" t="str">
        <f aca="false">IF(A105="","",IF(C105&lt;&gt;"",C105,IF(AND(D105&lt;&gt;"",D105&lt;=180),"Short","Long")))</f>
        <v/>
      </c>
      <c r="R105" s="73" t="str">
        <f aca="false">IF(OR(A105="",D105=""),"",D105/60)</f>
        <v/>
      </c>
      <c r="S105" s="72" t="str">
        <f aca="false">IF(OR(A105="",B105=""),"",IF(AND(B105&gt;=DATE(2026,4,1),B105&lt;=DATE(2026,6,30)),"Yes","No"))</f>
        <v/>
      </c>
      <c r="T105" s="72" t="str">
        <f aca="false">IF(OR(A105="",B105=""),"",CHOOSE(WEEKDAY(B105),"Sun","Mon","Tue","Wed","Thu","Fri","Sat"))</f>
        <v/>
      </c>
      <c r="U105" s="72" t="str">
        <f aca="false">IF(OR(Q105&lt;&gt;"Long",D105=""),"",IF(D105&lt;480,"Under 8 min",IF(D105&lt;900,"8–15 min",IF(D105&lt;1500,"15–25 min","25+ min"))))</f>
        <v/>
      </c>
      <c r="V105" s="74" t="str">
        <f aca="false">IF(OR(A105="",N(E105)=0),"",(N(K105)+N(L105))/E105*100)</f>
        <v/>
      </c>
      <c r="W105" s="73" t="str">
        <f aca="false">IF(OR(A105="",N(E105)=0),"",N(L105)/E105*1000)</f>
        <v/>
      </c>
      <c r="X105" s="75" t="str">
        <f aca="false">IF(A105="","",N(N105)-N(O105))</f>
        <v/>
      </c>
      <c r="Y105" s="73" t="str">
        <f aca="false">IF(OR(A105="",N(E105)=0),"",X105/E105*1000)</f>
        <v/>
      </c>
      <c r="Z105" s="72" t="str">
        <f aca="false">IF(OR(A105="",G105=""),"",IF(Q105="Short","n/a (Short)",IF(G105&gt;=Benchmarks!$E$5,"Elite",IF(G105&gt;=Benchmarks!$D$5,"Strong",IF(G105&gt;=Benchmarks!$C$5,"Average","Needs work")))))</f>
        <v/>
      </c>
      <c r="AA105" s="72" t="str">
        <f aca="false">IF(OR(A105="",I105=""),"",IF(Q105="Short",IF(I105&gt;=Benchmarks!$E$7,"Elite",IF(I105&gt;=Benchmarks!$D$7,"Strong",IF(I105&gt;=Benchmarks!$C$7,"Average","Needs work"))),IF(I105&gt;=Benchmarks!$E$6,"Elite",IF(I105&gt;=Benchmarks!$D$6,"Strong",IF(I105&gt;=Benchmarks!$C$6,"Average","Needs work")))))</f>
        <v/>
      </c>
      <c r="AB105" s="72" t="str">
        <f aca="false">IF(V105="","",IF(V105&gt;=Benchmarks!$E$8,"Elite",IF(V105&gt;=Benchmarks!$D$8,"Strong",IF(V105&gt;=Benchmarks!$C$8,"Average","Needs work"))))</f>
        <v/>
      </c>
      <c r="AC105" s="73" t="str">
        <f aca="false">IF(COUNT(AG105:AI105)=0,"",AVERAGE(AG105:AI105))</f>
        <v/>
      </c>
      <c r="AD105" s="37" t="str">
        <f aca="false">IF(A105="","",IF(Q105="Short",IF(AH105="","Add % viewed to diagnose",IF(AND(AH105&gt;=3,N(AI105)&gt;=3),"Winner Short — expand it into a long-form video",IF(AH105&lt;=1,"Hook problem — viewers swipe away in the first seconds",IF(AI105=1,"Watched but no reaction — end on a question or opinion","Solid Short — keep iterating")))),IF(OR(AG105="",AH105=""),"Add CTR &amp; % viewed to diagnose",IF(AND(AG105&gt;=3,AH105&gt;=3),"WINNER — make a sequel, series or Shorts from it",IF(AND(AG105&gt;=3,AH105&lt;=2),"Click but leave — intro too slow or title over-promises",IF(AND(AG105&lt;=2,AH105&gt;=3),"Great video, weak packaging — A/B test title + thumbnail",IF(AND(AG105=1,AH105=1),"Topic miss — don't repeat this angle","Average — sharpen the hook and the title")))))))</f>
        <v/>
      </c>
      <c r="AE105" s="76" t="str">
        <f aca="false">IF(OR(A105="",N(E105)=0),"",Q105&amp;"-"&amp;(COUNTIFS($Q$5:$Q$204,Q105,$E$5:$E$204,"&gt;"&amp;E105)+COUNTIFS($Q$5:Q105,Q105,$E$5:E105,E105)))</f>
        <v/>
      </c>
      <c r="AF105" s="77" t="str">
        <f aca="false">IF(AND(Q105="Long",N(F105)&gt;=Benchmarks!$C$15,G105&lt;&gt;""),G105,"")</f>
        <v/>
      </c>
      <c r="AG105" s="78" t="str">
        <f aca="false">IF(Z105="Elite",4,IF(Z105="Strong",3,IF(Z105="Average",2,IF(Z105="Needs work",1,""))))</f>
        <v/>
      </c>
      <c r="AH105" s="78" t="str">
        <f aca="false">IF(AA105="Elite",4,IF(AA105="Strong",3,IF(AA105="Average",2,IF(AA105="Needs work",1,""))))</f>
        <v/>
      </c>
      <c r="AI105" s="78" t="str">
        <f aca="false">IF(AB105="Elite",4,IF(AB105="Strong",3,IF(AB105="Average",2,IF(AB105="Needs work",1,""))))</f>
        <v/>
      </c>
    </row>
    <row r="106" customFormat="false" ht="15" hidden="false" customHeight="false" outlineLevel="0" collapsed="false">
      <c r="A106" s="64"/>
      <c r="B106" s="65"/>
      <c r="C106" s="66"/>
      <c r="D106" s="67"/>
      <c r="E106" s="67"/>
      <c r="F106" s="67"/>
      <c r="G106" s="68"/>
      <c r="H106" s="69"/>
      <c r="I106" s="68"/>
      <c r="J106" s="70"/>
      <c r="K106" s="67"/>
      <c r="L106" s="67"/>
      <c r="M106" s="67"/>
      <c r="N106" s="67"/>
      <c r="O106" s="67"/>
      <c r="P106" s="71"/>
      <c r="Q106" s="72" t="str">
        <f aca="false">IF(A106="","",IF(C106&lt;&gt;"",C106,IF(AND(D106&lt;&gt;"",D106&lt;=180),"Short","Long")))</f>
        <v/>
      </c>
      <c r="R106" s="73" t="str">
        <f aca="false">IF(OR(A106="",D106=""),"",D106/60)</f>
        <v/>
      </c>
      <c r="S106" s="72" t="str">
        <f aca="false">IF(OR(A106="",B106=""),"",IF(AND(B106&gt;=DATE(2026,4,1),B106&lt;=DATE(2026,6,30)),"Yes","No"))</f>
        <v/>
      </c>
      <c r="T106" s="72" t="str">
        <f aca="false">IF(OR(A106="",B106=""),"",CHOOSE(WEEKDAY(B106),"Sun","Mon","Tue","Wed","Thu","Fri","Sat"))</f>
        <v/>
      </c>
      <c r="U106" s="72" t="str">
        <f aca="false">IF(OR(Q106&lt;&gt;"Long",D106=""),"",IF(D106&lt;480,"Under 8 min",IF(D106&lt;900,"8–15 min",IF(D106&lt;1500,"15–25 min","25+ min"))))</f>
        <v/>
      </c>
      <c r="V106" s="74" t="str">
        <f aca="false">IF(OR(A106="",N(E106)=0),"",(N(K106)+N(L106))/E106*100)</f>
        <v/>
      </c>
      <c r="W106" s="73" t="str">
        <f aca="false">IF(OR(A106="",N(E106)=0),"",N(L106)/E106*1000)</f>
        <v/>
      </c>
      <c r="X106" s="75" t="str">
        <f aca="false">IF(A106="","",N(N106)-N(O106))</f>
        <v/>
      </c>
      <c r="Y106" s="73" t="str">
        <f aca="false">IF(OR(A106="",N(E106)=0),"",X106/E106*1000)</f>
        <v/>
      </c>
      <c r="Z106" s="72" t="str">
        <f aca="false">IF(OR(A106="",G106=""),"",IF(Q106="Short","n/a (Short)",IF(G106&gt;=Benchmarks!$E$5,"Elite",IF(G106&gt;=Benchmarks!$D$5,"Strong",IF(G106&gt;=Benchmarks!$C$5,"Average","Needs work")))))</f>
        <v/>
      </c>
      <c r="AA106" s="72" t="str">
        <f aca="false">IF(OR(A106="",I106=""),"",IF(Q106="Short",IF(I106&gt;=Benchmarks!$E$7,"Elite",IF(I106&gt;=Benchmarks!$D$7,"Strong",IF(I106&gt;=Benchmarks!$C$7,"Average","Needs work"))),IF(I106&gt;=Benchmarks!$E$6,"Elite",IF(I106&gt;=Benchmarks!$D$6,"Strong",IF(I106&gt;=Benchmarks!$C$6,"Average","Needs work")))))</f>
        <v/>
      </c>
      <c r="AB106" s="72" t="str">
        <f aca="false">IF(V106="","",IF(V106&gt;=Benchmarks!$E$8,"Elite",IF(V106&gt;=Benchmarks!$D$8,"Strong",IF(V106&gt;=Benchmarks!$C$8,"Average","Needs work"))))</f>
        <v/>
      </c>
      <c r="AC106" s="73" t="str">
        <f aca="false">IF(COUNT(AG106:AI106)=0,"",AVERAGE(AG106:AI106))</f>
        <v/>
      </c>
      <c r="AD106" s="37" t="str">
        <f aca="false">IF(A106="","",IF(Q106="Short",IF(AH106="","Add % viewed to diagnose",IF(AND(AH106&gt;=3,N(AI106)&gt;=3),"Winner Short — expand it into a long-form video",IF(AH106&lt;=1,"Hook problem — viewers swipe away in the first seconds",IF(AI106=1,"Watched but no reaction — end on a question or opinion","Solid Short — keep iterating")))),IF(OR(AG106="",AH106=""),"Add CTR &amp; % viewed to diagnose",IF(AND(AG106&gt;=3,AH106&gt;=3),"WINNER — make a sequel, series or Shorts from it",IF(AND(AG106&gt;=3,AH106&lt;=2),"Click but leave — intro too slow or title over-promises",IF(AND(AG106&lt;=2,AH106&gt;=3),"Great video, weak packaging — A/B test title + thumbnail",IF(AND(AG106=1,AH106=1),"Topic miss — don't repeat this angle","Average — sharpen the hook and the title")))))))</f>
        <v/>
      </c>
      <c r="AE106" s="76" t="str">
        <f aca="false">IF(OR(A106="",N(E106)=0),"",Q106&amp;"-"&amp;(COUNTIFS($Q$5:$Q$204,Q106,$E$5:$E$204,"&gt;"&amp;E106)+COUNTIFS($Q$5:Q106,Q106,$E$5:E106,E106)))</f>
        <v/>
      </c>
      <c r="AF106" s="77" t="str">
        <f aca="false">IF(AND(Q106="Long",N(F106)&gt;=Benchmarks!$C$15,G106&lt;&gt;""),G106,"")</f>
        <v/>
      </c>
      <c r="AG106" s="78" t="str">
        <f aca="false">IF(Z106="Elite",4,IF(Z106="Strong",3,IF(Z106="Average",2,IF(Z106="Needs work",1,""))))</f>
        <v/>
      </c>
      <c r="AH106" s="78" t="str">
        <f aca="false">IF(AA106="Elite",4,IF(AA106="Strong",3,IF(AA106="Average",2,IF(AA106="Needs work",1,""))))</f>
        <v/>
      </c>
      <c r="AI106" s="78" t="str">
        <f aca="false">IF(AB106="Elite",4,IF(AB106="Strong",3,IF(AB106="Average",2,IF(AB106="Needs work",1,""))))</f>
        <v/>
      </c>
    </row>
    <row r="107" customFormat="false" ht="15" hidden="false" customHeight="false" outlineLevel="0" collapsed="false">
      <c r="A107" s="64"/>
      <c r="B107" s="65"/>
      <c r="C107" s="66"/>
      <c r="D107" s="67"/>
      <c r="E107" s="67"/>
      <c r="F107" s="67"/>
      <c r="G107" s="68"/>
      <c r="H107" s="69"/>
      <c r="I107" s="68"/>
      <c r="J107" s="70"/>
      <c r="K107" s="67"/>
      <c r="L107" s="67"/>
      <c r="M107" s="67"/>
      <c r="N107" s="67"/>
      <c r="O107" s="67"/>
      <c r="P107" s="71"/>
      <c r="Q107" s="72" t="str">
        <f aca="false">IF(A107="","",IF(C107&lt;&gt;"",C107,IF(AND(D107&lt;&gt;"",D107&lt;=180),"Short","Long")))</f>
        <v/>
      </c>
      <c r="R107" s="73" t="str">
        <f aca="false">IF(OR(A107="",D107=""),"",D107/60)</f>
        <v/>
      </c>
      <c r="S107" s="72" t="str">
        <f aca="false">IF(OR(A107="",B107=""),"",IF(AND(B107&gt;=DATE(2026,4,1),B107&lt;=DATE(2026,6,30)),"Yes","No"))</f>
        <v/>
      </c>
      <c r="T107" s="72" t="str">
        <f aca="false">IF(OR(A107="",B107=""),"",CHOOSE(WEEKDAY(B107),"Sun","Mon","Tue","Wed","Thu","Fri","Sat"))</f>
        <v/>
      </c>
      <c r="U107" s="72" t="str">
        <f aca="false">IF(OR(Q107&lt;&gt;"Long",D107=""),"",IF(D107&lt;480,"Under 8 min",IF(D107&lt;900,"8–15 min",IF(D107&lt;1500,"15–25 min","25+ min"))))</f>
        <v/>
      </c>
      <c r="V107" s="74" t="str">
        <f aca="false">IF(OR(A107="",N(E107)=0),"",(N(K107)+N(L107))/E107*100)</f>
        <v/>
      </c>
      <c r="W107" s="73" t="str">
        <f aca="false">IF(OR(A107="",N(E107)=0),"",N(L107)/E107*1000)</f>
        <v/>
      </c>
      <c r="X107" s="75" t="str">
        <f aca="false">IF(A107="","",N(N107)-N(O107))</f>
        <v/>
      </c>
      <c r="Y107" s="73" t="str">
        <f aca="false">IF(OR(A107="",N(E107)=0),"",X107/E107*1000)</f>
        <v/>
      </c>
      <c r="Z107" s="72" t="str">
        <f aca="false">IF(OR(A107="",G107=""),"",IF(Q107="Short","n/a (Short)",IF(G107&gt;=Benchmarks!$E$5,"Elite",IF(G107&gt;=Benchmarks!$D$5,"Strong",IF(G107&gt;=Benchmarks!$C$5,"Average","Needs work")))))</f>
        <v/>
      </c>
      <c r="AA107" s="72" t="str">
        <f aca="false">IF(OR(A107="",I107=""),"",IF(Q107="Short",IF(I107&gt;=Benchmarks!$E$7,"Elite",IF(I107&gt;=Benchmarks!$D$7,"Strong",IF(I107&gt;=Benchmarks!$C$7,"Average","Needs work"))),IF(I107&gt;=Benchmarks!$E$6,"Elite",IF(I107&gt;=Benchmarks!$D$6,"Strong",IF(I107&gt;=Benchmarks!$C$6,"Average","Needs work")))))</f>
        <v/>
      </c>
      <c r="AB107" s="72" t="str">
        <f aca="false">IF(V107="","",IF(V107&gt;=Benchmarks!$E$8,"Elite",IF(V107&gt;=Benchmarks!$D$8,"Strong",IF(V107&gt;=Benchmarks!$C$8,"Average","Needs work"))))</f>
        <v/>
      </c>
      <c r="AC107" s="73" t="str">
        <f aca="false">IF(COUNT(AG107:AI107)=0,"",AVERAGE(AG107:AI107))</f>
        <v/>
      </c>
      <c r="AD107" s="37" t="str">
        <f aca="false">IF(A107="","",IF(Q107="Short",IF(AH107="","Add % viewed to diagnose",IF(AND(AH107&gt;=3,N(AI107)&gt;=3),"Winner Short — expand it into a long-form video",IF(AH107&lt;=1,"Hook problem — viewers swipe away in the first seconds",IF(AI107=1,"Watched but no reaction — end on a question or opinion","Solid Short — keep iterating")))),IF(OR(AG107="",AH107=""),"Add CTR &amp; % viewed to diagnose",IF(AND(AG107&gt;=3,AH107&gt;=3),"WINNER — make a sequel, series or Shorts from it",IF(AND(AG107&gt;=3,AH107&lt;=2),"Click but leave — intro too slow or title over-promises",IF(AND(AG107&lt;=2,AH107&gt;=3),"Great video, weak packaging — A/B test title + thumbnail",IF(AND(AG107=1,AH107=1),"Topic miss — don't repeat this angle","Average — sharpen the hook and the title")))))))</f>
        <v/>
      </c>
      <c r="AE107" s="76" t="str">
        <f aca="false">IF(OR(A107="",N(E107)=0),"",Q107&amp;"-"&amp;(COUNTIFS($Q$5:$Q$204,Q107,$E$5:$E$204,"&gt;"&amp;E107)+COUNTIFS($Q$5:Q107,Q107,$E$5:E107,E107)))</f>
        <v/>
      </c>
      <c r="AF107" s="77" t="str">
        <f aca="false">IF(AND(Q107="Long",N(F107)&gt;=Benchmarks!$C$15,G107&lt;&gt;""),G107,"")</f>
        <v/>
      </c>
      <c r="AG107" s="78" t="str">
        <f aca="false">IF(Z107="Elite",4,IF(Z107="Strong",3,IF(Z107="Average",2,IF(Z107="Needs work",1,""))))</f>
        <v/>
      </c>
      <c r="AH107" s="78" t="str">
        <f aca="false">IF(AA107="Elite",4,IF(AA107="Strong",3,IF(AA107="Average",2,IF(AA107="Needs work",1,""))))</f>
        <v/>
      </c>
      <c r="AI107" s="78" t="str">
        <f aca="false">IF(AB107="Elite",4,IF(AB107="Strong",3,IF(AB107="Average",2,IF(AB107="Needs work",1,""))))</f>
        <v/>
      </c>
    </row>
    <row r="108" customFormat="false" ht="15" hidden="false" customHeight="false" outlineLevel="0" collapsed="false">
      <c r="A108" s="64"/>
      <c r="B108" s="65"/>
      <c r="C108" s="66"/>
      <c r="D108" s="67"/>
      <c r="E108" s="67"/>
      <c r="F108" s="67"/>
      <c r="G108" s="68"/>
      <c r="H108" s="69"/>
      <c r="I108" s="68"/>
      <c r="J108" s="70"/>
      <c r="K108" s="67"/>
      <c r="L108" s="67"/>
      <c r="M108" s="67"/>
      <c r="N108" s="67"/>
      <c r="O108" s="67"/>
      <c r="P108" s="71"/>
      <c r="Q108" s="72" t="str">
        <f aca="false">IF(A108="","",IF(C108&lt;&gt;"",C108,IF(AND(D108&lt;&gt;"",D108&lt;=180),"Short","Long")))</f>
        <v/>
      </c>
      <c r="R108" s="73" t="str">
        <f aca="false">IF(OR(A108="",D108=""),"",D108/60)</f>
        <v/>
      </c>
      <c r="S108" s="72" t="str">
        <f aca="false">IF(OR(A108="",B108=""),"",IF(AND(B108&gt;=DATE(2026,4,1),B108&lt;=DATE(2026,6,30)),"Yes","No"))</f>
        <v/>
      </c>
      <c r="T108" s="72" t="str">
        <f aca="false">IF(OR(A108="",B108=""),"",CHOOSE(WEEKDAY(B108),"Sun","Mon","Tue","Wed","Thu","Fri","Sat"))</f>
        <v/>
      </c>
      <c r="U108" s="72" t="str">
        <f aca="false">IF(OR(Q108&lt;&gt;"Long",D108=""),"",IF(D108&lt;480,"Under 8 min",IF(D108&lt;900,"8–15 min",IF(D108&lt;1500,"15–25 min","25+ min"))))</f>
        <v/>
      </c>
      <c r="V108" s="74" t="str">
        <f aca="false">IF(OR(A108="",N(E108)=0),"",(N(K108)+N(L108))/E108*100)</f>
        <v/>
      </c>
      <c r="W108" s="73" t="str">
        <f aca="false">IF(OR(A108="",N(E108)=0),"",N(L108)/E108*1000)</f>
        <v/>
      </c>
      <c r="X108" s="75" t="str">
        <f aca="false">IF(A108="","",N(N108)-N(O108))</f>
        <v/>
      </c>
      <c r="Y108" s="73" t="str">
        <f aca="false">IF(OR(A108="",N(E108)=0),"",X108/E108*1000)</f>
        <v/>
      </c>
      <c r="Z108" s="72" t="str">
        <f aca="false">IF(OR(A108="",G108=""),"",IF(Q108="Short","n/a (Short)",IF(G108&gt;=Benchmarks!$E$5,"Elite",IF(G108&gt;=Benchmarks!$D$5,"Strong",IF(G108&gt;=Benchmarks!$C$5,"Average","Needs work")))))</f>
        <v/>
      </c>
      <c r="AA108" s="72" t="str">
        <f aca="false">IF(OR(A108="",I108=""),"",IF(Q108="Short",IF(I108&gt;=Benchmarks!$E$7,"Elite",IF(I108&gt;=Benchmarks!$D$7,"Strong",IF(I108&gt;=Benchmarks!$C$7,"Average","Needs work"))),IF(I108&gt;=Benchmarks!$E$6,"Elite",IF(I108&gt;=Benchmarks!$D$6,"Strong",IF(I108&gt;=Benchmarks!$C$6,"Average","Needs work")))))</f>
        <v/>
      </c>
      <c r="AB108" s="72" t="str">
        <f aca="false">IF(V108="","",IF(V108&gt;=Benchmarks!$E$8,"Elite",IF(V108&gt;=Benchmarks!$D$8,"Strong",IF(V108&gt;=Benchmarks!$C$8,"Average","Needs work"))))</f>
        <v/>
      </c>
      <c r="AC108" s="73" t="str">
        <f aca="false">IF(COUNT(AG108:AI108)=0,"",AVERAGE(AG108:AI108))</f>
        <v/>
      </c>
      <c r="AD108" s="37" t="str">
        <f aca="false">IF(A108="","",IF(Q108="Short",IF(AH108="","Add % viewed to diagnose",IF(AND(AH108&gt;=3,N(AI108)&gt;=3),"Winner Short — expand it into a long-form video",IF(AH108&lt;=1,"Hook problem — viewers swipe away in the first seconds",IF(AI108=1,"Watched but no reaction — end on a question or opinion","Solid Short — keep iterating")))),IF(OR(AG108="",AH108=""),"Add CTR &amp; % viewed to diagnose",IF(AND(AG108&gt;=3,AH108&gt;=3),"WINNER — make a sequel, series or Shorts from it",IF(AND(AG108&gt;=3,AH108&lt;=2),"Click but leave — intro too slow or title over-promises",IF(AND(AG108&lt;=2,AH108&gt;=3),"Great video, weak packaging — A/B test title + thumbnail",IF(AND(AG108=1,AH108=1),"Topic miss — don't repeat this angle","Average — sharpen the hook and the title")))))))</f>
        <v/>
      </c>
      <c r="AE108" s="76" t="str">
        <f aca="false">IF(OR(A108="",N(E108)=0),"",Q108&amp;"-"&amp;(COUNTIFS($Q$5:$Q$204,Q108,$E$5:$E$204,"&gt;"&amp;E108)+COUNTIFS($Q$5:Q108,Q108,$E$5:E108,E108)))</f>
        <v/>
      </c>
      <c r="AF108" s="77" t="str">
        <f aca="false">IF(AND(Q108="Long",N(F108)&gt;=Benchmarks!$C$15,G108&lt;&gt;""),G108,"")</f>
        <v/>
      </c>
      <c r="AG108" s="78" t="str">
        <f aca="false">IF(Z108="Elite",4,IF(Z108="Strong",3,IF(Z108="Average",2,IF(Z108="Needs work",1,""))))</f>
        <v/>
      </c>
      <c r="AH108" s="78" t="str">
        <f aca="false">IF(AA108="Elite",4,IF(AA108="Strong",3,IF(AA108="Average",2,IF(AA108="Needs work",1,""))))</f>
        <v/>
      </c>
      <c r="AI108" s="78" t="str">
        <f aca="false">IF(AB108="Elite",4,IF(AB108="Strong",3,IF(AB108="Average",2,IF(AB108="Needs work",1,""))))</f>
        <v/>
      </c>
    </row>
    <row r="109" customFormat="false" ht="15" hidden="false" customHeight="false" outlineLevel="0" collapsed="false">
      <c r="A109" s="64"/>
      <c r="B109" s="65"/>
      <c r="C109" s="66"/>
      <c r="D109" s="67"/>
      <c r="E109" s="67"/>
      <c r="F109" s="67"/>
      <c r="G109" s="68"/>
      <c r="H109" s="69"/>
      <c r="I109" s="68"/>
      <c r="J109" s="70"/>
      <c r="K109" s="67"/>
      <c r="L109" s="67"/>
      <c r="M109" s="67"/>
      <c r="N109" s="67"/>
      <c r="O109" s="67"/>
      <c r="P109" s="71"/>
      <c r="Q109" s="72" t="str">
        <f aca="false">IF(A109="","",IF(C109&lt;&gt;"",C109,IF(AND(D109&lt;&gt;"",D109&lt;=180),"Short","Long")))</f>
        <v/>
      </c>
      <c r="R109" s="73" t="str">
        <f aca="false">IF(OR(A109="",D109=""),"",D109/60)</f>
        <v/>
      </c>
      <c r="S109" s="72" t="str">
        <f aca="false">IF(OR(A109="",B109=""),"",IF(AND(B109&gt;=DATE(2026,4,1),B109&lt;=DATE(2026,6,30)),"Yes","No"))</f>
        <v/>
      </c>
      <c r="T109" s="72" t="str">
        <f aca="false">IF(OR(A109="",B109=""),"",CHOOSE(WEEKDAY(B109),"Sun","Mon","Tue","Wed","Thu","Fri","Sat"))</f>
        <v/>
      </c>
      <c r="U109" s="72" t="str">
        <f aca="false">IF(OR(Q109&lt;&gt;"Long",D109=""),"",IF(D109&lt;480,"Under 8 min",IF(D109&lt;900,"8–15 min",IF(D109&lt;1500,"15–25 min","25+ min"))))</f>
        <v/>
      </c>
      <c r="V109" s="74" t="str">
        <f aca="false">IF(OR(A109="",N(E109)=0),"",(N(K109)+N(L109))/E109*100)</f>
        <v/>
      </c>
      <c r="W109" s="73" t="str">
        <f aca="false">IF(OR(A109="",N(E109)=0),"",N(L109)/E109*1000)</f>
        <v/>
      </c>
      <c r="X109" s="75" t="str">
        <f aca="false">IF(A109="","",N(N109)-N(O109))</f>
        <v/>
      </c>
      <c r="Y109" s="73" t="str">
        <f aca="false">IF(OR(A109="",N(E109)=0),"",X109/E109*1000)</f>
        <v/>
      </c>
      <c r="Z109" s="72" t="str">
        <f aca="false">IF(OR(A109="",G109=""),"",IF(Q109="Short","n/a (Short)",IF(G109&gt;=Benchmarks!$E$5,"Elite",IF(G109&gt;=Benchmarks!$D$5,"Strong",IF(G109&gt;=Benchmarks!$C$5,"Average","Needs work")))))</f>
        <v/>
      </c>
      <c r="AA109" s="72" t="str">
        <f aca="false">IF(OR(A109="",I109=""),"",IF(Q109="Short",IF(I109&gt;=Benchmarks!$E$7,"Elite",IF(I109&gt;=Benchmarks!$D$7,"Strong",IF(I109&gt;=Benchmarks!$C$7,"Average","Needs work"))),IF(I109&gt;=Benchmarks!$E$6,"Elite",IF(I109&gt;=Benchmarks!$D$6,"Strong",IF(I109&gt;=Benchmarks!$C$6,"Average","Needs work")))))</f>
        <v/>
      </c>
      <c r="AB109" s="72" t="str">
        <f aca="false">IF(V109="","",IF(V109&gt;=Benchmarks!$E$8,"Elite",IF(V109&gt;=Benchmarks!$D$8,"Strong",IF(V109&gt;=Benchmarks!$C$8,"Average","Needs work"))))</f>
        <v/>
      </c>
      <c r="AC109" s="73" t="str">
        <f aca="false">IF(COUNT(AG109:AI109)=0,"",AVERAGE(AG109:AI109))</f>
        <v/>
      </c>
      <c r="AD109" s="37" t="str">
        <f aca="false">IF(A109="","",IF(Q109="Short",IF(AH109="","Add % viewed to diagnose",IF(AND(AH109&gt;=3,N(AI109)&gt;=3),"Winner Short — expand it into a long-form video",IF(AH109&lt;=1,"Hook problem — viewers swipe away in the first seconds",IF(AI109=1,"Watched but no reaction — end on a question or opinion","Solid Short — keep iterating")))),IF(OR(AG109="",AH109=""),"Add CTR &amp; % viewed to diagnose",IF(AND(AG109&gt;=3,AH109&gt;=3),"WINNER — make a sequel, series or Shorts from it",IF(AND(AG109&gt;=3,AH109&lt;=2),"Click but leave — intro too slow or title over-promises",IF(AND(AG109&lt;=2,AH109&gt;=3),"Great video, weak packaging — A/B test title + thumbnail",IF(AND(AG109=1,AH109=1),"Topic miss — don't repeat this angle","Average — sharpen the hook and the title")))))))</f>
        <v/>
      </c>
      <c r="AE109" s="76" t="str">
        <f aca="false">IF(OR(A109="",N(E109)=0),"",Q109&amp;"-"&amp;(COUNTIFS($Q$5:$Q$204,Q109,$E$5:$E$204,"&gt;"&amp;E109)+COUNTIFS($Q$5:Q109,Q109,$E$5:E109,E109)))</f>
        <v/>
      </c>
      <c r="AF109" s="77" t="str">
        <f aca="false">IF(AND(Q109="Long",N(F109)&gt;=Benchmarks!$C$15,G109&lt;&gt;""),G109,"")</f>
        <v/>
      </c>
      <c r="AG109" s="78" t="str">
        <f aca="false">IF(Z109="Elite",4,IF(Z109="Strong",3,IF(Z109="Average",2,IF(Z109="Needs work",1,""))))</f>
        <v/>
      </c>
      <c r="AH109" s="78" t="str">
        <f aca="false">IF(AA109="Elite",4,IF(AA109="Strong",3,IF(AA109="Average",2,IF(AA109="Needs work",1,""))))</f>
        <v/>
      </c>
      <c r="AI109" s="78" t="str">
        <f aca="false">IF(AB109="Elite",4,IF(AB109="Strong",3,IF(AB109="Average",2,IF(AB109="Needs work",1,""))))</f>
        <v/>
      </c>
    </row>
    <row r="110" customFormat="false" ht="15" hidden="false" customHeight="false" outlineLevel="0" collapsed="false">
      <c r="A110" s="64"/>
      <c r="B110" s="65"/>
      <c r="C110" s="66"/>
      <c r="D110" s="67"/>
      <c r="E110" s="67"/>
      <c r="F110" s="67"/>
      <c r="G110" s="68"/>
      <c r="H110" s="69"/>
      <c r="I110" s="68"/>
      <c r="J110" s="70"/>
      <c r="K110" s="67"/>
      <c r="L110" s="67"/>
      <c r="M110" s="67"/>
      <c r="N110" s="67"/>
      <c r="O110" s="67"/>
      <c r="P110" s="71"/>
      <c r="Q110" s="72" t="str">
        <f aca="false">IF(A110="","",IF(C110&lt;&gt;"",C110,IF(AND(D110&lt;&gt;"",D110&lt;=180),"Short","Long")))</f>
        <v/>
      </c>
      <c r="R110" s="73" t="str">
        <f aca="false">IF(OR(A110="",D110=""),"",D110/60)</f>
        <v/>
      </c>
      <c r="S110" s="72" t="str">
        <f aca="false">IF(OR(A110="",B110=""),"",IF(AND(B110&gt;=DATE(2026,4,1),B110&lt;=DATE(2026,6,30)),"Yes","No"))</f>
        <v/>
      </c>
      <c r="T110" s="72" t="str">
        <f aca="false">IF(OR(A110="",B110=""),"",CHOOSE(WEEKDAY(B110),"Sun","Mon","Tue","Wed","Thu","Fri","Sat"))</f>
        <v/>
      </c>
      <c r="U110" s="72" t="str">
        <f aca="false">IF(OR(Q110&lt;&gt;"Long",D110=""),"",IF(D110&lt;480,"Under 8 min",IF(D110&lt;900,"8–15 min",IF(D110&lt;1500,"15–25 min","25+ min"))))</f>
        <v/>
      </c>
      <c r="V110" s="74" t="str">
        <f aca="false">IF(OR(A110="",N(E110)=0),"",(N(K110)+N(L110))/E110*100)</f>
        <v/>
      </c>
      <c r="W110" s="73" t="str">
        <f aca="false">IF(OR(A110="",N(E110)=0),"",N(L110)/E110*1000)</f>
        <v/>
      </c>
      <c r="X110" s="75" t="str">
        <f aca="false">IF(A110="","",N(N110)-N(O110))</f>
        <v/>
      </c>
      <c r="Y110" s="73" t="str">
        <f aca="false">IF(OR(A110="",N(E110)=0),"",X110/E110*1000)</f>
        <v/>
      </c>
      <c r="Z110" s="72" t="str">
        <f aca="false">IF(OR(A110="",G110=""),"",IF(Q110="Short","n/a (Short)",IF(G110&gt;=Benchmarks!$E$5,"Elite",IF(G110&gt;=Benchmarks!$D$5,"Strong",IF(G110&gt;=Benchmarks!$C$5,"Average","Needs work")))))</f>
        <v/>
      </c>
      <c r="AA110" s="72" t="str">
        <f aca="false">IF(OR(A110="",I110=""),"",IF(Q110="Short",IF(I110&gt;=Benchmarks!$E$7,"Elite",IF(I110&gt;=Benchmarks!$D$7,"Strong",IF(I110&gt;=Benchmarks!$C$7,"Average","Needs work"))),IF(I110&gt;=Benchmarks!$E$6,"Elite",IF(I110&gt;=Benchmarks!$D$6,"Strong",IF(I110&gt;=Benchmarks!$C$6,"Average","Needs work")))))</f>
        <v/>
      </c>
      <c r="AB110" s="72" t="str">
        <f aca="false">IF(V110="","",IF(V110&gt;=Benchmarks!$E$8,"Elite",IF(V110&gt;=Benchmarks!$D$8,"Strong",IF(V110&gt;=Benchmarks!$C$8,"Average","Needs work"))))</f>
        <v/>
      </c>
      <c r="AC110" s="73" t="str">
        <f aca="false">IF(COUNT(AG110:AI110)=0,"",AVERAGE(AG110:AI110))</f>
        <v/>
      </c>
      <c r="AD110" s="37" t="str">
        <f aca="false">IF(A110="","",IF(Q110="Short",IF(AH110="","Add % viewed to diagnose",IF(AND(AH110&gt;=3,N(AI110)&gt;=3),"Winner Short — expand it into a long-form video",IF(AH110&lt;=1,"Hook problem — viewers swipe away in the first seconds",IF(AI110=1,"Watched but no reaction — end on a question or opinion","Solid Short — keep iterating")))),IF(OR(AG110="",AH110=""),"Add CTR &amp; % viewed to diagnose",IF(AND(AG110&gt;=3,AH110&gt;=3),"WINNER — make a sequel, series or Shorts from it",IF(AND(AG110&gt;=3,AH110&lt;=2),"Click but leave — intro too slow or title over-promises",IF(AND(AG110&lt;=2,AH110&gt;=3),"Great video, weak packaging — A/B test title + thumbnail",IF(AND(AG110=1,AH110=1),"Topic miss — don't repeat this angle","Average — sharpen the hook and the title")))))))</f>
        <v/>
      </c>
      <c r="AE110" s="76" t="str">
        <f aca="false">IF(OR(A110="",N(E110)=0),"",Q110&amp;"-"&amp;(COUNTIFS($Q$5:$Q$204,Q110,$E$5:$E$204,"&gt;"&amp;E110)+COUNTIFS($Q$5:Q110,Q110,$E$5:E110,E110)))</f>
        <v/>
      </c>
      <c r="AF110" s="77" t="str">
        <f aca="false">IF(AND(Q110="Long",N(F110)&gt;=Benchmarks!$C$15,G110&lt;&gt;""),G110,"")</f>
        <v/>
      </c>
      <c r="AG110" s="78" t="str">
        <f aca="false">IF(Z110="Elite",4,IF(Z110="Strong",3,IF(Z110="Average",2,IF(Z110="Needs work",1,""))))</f>
        <v/>
      </c>
      <c r="AH110" s="78" t="str">
        <f aca="false">IF(AA110="Elite",4,IF(AA110="Strong",3,IF(AA110="Average",2,IF(AA110="Needs work",1,""))))</f>
        <v/>
      </c>
      <c r="AI110" s="78" t="str">
        <f aca="false">IF(AB110="Elite",4,IF(AB110="Strong",3,IF(AB110="Average",2,IF(AB110="Needs work",1,""))))</f>
        <v/>
      </c>
    </row>
    <row r="111" customFormat="false" ht="15" hidden="false" customHeight="false" outlineLevel="0" collapsed="false">
      <c r="A111" s="64"/>
      <c r="B111" s="65"/>
      <c r="C111" s="66"/>
      <c r="D111" s="67"/>
      <c r="E111" s="67"/>
      <c r="F111" s="67"/>
      <c r="G111" s="68"/>
      <c r="H111" s="69"/>
      <c r="I111" s="68"/>
      <c r="J111" s="70"/>
      <c r="K111" s="67"/>
      <c r="L111" s="67"/>
      <c r="M111" s="67"/>
      <c r="N111" s="67"/>
      <c r="O111" s="67"/>
      <c r="P111" s="71"/>
      <c r="Q111" s="72" t="str">
        <f aca="false">IF(A111="","",IF(C111&lt;&gt;"",C111,IF(AND(D111&lt;&gt;"",D111&lt;=180),"Short","Long")))</f>
        <v/>
      </c>
      <c r="R111" s="73" t="str">
        <f aca="false">IF(OR(A111="",D111=""),"",D111/60)</f>
        <v/>
      </c>
      <c r="S111" s="72" t="str">
        <f aca="false">IF(OR(A111="",B111=""),"",IF(AND(B111&gt;=DATE(2026,4,1),B111&lt;=DATE(2026,6,30)),"Yes","No"))</f>
        <v/>
      </c>
      <c r="T111" s="72" t="str">
        <f aca="false">IF(OR(A111="",B111=""),"",CHOOSE(WEEKDAY(B111),"Sun","Mon","Tue","Wed","Thu","Fri","Sat"))</f>
        <v/>
      </c>
      <c r="U111" s="72" t="str">
        <f aca="false">IF(OR(Q111&lt;&gt;"Long",D111=""),"",IF(D111&lt;480,"Under 8 min",IF(D111&lt;900,"8–15 min",IF(D111&lt;1500,"15–25 min","25+ min"))))</f>
        <v/>
      </c>
      <c r="V111" s="74" t="str">
        <f aca="false">IF(OR(A111="",N(E111)=0),"",(N(K111)+N(L111))/E111*100)</f>
        <v/>
      </c>
      <c r="W111" s="73" t="str">
        <f aca="false">IF(OR(A111="",N(E111)=0),"",N(L111)/E111*1000)</f>
        <v/>
      </c>
      <c r="X111" s="75" t="str">
        <f aca="false">IF(A111="","",N(N111)-N(O111))</f>
        <v/>
      </c>
      <c r="Y111" s="73" t="str">
        <f aca="false">IF(OR(A111="",N(E111)=0),"",X111/E111*1000)</f>
        <v/>
      </c>
      <c r="Z111" s="72" t="str">
        <f aca="false">IF(OR(A111="",G111=""),"",IF(Q111="Short","n/a (Short)",IF(G111&gt;=Benchmarks!$E$5,"Elite",IF(G111&gt;=Benchmarks!$D$5,"Strong",IF(G111&gt;=Benchmarks!$C$5,"Average","Needs work")))))</f>
        <v/>
      </c>
      <c r="AA111" s="72" t="str">
        <f aca="false">IF(OR(A111="",I111=""),"",IF(Q111="Short",IF(I111&gt;=Benchmarks!$E$7,"Elite",IF(I111&gt;=Benchmarks!$D$7,"Strong",IF(I111&gt;=Benchmarks!$C$7,"Average","Needs work"))),IF(I111&gt;=Benchmarks!$E$6,"Elite",IF(I111&gt;=Benchmarks!$D$6,"Strong",IF(I111&gt;=Benchmarks!$C$6,"Average","Needs work")))))</f>
        <v/>
      </c>
      <c r="AB111" s="72" t="str">
        <f aca="false">IF(V111="","",IF(V111&gt;=Benchmarks!$E$8,"Elite",IF(V111&gt;=Benchmarks!$D$8,"Strong",IF(V111&gt;=Benchmarks!$C$8,"Average","Needs work"))))</f>
        <v/>
      </c>
      <c r="AC111" s="73" t="str">
        <f aca="false">IF(COUNT(AG111:AI111)=0,"",AVERAGE(AG111:AI111))</f>
        <v/>
      </c>
      <c r="AD111" s="37" t="str">
        <f aca="false">IF(A111="","",IF(Q111="Short",IF(AH111="","Add % viewed to diagnose",IF(AND(AH111&gt;=3,N(AI111)&gt;=3),"Winner Short — expand it into a long-form video",IF(AH111&lt;=1,"Hook problem — viewers swipe away in the first seconds",IF(AI111=1,"Watched but no reaction — end on a question or opinion","Solid Short — keep iterating")))),IF(OR(AG111="",AH111=""),"Add CTR &amp; % viewed to diagnose",IF(AND(AG111&gt;=3,AH111&gt;=3),"WINNER — make a sequel, series or Shorts from it",IF(AND(AG111&gt;=3,AH111&lt;=2),"Click but leave — intro too slow or title over-promises",IF(AND(AG111&lt;=2,AH111&gt;=3),"Great video, weak packaging — A/B test title + thumbnail",IF(AND(AG111=1,AH111=1),"Topic miss — don't repeat this angle","Average — sharpen the hook and the title")))))))</f>
        <v/>
      </c>
      <c r="AE111" s="76" t="str">
        <f aca="false">IF(OR(A111="",N(E111)=0),"",Q111&amp;"-"&amp;(COUNTIFS($Q$5:$Q$204,Q111,$E$5:$E$204,"&gt;"&amp;E111)+COUNTIFS($Q$5:Q111,Q111,$E$5:E111,E111)))</f>
        <v/>
      </c>
      <c r="AF111" s="77" t="str">
        <f aca="false">IF(AND(Q111="Long",N(F111)&gt;=Benchmarks!$C$15,G111&lt;&gt;""),G111,"")</f>
        <v/>
      </c>
      <c r="AG111" s="78" t="str">
        <f aca="false">IF(Z111="Elite",4,IF(Z111="Strong",3,IF(Z111="Average",2,IF(Z111="Needs work",1,""))))</f>
        <v/>
      </c>
      <c r="AH111" s="78" t="str">
        <f aca="false">IF(AA111="Elite",4,IF(AA111="Strong",3,IF(AA111="Average",2,IF(AA111="Needs work",1,""))))</f>
        <v/>
      </c>
      <c r="AI111" s="78" t="str">
        <f aca="false">IF(AB111="Elite",4,IF(AB111="Strong",3,IF(AB111="Average",2,IF(AB111="Needs work",1,""))))</f>
        <v/>
      </c>
    </row>
    <row r="112" customFormat="false" ht="15" hidden="false" customHeight="false" outlineLevel="0" collapsed="false">
      <c r="A112" s="64"/>
      <c r="B112" s="65"/>
      <c r="C112" s="66"/>
      <c r="D112" s="67"/>
      <c r="E112" s="67"/>
      <c r="F112" s="67"/>
      <c r="G112" s="68"/>
      <c r="H112" s="69"/>
      <c r="I112" s="68"/>
      <c r="J112" s="70"/>
      <c r="K112" s="67"/>
      <c r="L112" s="67"/>
      <c r="M112" s="67"/>
      <c r="N112" s="67"/>
      <c r="O112" s="67"/>
      <c r="P112" s="71"/>
      <c r="Q112" s="72" t="str">
        <f aca="false">IF(A112="","",IF(C112&lt;&gt;"",C112,IF(AND(D112&lt;&gt;"",D112&lt;=180),"Short","Long")))</f>
        <v/>
      </c>
      <c r="R112" s="73" t="str">
        <f aca="false">IF(OR(A112="",D112=""),"",D112/60)</f>
        <v/>
      </c>
      <c r="S112" s="72" t="str">
        <f aca="false">IF(OR(A112="",B112=""),"",IF(AND(B112&gt;=DATE(2026,4,1),B112&lt;=DATE(2026,6,30)),"Yes","No"))</f>
        <v/>
      </c>
      <c r="T112" s="72" t="str">
        <f aca="false">IF(OR(A112="",B112=""),"",CHOOSE(WEEKDAY(B112),"Sun","Mon","Tue","Wed","Thu","Fri","Sat"))</f>
        <v/>
      </c>
      <c r="U112" s="72" t="str">
        <f aca="false">IF(OR(Q112&lt;&gt;"Long",D112=""),"",IF(D112&lt;480,"Under 8 min",IF(D112&lt;900,"8–15 min",IF(D112&lt;1500,"15–25 min","25+ min"))))</f>
        <v/>
      </c>
      <c r="V112" s="74" t="str">
        <f aca="false">IF(OR(A112="",N(E112)=0),"",(N(K112)+N(L112))/E112*100)</f>
        <v/>
      </c>
      <c r="W112" s="73" t="str">
        <f aca="false">IF(OR(A112="",N(E112)=0),"",N(L112)/E112*1000)</f>
        <v/>
      </c>
      <c r="X112" s="75" t="str">
        <f aca="false">IF(A112="","",N(N112)-N(O112))</f>
        <v/>
      </c>
      <c r="Y112" s="73" t="str">
        <f aca="false">IF(OR(A112="",N(E112)=0),"",X112/E112*1000)</f>
        <v/>
      </c>
      <c r="Z112" s="72" t="str">
        <f aca="false">IF(OR(A112="",G112=""),"",IF(Q112="Short","n/a (Short)",IF(G112&gt;=Benchmarks!$E$5,"Elite",IF(G112&gt;=Benchmarks!$D$5,"Strong",IF(G112&gt;=Benchmarks!$C$5,"Average","Needs work")))))</f>
        <v/>
      </c>
      <c r="AA112" s="72" t="str">
        <f aca="false">IF(OR(A112="",I112=""),"",IF(Q112="Short",IF(I112&gt;=Benchmarks!$E$7,"Elite",IF(I112&gt;=Benchmarks!$D$7,"Strong",IF(I112&gt;=Benchmarks!$C$7,"Average","Needs work"))),IF(I112&gt;=Benchmarks!$E$6,"Elite",IF(I112&gt;=Benchmarks!$D$6,"Strong",IF(I112&gt;=Benchmarks!$C$6,"Average","Needs work")))))</f>
        <v/>
      </c>
      <c r="AB112" s="72" t="str">
        <f aca="false">IF(V112="","",IF(V112&gt;=Benchmarks!$E$8,"Elite",IF(V112&gt;=Benchmarks!$D$8,"Strong",IF(V112&gt;=Benchmarks!$C$8,"Average","Needs work"))))</f>
        <v/>
      </c>
      <c r="AC112" s="73" t="str">
        <f aca="false">IF(COUNT(AG112:AI112)=0,"",AVERAGE(AG112:AI112))</f>
        <v/>
      </c>
      <c r="AD112" s="37" t="str">
        <f aca="false">IF(A112="","",IF(Q112="Short",IF(AH112="","Add % viewed to diagnose",IF(AND(AH112&gt;=3,N(AI112)&gt;=3),"Winner Short — expand it into a long-form video",IF(AH112&lt;=1,"Hook problem — viewers swipe away in the first seconds",IF(AI112=1,"Watched but no reaction — end on a question or opinion","Solid Short — keep iterating")))),IF(OR(AG112="",AH112=""),"Add CTR &amp; % viewed to diagnose",IF(AND(AG112&gt;=3,AH112&gt;=3),"WINNER — make a sequel, series or Shorts from it",IF(AND(AG112&gt;=3,AH112&lt;=2),"Click but leave — intro too slow or title over-promises",IF(AND(AG112&lt;=2,AH112&gt;=3),"Great video, weak packaging — A/B test title + thumbnail",IF(AND(AG112=1,AH112=1),"Topic miss — don't repeat this angle","Average — sharpen the hook and the title")))))))</f>
        <v/>
      </c>
      <c r="AE112" s="76" t="str">
        <f aca="false">IF(OR(A112="",N(E112)=0),"",Q112&amp;"-"&amp;(COUNTIFS($Q$5:$Q$204,Q112,$E$5:$E$204,"&gt;"&amp;E112)+COUNTIFS($Q$5:Q112,Q112,$E$5:E112,E112)))</f>
        <v/>
      </c>
      <c r="AF112" s="77" t="str">
        <f aca="false">IF(AND(Q112="Long",N(F112)&gt;=Benchmarks!$C$15,G112&lt;&gt;""),G112,"")</f>
        <v/>
      </c>
      <c r="AG112" s="78" t="str">
        <f aca="false">IF(Z112="Elite",4,IF(Z112="Strong",3,IF(Z112="Average",2,IF(Z112="Needs work",1,""))))</f>
        <v/>
      </c>
      <c r="AH112" s="78" t="str">
        <f aca="false">IF(AA112="Elite",4,IF(AA112="Strong",3,IF(AA112="Average",2,IF(AA112="Needs work",1,""))))</f>
        <v/>
      </c>
      <c r="AI112" s="78" t="str">
        <f aca="false">IF(AB112="Elite",4,IF(AB112="Strong",3,IF(AB112="Average",2,IF(AB112="Needs work",1,""))))</f>
        <v/>
      </c>
    </row>
    <row r="113" customFormat="false" ht="15" hidden="false" customHeight="false" outlineLevel="0" collapsed="false">
      <c r="A113" s="64"/>
      <c r="B113" s="65"/>
      <c r="C113" s="66"/>
      <c r="D113" s="67"/>
      <c r="E113" s="67"/>
      <c r="F113" s="67"/>
      <c r="G113" s="68"/>
      <c r="H113" s="69"/>
      <c r="I113" s="68"/>
      <c r="J113" s="70"/>
      <c r="K113" s="67"/>
      <c r="L113" s="67"/>
      <c r="M113" s="67"/>
      <c r="N113" s="67"/>
      <c r="O113" s="67"/>
      <c r="P113" s="71"/>
      <c r="Q113" s="72" t="str">
        <f aca="false">IF(A113="","",IF(C113&lt;&gt;"",C113,IF(AND(D113&lt;&gt;"",D113&lt;=180),"Short","Long")))</f>
        <v/>
      </c>
      <c r="R113" s="73" t="str">
        <f aca="false">IF(OR(A113="",D113=""),"",D113/60)</f>
        <v/>
      </c>
      <c r="S113" s="72" t="str">
        <f aca="false">IF(OR(A113="",B113=""),"",IF(AND(B113&gt;=DATE(2026,4,1),B113&lt;=DATE(2026,6,30)),"Yes","No"))</f>
        <v/>
      </c>
      <c r="T113" s="72" t="str">
        <f aca="false">IF(OR(A113="",B113=""),"",CHOOSE(WEEKDAY(B113),"Sun","Mon","Tue","Wed","Thu","Fri","Sat"))</f>
        <v/>
      </c>
      <c r="U113" s="72" t="str">
        <f aca="false">IF(OR(Q113&lt;&gt;"Long",D113=""),"",IF(D113&lt;480,"Under 8 min",IF(D113&lt;900,"8–15 min",IF(D113&lt;1500,"15–25 min","25+ min"))))</f>
        <v/>
      </c>
      <c r="V113" s="74" t="str">
        <f aca="false">IF(OR(A113="",N(E113)=0),"",(N(K113)+N(L113))/E113*100)</f>
        <v/>
      </c>
      <c r="W113" s="73" t="str">
        <f aca="false">IF(OR(A113="",N(E113)=0),"",N(L113)/E113*1000)</f>
        <v/>
      </c>
      <c r="X113" s="75" t="str">
        <f aca="false">IF(A113="","",N(N113)-N(O113))</f>
        <v/>
      </c>
      <c r="Y113" s="73" t="str">
        <f aca="false">IF(OR(A113="",N(E113)=0),"",X113/E113*1000)</f>
        <v/>
      </c>
      <c r="Z113" s="72" t="str">
        <f aca="false">IF(OR(A113="",G113=""),"",IF(Q113="Short","n/a (Short)",IF(G113&gt;=Benchmarks!$E$5,"Elite",IF(G113&gt;=Benchmarks!$D$5,"Strong",IF(G113&gt;=Benchmarks!$C$5,"Average","Needs work")))))</f>
        <v/>
      </c>
      <c r="AA113" s="72" t="str">
        <f aca="false">IF(OR(A113="",I113=""),"",IF(Q113="Short",IF(I113&gt;=Benchmarks!$E$7,"Elite",IF(I113&gt;=Benchmarks!$D$7,"Strong",IF(I113&gt;=Benchmarks!$C$7,"Average","Needs work"))),IF(I113&gt;=Benchmarks!$E$6,"Elite",IF(I113&gt;=Benchmarks!$D$6,"Strong",IF(I113&gt;=Benchmarks!$C$6,"Average","Needs work")))))</f>
        <v/>
      </c>
      <c r="AB113" s="72" t="str">
        <f aca="false">IF(V113="","",IF(V113&gt;=Benchmarks!$E$8,"Elite",IF(V113&gt;=Benchmarks!$D$8,"Strong",IF(V113&gt;=Benchmarks!$C$8,"Average","Needs work"))))</f>
        <v/>
      </c>
      <c r="AC113" s="73" t="str">
        <f aca="false">IF(COUNT(AG113:AI113)=0,"",AVERAGE(AG113:AI113))</f>
        <v/>
      </c>
      <c r="AD113" s="37" t="str">
        <f aca="false">IF(A113="","",IF(Q113="Short",IF(AH113="","Add % viewed to diagnose",IF(AND(AH113&gt;=3,N(AI113)&gt;=3),"Winner Short — expand it into a long-form video",IF(AH113&lt;=1,"Hook problem — viewers swipe away in the first seconds",IF(AI113=1,"Watched but no reaction — end on a question or opinion","Solid Short — keep iterating")))),IF(OR(AG113="",AH113=""),"Add CTR &amp; % viewed to diagnose",IF(AND(AG113&gt;=3,AH113&gt;=3),"WINNER — make a sequel, series or Shorts from it",IF(AND(AG113&gt;=3,AH113&lt;=2),"Click but leave — intro too slow or title over-promises",IF(AND(AG113&lt;=2,AH113&gt;=3),"Great video, weak packaging — A/B test title + thumbnail",IF(AND(AG113=1,AH113=1),"Topic miss — don't repeat this angle","Average — sharpen the hook and the title")))))))</f>
        <v/>
      </c>
      <c r="AE113" s="76" t="str">
        <f aca="false">IF(OR(A113="",N(E113)=0),"",Q113&amp;"-"&amp;(COUNTIFS($Q$5:$Q$204,Q113,$E$5:$E$204,"&gt;"&amp;E113)+COUNTIFS($Q$5:Q113,Q113,$E$5:E113,E113)))</f>
        <v/>
      </c>
      <c r="AF113" s="77" t="str">
        <f aca="false">IF(AND(Q113="Long",N(F113)&gt;=Benchmarks!$C$15,G113&lt;&gt;""),G113,"")</f>
        <v/>
      </c>
      <c r="AG113" s="78" t="str">
        <f aca="false">IF(Z113="Elite",4,IF(Z113="Strong",3,IF(Z113="Average",2,IF(Z113="Needs work",1,""))))</f>
        <v/>
      </c>
      <c r="AH113" s="78" t="str">
        <f aca="false">IF(AA113="Elite",4,IF(AA113="Strong",3,IF(AA113="Average",2,IF(AA113="Needs work",1,""))))</f>
        <v/>
      </c>
      <c r="AI113" s="78" t="str">
        <f aca="false">IF(AB113="Elite",4,IF(AB113="Strong",3,IF(AB113="Average",2,IF(AB113="Needs work",1,""))))</f>
        <v/>
      </c>
    </row>
    <row r="114" customFormat="false" ht="15" hidden="false" customHeight="false" outlineLevel="0" collapsed="false">
      <c r="A114" s="64"/>
      <c r="B114" s="65"/>
      <c r="C114" s="66"/>
      <c r="D114" s="67"/>
      <c r="E114" s="67"/>
      <c r="F114" s="67"/>
      <c r="G114" s="68"/>
      <c r="H114" s="69"/>
      <c r="I114" s="68"/>
      <c r="J114" s="70"/>
      <c r="K114" s="67"/>
      <c r="L114" s="67"/>
      <c r="M114" s="67"/>
      <c r="N114" s="67"/>
      <c r="O114" s="67"/>
      <c r="P114" s="71"/>
      <c r="Q114" s="72" t="str">
        <f aca="false">IF(A114="","",IF(C114&lt;&gt;"",C114,IF(AND(D114&lt;&gt;"",D114&lt;=180),"Short","Long")))</f>
        <v/>
      </c>
      <c r="R114" s="73" t="str">
        <f aca="false">IF(OR(A114="",D114=""),"",D114/60)</f>
        <v/>
      </c>
      <c r="S114" s="72" t="str">
        <f aca="false">IF(OR(A114="",B114=""),"",IF(AND(B114&gt;=DATE(2026,4,1),B114&lt;=DATE(2026,6,30)),"Yes","No"))</f>
        <v/>
      </c>
      <c r="T114" s="72" t="str">
        <f aca="false">IF(OR(A114="",B114=""),"",CHOOSE(WEEKDAY(B114),"Sun","Mon","Tue","Wed","Thu","Fri","Sat"))</f>
        <v/>
      </c>
      <c r="U114" s="72" t="str">
        <f aca="false">IF(OR(Q114&lt;&gt;"Long",D114=""),"",IF(D114&lt;480,"Under 8 min",IF(D114&lt;900,"8–15 min",IF(D114&lt;1500,"15–25 min","25+ min"))))</f>
        <v/>
      </c>
      <c r="V114" s="74" t="str">
        <f aca="false">IF(OR(A114="",N(E114)=0),"",(N(K114)+N(L114))/E114*100)</f>
        <v/>
      </c>
      <c r="W114" s="73" t="str">
        <f aca="false">IF(OR(A114="",N(E114)=0),"",N(L114)/E114*1000)</f>
        <v/>
      </c>
      <c r="X114" s="75" t="str">
        <f aca="false">IF(A114="","",N(N114)-N(O114))</f>
        <v/>
      </c>
      <c r="Y114" s="73" t="str">
        <f aca="false">IF(OR(A114="",N(E114)=0),"",X114/E114*1000)</f>
        <v/>
      </c>
      <c r="Z114" s="72" t="str">
        <f aca="false">IF(OR(A114="",G114=""),"",IF(Q114="Short","n/a (Short)",IF(G114&gt;=Benchmarks!$E$5,"Elite",IF(G114&gt;=Benchmarks!$D$5,"Strong",IF(G114&gt;=Benchmarks!$C$5,"Average","Needs work")))))</f>
        <v/>
      </c>
      <c r="AA114" s="72" t="str">
        <f aca="false">IF(OR(A114="",I114=""),"",IF(Q114="Short",IF(I114&gt;=Benchmarks!$E$7,"Elite",IF(I114&gt;=Benchmarks!$D$7,"Strong",IF(I114&gt;=Benchmarks!$C$7,"Average","Needs work"))),IF(I114&gt;=Benchmarks!$E$6,"Elite",IF(I114&gt;=Benchmarks!$D$6,"Strong",IF(I114&gt;=Benchmarks!$C$6,"Average","Needs work")))))</f>
        <v/>
      </c>
      <c r="AB114" s="72" t="str">
        <f aca="false">IF(V114="","",IF(V114&gt;=Benchmarks!$E$8,"Elite",IF(V114&gt;=Benchmarks!$D$8,"Strong",IF(V114&gt;=Benchmarks!$C$8,"Average","Needs work"))))</f>
        <v/>
      </c>
      <c r="AC114" s="73" t="str">
        <f aca="false">IF(COUNT(AG114:AI114)=0,"",AVERAGE(AG114:AI114))</f>
        <v/>
      </c>
      <c r="AD114" s="37" t="str">
        <f aca="false">IF(A114="","",IF(Q114="Short",IF(AH114="","Add % viewed to diagnose",IF(AND(AH114&gt;=3,N(AI114)&gt;=3),"Winner Short — expand it into a long-form video",IF(AH114&lt;=1,"Hook problem — viewers swipe away in the first seconds",IF(AI114=1,"Watched but no reaction — end on a question or opinion","Solid Short — keep iterating")))),IF(OR(AG114="",AH114=""),"Add CTR &amp; % viewed to diagnose",IF(AND(AG114&gt;=3,AH114&gt;=3),"WINNER — make a sequel, series or Shorts from it",IF(AND(AG114&gt;=3,AH114&lt;=2),"Click but leave — intro too slow or title over-promises",IF(AND(AG114&lt;=2,AH114&gt;=3),"Great video, weak packaging — A/B test title + thumbnail",IF(AND(AG114=1,AH114=1),"Topic miss — don't repeat this angle","Average — sharpen the hook and the title")))))))</f>
        <v/>
      </c>
      <c r="AE114" s="76" t="str">
        <f aca="false">IF(OR(A114="",N(E114)=0),"",Q114&amp;"-"&amp;(COUNTIFS($Q$5:$Q$204,Q114,$E$5:$E$204,"&gt;"&amp;E114)+COUNTIFS($Q$5:Q114,Q114,$E$5:E114,E114)))</f>
        <v/>
      </c>
      <c r="AF114" s="77" t="str">
        <f aca="false">IF(AND(Q114="Long",N(F114)&gt;=Benchmarks!$C$15,G114&lt;&gt;""),G114,"")</f>
        <v/>
      </c>
      <c r="AG114" s="78" t="str">
        <f aca="false">IF(Z114="Elite",4,IF(Z114="Strong",3,IF(Z114="Average",2,IF(Z114="Needs work",1,""))))</f>
        <v/>
      </c>
      <c r="AH114" s="78" t="str">
        <f aca="false">IF(AA114="Elite",4,IF(AA114="Strong",3,IF(AA114="Average",2,IF(AA114="Needs work",1,""))))</f>
        <v/>
      </c>
      <c r="AI114" s="78" t="str">
        <f aca="false">IF(AB114="Elite",4,IF(AB114="Strong",3,IF(AB114="Average",2,IF(AB114="Needs work",1,""))))</f>
        <v/>
      </c>
    </row>
    <row r="115" customFormat="false" ht="15" hidden="false" customHeight="false" outlineLevel="0" collapsed="false">
      <c r="A115" s="64"/>
      <c r="B115" s="65"/>
      <c r="C115" s="66"/>
      <c r="D115" s="67"/>
      <c r="E115" s="67"/>
      <c r="F115" s="67"/>
      <c r="G115" s="68"/>
      <c r="H115" s="69"/>
      <c r="I115" s="68"/>
      <c r="J115" s="70"/>
      <c r="K115" s="67"/>
      <c r="L115" s="67"/>
      <c r="M115" s="67"/>
      <c r="N115" s="67"/>
      <c r="O115" s="67"/>
      <c r="P115" s="71"/>
      <c r="Q115" s="72" t="str">
        <f aca="false">IF(A115="","",IF(C115&lt;&gt;"",C115,IF(AND(D115&lt;&gt;"",D115&lt;=180),"Short","Long")))</f>
        <v/>
      </c>
      <c r="R115" s="73" t="str">
        <f aca="false">IF(OR(A115="",D115=""),"",D115/60)</f>
        <v/>
      </c>
      <c r="S115" s="72" t="str">
        <f aca="false">IF(OR(A115="",B115=""),"",IF(AND(B115&gt;=DATE(2026,4,1),B115&lt;=DATE(2026,6,30)),"Yes","No"))</f>
        <v/>
      </c>
      <c r="T115" s="72" t="str">
        <f aca="false">IF(OR(A115="",B115=""),"",CHOOSE(WEEKDAY(B115),"Sun","Mon","Tue","Wed","Thu","Fri","Sat"))</f>
        <v/>
      </c>
      <c r="U115" s="72" t="str">
        <f aca="false">IF(OR(Q115&lt;&gt;"Long",D115=""),"",IF(D115&lt;480,"Under 8 min",IF(D115&lt;900,"8–15 min",IF(D115&lt;1500,"15–25 min","25+ min"))))</f>
        <v/>
      </c>
      <c r="V115" s="74" t="str">
        <f aca="false">IF(OR(A115="",N(E115)=0),"",(N(K115)+N(L115))/E115*100)</f>
        <v/>
      </c>
      <c r="W115" s="73" t="str">
        <f aca="false">IF(OR(A115="",N(E115)=0),"",N(L115)/E115*1000)</f>
        <v/>
      </c>
      <c r="X115" s="75" t="str">
        <f aca="false">IF(A115="","",N(N115)-N(O115))</f>
        <v/>
      </c>
      <c r="Y115" s="73" t="str">
        <f aca="false">IF(OR(A115="",N(E115)=0),"",X115/E115*1000)</f>
        <v/>
      </c>
      <c r="Z115" s="72" t="str">
        <f aca="false">IF(OR(A115="",G115=""),"",IF(Q115="Short","n/a (Short)",IF(G115&gt;=Benchmarks!$E$5,"Elite",IF(G115&gt;=Benchmarks!$D$5,"Strong",IF(G115&gt;=Benchmarks!$C$5,"Average","Needs work")))))</f>
        <v/>
      </c>
      <c r="AA115" s="72" t="str">
        <f aca="false">IF(OR(A115="",I115=""),"",IF(Q115="Short",IF(I115&gt;=Benchmarks!$E$7,"Elite",IF(I115&gt;=Benchmarks!$D$7,"Strong",IF(I115&gt;=Benchmarks!$C$7,"Average","Needs work"))),IF(I115&gt;=Benchmarks!$E$6,"Elite",IF(I115&gt;=Benchmarks!$D$6,"Strong",IF(I115&gt;=Benchmarks!$C$6,"Average","Needs work")))))</f>
        <v/>
      </c>
      <c r="AB115" s="72" t="str">
        <f aca="false">IF(V115="","",IF(V115&gt;=Benchmarks!$E$8,"Elite",IF(V115&gt;=Benchmarks!$D$8,"Strong",IF(V115&gt;=Benchmarks!$C$8,"Average","Needs work"))))</f>
        <v/>
      </c>
      <c r="AC115" s="73" t="str">
        <f aca="false">IF(COUNT(AG115:AI115)=0,"",AVERAGE(AG115:AI115))</f>
        <v/>
      </c>
      <c r="AD115" s="37" t="str">
        <f aca="false">IF(A115="","",IF(Q115="Short",IF(AH115="","Add % viewed to diagnose",IF(AND(AH115&gt;=3,N(AI115)&gt;=3),"Winner Short — expand it into a long-form video",IF(AH115&lt;=1,"Hook problem — viewers swipe away in the first seconds",IF(AI115=1,"Watched but no reaction — end on a question or opinion","Solid Short — keep iterating")))),IF(OR(AG115="",AH115=""),"Add CTR &amp; % viewed to diagnose",IF(AND(AG115&gt;=3,AH115&gt;=3),"WINNER — make a sequel, series or Shorts from it",IF(AND(AG115&gt;=3,AH115&lt;=2),"Click but leave — intro too slow or title over-promises",IF(AND(AG115&lt;=2,AH115&gt;=3),"Great video, weak packaging — A/B test title + thumbnail",IF(AND(AG115=1,AH115=1),"Topic miss — don't repeat this angle","Average — sharpen the hook and the title")))))))</f>
        <v/>
      </c>
      <c r="AE115" s="76" t="str">
        <f aca="false">IF(OR(A115="",N(E115)=0),"",Q115&amp;"-"&amp;(COUNTIFS($Q$5:$Q$204,Q115,$E$5:$E$204,"&gt;"&amp;E115)+COUNTIFS($Q$5:Q115,Q115,$E$5:E115,E115)))</f>
        <v/>
      </c>
      <c r="AF115" s="77" t="str">
        <f aca="false">IF(AND(Q115="Long",N(F115)&gt;=Benchmarks!$C$15,G115&lt;&gt;""),G115,"")</f>
        <v/>
      </c>
      <c r="AG115" s="78" t="str">
        <f aca="false">IF(Z115="Elite",4,IF(Z115="Strong",3,IF(Z115="Average",2,IF(Z115="Needs work",1,""))))</f>
        <v/>
      </c>
      <c r="AH115" s="78" t="str">
        <f aca="false">IF(AA115="Elite",4,IF(AA115="Strong",3,IF(AA115="Average",2,IF(AA115="Needs work",1,""))))</f>
        <v/>
      </c>
      <c r="AI115" s="78" t="str">
        <f aca="false">IF(AB115="Elite",4,IF(AB115="Strong",3,IF(AB115="Average",2,IF(AB115="Needs work",1,""))))</f>
        <v/>
      </c>
    </row>
    <row r="116" customFormat="false" ht="15" hidden="false" customHeight="false" outlineLevel="0" collapsed="false">
      <c r="A116" s="64"/>
      <c r="B116" s="65"/>
      <c r="C116" s="66"/>
      <c r="D116" s="67"/>
      <c r="E116" s="67"/>
      <c r="F116" s="67"/>
      <c r="G116" s="68"/>
      <c r="H116" s="69"/>
      <c r="I116" s="68"/>
      <c r="J116" s="70"/>
      <c r="K116" s="67"/>
      <c r="L116" s="67"/>
      <c r="M116" s="67"/>
      <c r="N116" s="67"/>
      <c r="O116" s="67"/>
      <c r="P116" s="71"/>
      <c r="Q116" s="72" t="str">
        <f aca="false">IF(A116="","",IF(C116&lt;&gt;"",C116,IF(AND(D116&lt;&gt;"",D116&lt;=180),"Short","Long")))</f>
        <v/>
      </c>
      <c r="R116" s="73" t="str">
        <f aca="false">IF(OR(A116="",D116=""),"",D116/60)</f>
        <v/>
      </c>
      <c r="S116" s="72" t="str">
        <f aca="false">IF(OR(A116="",B116=""),"",IF(AND(B116&gt;=DATE(2026,4,1),B116&lt;=DATE(2026,6,30)),"Yes","No"))</f>
        <v/>
      </c>
      <c r="T116" s="72" t="str">
        <f aca="false">IF(OR(A116="",B116=""),"",CHOOSE(WEEKDAY(B116),"Sun","Mon","Tue","Wed","Thu","Fri","Sat"))</f>
        <v/>
      </c>
      <c r="U116" s="72" t="str">
        <f aca="false">IF(OR(Q116&lt;&gt;"Long",D116=""),"",IF(D116&lt;480,"Under 8 min",IF(D116&lt;900,"8–15 min",IF(D116&lt;1500,"15–25 min","25+ min"))))</f>
        <v/>
      </c>
      <c r="V116" s="74" t="str">
        <f aca="false">IF(OR(A116="",N(E116)=0),"",(N(K116)+N(L116))/E116*100)</f>
        <v/>
      </c>
      <c r="W116" s="73" t="str">
        <f aca="false">IF(OR(A116="",N(E116)=0),"",N(L116)/E116*1000)</f>
        <v/>
      </c>
      <c r="X116" s="75" t="str">
        <f aca="false">IF(A116="","",N(N116)-N(O116))</f>
        <v/>
      </c>
      <c r="Y116" s="73" t="str">
        <f aca="false">IF(OR(A116="",N(E116)=0),"",X116/E116*1000)</f>
        <v/>
      </c>
      <c r="Z116" s="72" t="str">
        <f aca="false">IF(OR(A116="",G116=""),"",IF(Q116="Short","n/a (Short)",IF(G116&gt;=Benchmarks!$E$5,"Elite",IF(G116&gt;=Benchmarks!$D$5,"Strong",IF(G116&gt;=Benchmarks!$C$5,"Average","Needs work")))))</f>
        <v/>
      </c>
      <c r="AA116" s="72" t="str">
        <f aca="false">IF(OR(A116="",I116=""),"",IF(Q116="Short",IF(I116&gt;=Benchmarks!$E$7,"Elite",IF(I116&gt;=Benchmarks!$D$7,"Strong",IF(I116&gt;=Benchmarks!$C$7,"Average","Needs work"))),IF(I116&gt;=Benchmarks!$E$6,"Elite",IF(I116&gt;=Benchmarks!$D$6,"Strong",IF(I116&gt;=Benchmarks!$C$6,"Average","Needs work")))))</f>
        <v/>
      </c>
      <c r="AB116" s="72" t="str">
        <f aca="false">IF(V116="","",IF(V116&gt;=Benchmarks!$E$8,"Elite",IF(V116&gt;=Benchmarks!$D$8,"Strong",IF(V116&gt;=Benchmarks!$C$8,"Average","Needs work"))))</f>
        <v/>
      </c>
      <c r="AC116" s="73" t="str">
        <f aca="false">IF(COUNT(AG116:AI116)=0,"",AVERAGE(AG116:AI116))</f>
        <v/>
      </c>
      <c r="AD116" s="37" t="str">
        <f aca="false">IF(A116="","",IF(Q116="Short",IF(AH116="","Add % viewed to diagnose",IF(AND(AH116&gt;=3,N(AI116)&gt;=3),"Winner Short — expand it into a long-form video",IF(AH116&lt;=1,"Hook problem — viewers swipe away in the first seconds",IF(AI116=1,"Watched but no reaction — end on a question or opinion","Solid Short — keep iterating")))),IF(OR(AG116="",AH116=""),"Add CTR &amp; % viewed to diagnose",IF(AND(AG116&gt;=3,AH116&gt;=3),"WINNER — make a sequel, series or Shorts from it",IF(AND(AG116&gt;=3,AH116&lt;=2),"Click but leave — intro too slow or title over-promises",IF(AND(AG116&lt;=2,AH116&gt;=3),"Great video, weak packaging — A/B test title + thumbnail",IF(AND(AG116=1,AH116=1),"Topic miss — don't repeat this angle","Average — sharpen the hook and the title")))))))</f>
        <v/>
      </c>
      <c r="AE116" s="76" t="str">
        <f aca="false">IF(OR(A116="",N(E116)=0),"",Q116&amp;"-"&amp;(COUNTIFS($Q$5:$Q$204,Q116,$E$5:$E$204,"&gt;"&amp;E116)+COUNTIFS($Q$5:Q116,Q116,$E$5:E116,E116)))</f>
        <v/>
      </c>
      <c r="AF116" s="77" t="str">
        <f aca="false">IF(AND(Q116="Long",N(F116)&gt;=Benchmarks!$C$15,G116&lt;&gt;""),G116,"")</f>
        <v/>
      </c>
      <c r="AG116" s="78" t="str">
        <f aca="false">IF(Z116="Elite",4,IF(Z116="Strong",3,IF(Z116="Average",2,IF(Z116="Needs work",1,""))))</f>
        <v/>
      </c>
      <c r="AH116" s="78" t="str">
        <f aca="false">IF(AA116="Elite",4,IF(AA116="Strong",3,IF(AA116="Average",2,IF(AA116="Needs work",1,""))))</f>
        <v/>
      </c>
      <c r="AI116" s="78" t="str">
        <f aca="false">IF(AB116="Elite",4,IF(AB116="Strong",3,IF(AB116="Average",2,IF(AB116="Needs work",1,""))))</f>
        <v/>
      </c>
    </row>
    <row r="117" customFormat="false" ht="15" hidden="false" customHeight="false" outlineLevel="0" collapsed="false">
      <c r="A117" s="64"/>
      <c r="B117" s="65"/>
      <c r="C117" s="66"/>
      <c r="D117" s="67"/>
      <c r="E117" s="67"/>
      <c r="F117" s="67"/>
      <c r="G117" s="68"/>
      <c r="H117" s="69"/>
      <c r="I117" s="68"/>
      <c r="J117" s="70"/>
      <c r="K117" s="67"/>
      <c r="L117" s="67"/>
      <c r="M117" s="67"/>
      <c r="N117" s="67"/>
      <c r="O117" s="67"/>
      <c r="P117" s="71"/>
      <c r="Q117" s="72" t="str">
        <f aca="false">IF(A117="","",IF(C117&lt;&gt;"",C117,IF(AND(D117&lt;&gt;"",D117&lt;=180),"Short","Long")))</f>
        <v/>
      </c>
      <c r="R117" s="73" t="str">
        <f aca="false">IF(OR(A117="",D117=""),"",D117/60)</f>
        <v/>
      </c>
      <c r="S117" s="72" t="str">
        <f aca="false">IF(OR(A117="",B117=""),"",IF(AND(B117&gt;=DATE(2026,4,1),B117&lt;=DATE(2026,6,30)),"Yes","No"))</f>
        <v/>
      </c>
      <c r="T117" s="72" t="str">
        <f aca="false">IF(OR(A117="",B117=""),"",CHOOSE(WEEKDAY(B117),"Sun","Mon","Tue","Wed","Thu","Fri","Sat"))</f>
        <v/>
      </c>
      <c r="U117" s="72" t="str">
        <f aca="false">IF(OR(Q117&lt;&gt;"Long",D117=""),"",IF(D117&lt;480,"Under 8 min",IF(D117&lt;900,"8–15 min",IF(D117&lt;1500,"15–25 min","25+ min"))))</f>
        <v/>
      </c>
      <c r="V117" s="74" t="str">
        <f aca="false">IF(OR(A117="",N(E117)=0),"",(N(K117)+N(L117))/E117*100)</f>
        <v/>
      </c>
      <c r="W117" s="73" t="str">
        <f aca="false">IF(OR(A117="",N(E117)=0),"",N(L117)/E117*1000)</f>
        <v/>
      </c>
      <c r="X117" s="75" t="str">
        <f aca="false">IF(A117="","",N(N117)-N(O117))</f>
        <v/>
      </c>
      <c r="Y117" s="73" t="str">
        <f aca="false">IF(OR(A117="",N(E117)=0),"",X117/E117*1000)</f>
        <v/>
      </c>
      <c r="Z117" s="72" t="str">
        <f aca="false">IF(OR(A117="",G117=""),"",IF(Q117="Short","n/a (Short)",IF(G117&gt;=Benchmarks!$E$5,"Elite",IF(G117&gt;=Benchmarks!$D$5,"Strong",IF(G117&gt;=Benchmarks!$C$5,"Average","Needs work")))))</f>
        <v/>
      </c>
      <c r="AA117" s="72" t="str">
        <f aca="false">IF(OR(A117="",I117=""),"",IF(Q117="Short",IF(I117&gt;=Benchmarks!$E$7,"Elite",IF(I117&gt;=Benchmarks!$D$7,"Strong",IF(I117&gt;=Benchmarks!$C$7,"Average","Needs work"))),IF(I117&gt;=Benchmarks!$E$6,"Elite",IF(I117&gt;=Benchmarks!$D$6,"Strong",IF(I117&gt;=Benchmarks!$C$6,"Average","Needs work")))))</f>
        <v/>
      </c>
      <c r="AB117" s="72" t="str">
        <f aca="false">IF(V117="","",IF(V117&gt;=Benchmarks!$E$8,"Elite",IF(V117&gt;=Benchmarks!$D$8,"Strong",IF(V117&gt;=Benchmarks!$C$8,"Average","Needs work"))))</f>
        <v/>
      </c>
      <c r="AC117" s="73" t="str">
        <f aca="false">IF(COUNT(AG117:AI117)=0,"",AVERAGE(AG117:AI117))</f>
        <v/>
      </c>
      <c r="AD117" s="37" t="str">
        <f aca="false">IF(A117="","",IF(Q117="Short",IF(AH117="","Add % viewed to diagnose",IF(AND(AH117&gt;=3,N(AI117)&gt;=3),"Winner Short — expand it into a long-form video",IF(AH117&lt;=1,"Hook problem — viewers swipe away in the first seconds",IF(AI117=1,"Watched but no reaction — end on a question or opinion","Solid Short — keep iterating")))),IF(OR(AG117="",AH117=""),"Add CTR &amp; % viewed to diagnose",IF(AND(AG117&gt;=3,AH117&gt;=3),"WINNER — make a sequel, series or Shorts from it",IF(AND(AG117&gt;=3,AH117&lt;=2),"Click but leave — intro too slow or title over-promises",IF(AND(AG117&lt;=2,AH117&gt;=3),"Great video, weak packaging — A/B test title + thumbnail",IF(AND(AG117=1,AH117=1),"Topic miss — don't repeat this angle","Average — sharpen the hook and the title")))))))</f>
        <v/>
      </c>
      <c r="AE117" s="76" t="str">
        <f aca="false">IF(OR(A117="",N(E117)=0),"",Q117&amp;"-"&amp;(COUNTIFS($Q$5:$Q$204,Q117,$E$5:$E$204,"&gt;"&amp;E117)+COUNTIFS($Q$5:Q117,Q117,$E$5:E117,E117)))</f>
        <v/>
      </c>
      <c r="AF117" s="77" t="str">
        <f aca="false">IF(AND(Q117="Long",N(F117)&gt;=Benchmarks!$C$15,G117&lt;&gt;""),G117,"")</f>
        <v/>
      </c>
      <c r="AG117" s="78" t="str">
        <f aca="false">IF(Z117="Elite",4,IF(Z117="Strong",3,IF(Z117="Average",2,IF(Z117="Needs work",1,""))))</f>
        <v/>
      </c>
      <c r="AH117" s="78" t="str">
        <f aca="false">IF(AA117="Elite",4,IF(AA117="Strong",3,IF(AA117="Average",2,IF(AA117="Needs work",1,""))))</f>
        <v/>
      </c>
      <c r="AI117" s="78" t="str">
        <f aca="false">IF(AB117="Elite",4,IF(AB117="Strong",3,IF(AB117="Average",2,IF(AB117="Needs work",1,""))))</f>
        <v/>
      </c>
    </row>
    <row r="118" customFormat="false" ht="15" hidden="false" customHeight="false" outlineLevel="0" collapsed="false">
      <c r="A118" s="64"/>
      <c r="B118" s="65"/>
      <c r="C118" s="66"/>
      <c r="D118" s="67"/>
      <c r="E118" s="67"/>
      <c r="F118" s="67"/>
      <c r="G118" s="68"/>
      <c r="H118" s="69"/>
      <c r="I118" s="68"/>
      <c r="J118" s="70"/>
      <c r="K118" s="67"/>
      <c r="L118" s="67"/>
      <c r="M118" s="67"/>
      <c r="N118" s="67"/>
      <c r="O118" s="67"/>
      <c r="P118" s="71"/>
      <c r="Q118" s="72" t="str">
        <f aca="false">IF(A118="","",IF(C118&lt;&gt;"",C118,IF(AND(D118&lt;&gt;"",D118&lt;=180),"Short","Long")))</f>
        <v/>
      </c>
      <c r="R118" s="73" t="str">
        <f aca="false">IF(OR(A118="",D118=""),"",D118/60)</f>
        <v/>
      </c>
      <c r="S118" s="72" t="str">
        <f aca="false">IF(OR(A118="",B118=""),"",IF(AND(B118&gt;=DATE(2026,4,1),B118&lt;=DATE(2026,6,30)),"Yes","No"))</f>
        <v/>
      </c>
      <c r="T118" s="72" t="str">
        <f aca="false">IF(OR(A118="",B118=""),"",CHOOSE(WEEKDAY(B118),"Sun","Mon","Tue","Wed","Thu","Fri","Sat"))</f>
        <v/>
      </c>
      <c r="U118" s="72" t="str">
        <f aca="false">IF(OR(Q118&lt;&gt;"Long",D118=""),"",IF(D118&lt;480,"Under 8 min",IF(D118&lt;900,"8–15 min",IF(D118&lt;1500,"15–25 min","25+ min"))))</f>
        <v/>
      </c>
      <c r="V118" s="74" t="str">
        <f aca="false">IF(OR(A118="",N(E118)=0),"",(N(K118)+N(L118))/E118*100)</f>
        <v/>
      </c>
      <c r="W118" s="73" t="str">
        <f aca="false">IF(OR(A118="",N(E118)=0),"",N(L118)/E118*1000)</f>
        <v/>
      </c>
      <c r="X118" s="75" t="str">
        <f aca="false">IF(A118="","",N(N118)-N(O118))</f>
        <v/>
      </c>
      <c r="Y118" s="73" t="str">
        <f aca="false">IF(OR(A118="",N(E118)=0),"",X118/E118*1000)</f>
        <v/>
      </c>
      <c r="Z118" s="72" t="str">
        <f aca="false">IF(OR(A118="",G118=""),"",IF(Q118="Short","n/a (Short)",IF(G118&gt;=Benchmarks!$E$5,"Elite",IF(G118&gt;=Benchmarks!$D$5,"Strong",IF(G118&gt;=Benchmarks!$C$5,"Average","Needs work")))))</f>
        <v/>
      </c>
      <c r="AA118" s="72" t="str">
        <f aca="false">IF(OR(A118="",I118=""),"",IF(Q118="Short",IF(I118&gt;=Benchmarks!$E$7,"Elite",IF(I118&gt;=Benchmarks!$D$7,"Strong",IF(I118&gt;=Benchmarks!$C$7,"Average","Needs work"))),IF(I118&gt;=Benchmarks!$E$6,"Elite",IF(I118&gt;=Benchmarks!$D$6,"Strong",IF(I118&gt;=Benchmarks!$C$6,"Average","Needs work")))))</f>
        <v/>
      </c>
      <c r="AB118" s="72" t="str">
        <f aca="false">IF(V118="","",IF(V118&gt;=Benchmarks!$E$8,"Elite",IF(V118&gt;=Benchmarks!$D$8,"Strong",IF(V118&gt;=Benchmarks!$C$8,"Average","Needs work"))))</f>
        <v/>
      </c>
      <c r="AC118" s="73" t="str">
        <f aca="false">IF(COUNT(AG118:AI118)=0,"",AVERAGE(AG118:AI118))</f>
        <v/>
      </c>
      <c r="AD118" s="37" t="str">
        <f aca="false">IF(A118="","",IF(Q118="Short",IF(AH118="","Add % viewed to diagnose",IF(AND(AH118&gt;=3,N(AI118)&gt;=3),"Winner Short — expand it into a long-form video",IF(AH118&lt;=1,"Hook problem — viewers swipe away in the first seconds",IF(AI118=1,"Watched but no reaction — end on a question or opinion","Solid Short — keep iterating")))),IF(OR(AG118="",AH118=""),"Add CTR &amp; % viewed to diagnose",IF(AND(AG118&gt;=3,AH118&gt;=3),"WINNER — make a sequel, series or Shorts from it",IF(AND(AG118&gt;=3,AH118&lt;=2),"Click but leave — intro too slow or title over-promises",IF(AND(AG118&lt;=2,AH118&gt;=3),"Great video, weak packaging — A/B test title + thumbnail",IF(AND(AG118=1,AH118=1),"Topic miss — don't repeat this angle","Average — sharpen the hook and the title")))))))</f>
        <v/>
      </c>
      <c r="AE118" s="76" t="str">
        <f aca="false">IF(OR(A118="",N(E118)=0),"",Q118&amp;"-"&amp;(COUNTIFS($Q$5:$Q$204,Q118,$E$5:$E$204,"&gt;"&amp;E118)+COUNTIFS($Q$5:Q118,Q118,$E$5:E118,E118)))</f>
        <v/>
      </c>
      <c r="AF118" s="77" t="str">
        <f aca="false">IF(AND(Q118="Long",N(F118)&gt;=Benchmarks!$C$15,G118&lt;&gt;""),G118,"")</f>
        <v/>
      </c>
      <c r="AG118" s="78" t="str">
        <f aca="false">IF(Z118="Elite",4,IF(Z118="Strong",3,IF(Z118="Average",2,IF(Z118="Needs work",1,""))))</f>
        <v/>
      </c>
      <c r="AH118" s="78" t="str">
        <f aca="false">IF(AA118="Elite",4,IF(AA118="Strong",3,IF(AA118="Average",2,IF(AA118="Needs work",1,""))))</f>
        <v/>
      </c>
      <c r="AI118" s="78" t="str">
        <f aca="false">IF(AB118="Elite",4,IF(AB118="Strong",3,IF(AB118="Average",2,IF(AB118="Needs work",1,""))))</f>
        <v/>
      </c>
    </row>
    <row r="119" customFormat="false" ht="15" hidden="false" customHeight="false" outlineLevel="0" collapsed="false">
      <c r="A119" s="64"/>
      <c r="B119" s="65"/>
      <c r="C119" s="66"/>
      <c r="D119" s="67"/>
      <c r="E119" s="67"/>
      <c r="F119" s="67"/>
      <c r="G119" s="68"/>
      <c r="H119" s="69"/>
      <c r="I119" s="68"/>
      <c r="J119" s="70"/>
      <c r="K119" s="67"/>
      <c r="L119" s="67"/>
      <c r="M119" s="67"/>
      <c r="N119" s="67"/>
      <c r="O119" s="67"/>
      <c r="P119" s="71"/>
      <c r="Q119" s="72" t="str">
        <f aca="false">IF(A119="","",IF(C119&lt;&gt;"",C119,IF(AND(D119&lt;&gt;"",D119&lt;=180),"Short","Long")))</f>
        <v/>
      </c>
      <c r="R119" s="73" t="str">
        <f aca="false">IF(OR(A119="",D119=""),"",D119/60)</f>
        <v/>
      </c>
      <c r="S119" s="72" t="str">
        <f aca="false">IF(OR(A119="",B119=""),"",IF(AND(B119&gt;=DATE(2026,4,1),B119&lt;=DATE(2026,6,30)),"Yes","No"))</f>
        <v/>
      </c>
      <c r="T119" s="72" t="str">
        <f aca="false">IF(OR(A119="",B119=""),"",CHOOSE(WEEKDAY(B119),"Sun","Mon","Tue","Wed","Thu","Fri","Sat"))</f>
        <v/>
      </c>
      <c r="U119" s="72" t="str">
        <f aca="false">IF(OR(Q119&lt;&gt;"Long",D119=""),"",IF(D119&lt;480,"Under 8 min",IF(D119&lt;900,"8–15 min",IF(D119&lt;1500,"15–25 min","25+ min"))))</f>
        <v/>
      </c>
      <c r="V119" s="74" t="str">
        <f aca="false">IF(OR(A119="",N(E119)=0),"",(N(K119)+N(L119))/E119*100)</f>
        <v/>
      </c>
      <c r="W119" s="73" t="str">
        <f aca="false">IF(OR(A119="",N(E119)=0),"",N(L119)/E119*1000)</f>
        <v/>
      </c>
      <c r="X119" s="75" t="str">
        <f aca="false">IF(A119="","",N(N119)-N(O119))</f>
        <v/>
      </c>
      <c r="Y119" s="73" t="str">
        <f aca="false">IF(OR(A119="",N(E119)=0),"",X119/E119*1000)</f>
        <v/>
      </c>
      <c r="Z119" s="72" t="str">
        <f aca="false">IF(OR(A119="",G119=""),"",IF(Q119="Short","n/a (Short)",IF(G119&gt;=Benchmarks!$E$5,"Elite",IF(G119&gt;=Benchmarks!$D$5,"Strong",IF(G119&gt;=Benchmarks!$C$5,"Average","Needs work")))))</f>
        <v/>
      </c>
      <c r="AA119" s="72" t="str">
        <f aca="false">IF(OR(A119="",I119=""),"",IF(Q119="Short",IF(I119&gt;=Benchmarks!$E$7,"Elite",IF(I119&gt;=Benchmarks!$D$7,"Strong",IF(I119&gt;=Benchmarks!$C$7,"Average","Needs work"))),IF(I119&gt;=Benchmarks!$E$6,"Elite",IF(I119&gt;=Benchmarks!$D$6,"Strong",IF(I119&gt;=Benchmarks!$C$6,"Average","Needs work")))))</f>
        <v/>
      </c>
      <c r="AB119" s="72" t="str">
        <f aca="false">IF(V119="","",IF(V119&gt;=Benchmarks!$E$8,"Elite",IF(V119&gt;=Benchmarks!$D$8,"Strong",IF(V119&gt;=Benchmarks!$C$8,"Average","Needs work"))))</f>
        <v/>
      </c>
      <c r="AC119" s="73" t="str">
        <f aca="false">IF(COUNT(AG119:AI119)=0,"",AVERAGE(AG119:AI119))</f>
        <v/>
      </c>
      <c r="AD119" s="37" t="str">
        <f aca="false">IF(A119="","",IF(Q119="Short",IF(AH119="","Add % viewed to diagnose",IF(AND(AH119&gt;=3,N(AI119)&gt;=3),"Winner Short — expand it into a long-form video",IF(AH119&lt;=1,"Hook problem — viewers swipe away in the first seconds",IF(AI119=1,"Watched but no reaction — end on a question or opinion","Solid Short — keep iterating")))),IF(OR(AG119="",AH119=""),"Add CTR &amp; % viewed to diagnose",IF(AND(AG119&gt;=3,AH119&gt;=3),"WINNER — make a sequel, series or Shorts from it",IF(AND(AG119&gt;=3,AH119&lt;=2),"Click but leave — intro too slow or title over-promises",IF(AND(AG119&lt;=2,AH119&gt;=3),"Great video, weak packaging — A/B test title + thumbnail",IF(AND(AG119=1,AH119=1),"Topic miss — don't repeat this angle","Average — sharpen the hook and the title")))))))</f>
        <v/>
      </c>
      <c r="AE119" s="76" t="str">
        <f aca="false">IF(OR(A119="",N(E119)=0),"",Q119&amp;"-"&amp;(COUNTIFS($Q$5:$Q$204,Q119,$E$5:$E$204,"&gt;"&amp;E119)+COUNTIFS($Q$5:Q119,Q119,$E$5:E119,E119)))</f>
        <v/>
      </c>
      <c r="AF119" s="77" t="str">
        <f aca="false">IF(AND(Q119="Long",N(F119)&gt;=Benchmarks!$C$15,G119&lt;&gt;""),G119,"")</f>
        <v/>
      </c>
      <c r="AG119" s="78" t="str">
        <f aca="false">IF(Z119="Elite",4,IF(Z119="Strong",3,IF(Z119="Average",2,IF(Z119="Needs work",1,""))))</f>
        <v/>
      </c>
      <c r="AH119" s="78" t="str">
        <f aca="false">IF(AA119="Elite",4,IF(AA119="Strong",3,IF(AA119="Average",2,IF(AA119="Needs work",1,""))))</f>
        <v/>
      </c>
      <c r="AI119" s="78" t="str">
        <f aca="false">IF(AB119="Elite",4,IF(AB119="Strong",3,IF(AB119="Average",2,IF(AB119="Needs work",1,""))))</f>
        <v/>
      </c>
    </row>
    <row r="120" customFormat="false" ht="15" hidden="false" customHeight="false" outlineLevel="0" collapsed="false">
      <c r="A120" s="64"/>
      <c r="B120" s="65"/>
      <c r="C120" s="66"/>
      <c r="D120" s="67"/>
      <c r="E120" s="67"/>
      <c r="F120" s="67"/>
      <c r="G120" s="68"/>
      <c r="H120" s="69"/>
      <c r="I120" s="68"/>
      <c r="J120" s="70"/>
      <c r="K120" s="67"/>
      <c r="L120" s="67"/>
      <c r="M120" s="67"/>
      <c r="N120" s="67"/>
      <c r="O120" s="67"/>
      <c r="P120" s="71"/>
      <c r="Q120" s="72" t="str">
        <f aca="false">IF(A120="","",IF(C120&lt;&gt;"",C120,IF(AND(D120&lt;&gt;"",D120&lt;=180),"Short","Long")))</f>
        <v/>
      </c>
      <c r="R120" s="73" t="str">
        <f aca="false">IF(OR(A120="",D120=""),"",D120/60)</f>
        <v/>
      </c>
      <c r="S120" s="72" t="str">
        <f aca="false">IF(OR(A120="",B120=""),"",IF(AND(B120&gt;=DATE(2026,4,1),B120&lt;=DATE(2026,6,30)),"Yes","No"))</f>
        <v/>
      </c>
      <c r="T120" s="72" t="str">
        <f aca="false">IF(OR(A120="",B120=""),"",CHOOSE(WEEKDAY(B120),"Sun","Mon","Tue","Wed","Thu","Fri","Sat"))</f>
        <v/>
      </c>
      <c r="U120" s="72" t="str">
        <f aca="false">IF(OR(Q120&lt;&gt;"Long",D120=""),"",IF(D120&lt;480,"Under 8 min",IF(D120&lt;900,"8–15 min",IF(D120&lt;1500,"15–25 min","25+ min"))))</f>
        <v/>
      </c>
      <c r="V120" s="74" t="str">
        <f aca="false">IF(OR(A120="",N(E120)=0),"",(N(K120)+N(L120))/E120*100)</f>
        <v/>
      </c>
      <c r="W120" s="73" t="str">
        <f aca="false">IF(OR(A120="",N(E120)=0),"",N(L120)/E120*1000)</f>
        <v/>
      </c>
      <c r="X120" s="75" t="str">
        <f aca="false">IF(A120="","",N(N120)-N(O120))</f>
        <v/>
      </c>
      <c r="Y120" s="73" t="str">
        <f aca="false">IF(OR(A120="",N(E120)=0),"",X120/E120*1000)</f>
        <v/>
      </c>
      <c r="Z120" s="72" t="str">
        <f aca="false">IF(OR(A120="",G120=""),"",IF(Q120="Short","n/a (Short)",IF(G120&gt;=Benchmarks!$E$5,"Elite",IF(G120&gt;=Benchmarks!$D$5,"Strong",IF(G120&gt;=Benchmarks!$C$5,"Average","Needs work")))))</f>
        <v/>
      </c>
      <c r="AA120" s="72" t="str">
        <f aca="false">IF(OR(A120="",I120=""),"",IF(Q120="Short",IF(I120&gt;=Benchmarks!$E$7,"Elite",IF(I120&gt;=Benchmarks!$D$7,"Strong",IF(I120&gt;=Benchmarks!$C$7,"Average","Needs work"))),IF(I120&gt;=Benchmarks!$E$6,"Elite",IF(I120&gt;=Benchmarks!$D$6,"Strong",IF(I120&gt;=Benchmarks!$C$6,"Average","Needs work")))))</f>
        <v/>
      </c>
      <c r="AB120" s="72" t="str">
        <f aca="false">IF(V120="","",IF(V120&gt;=Benchmarks!$E$8,"Elite",IF(V120&gt;=Benchmarks!$D$8,"Strong",IF(V120&gt;=Benchmarks!$C$8,"Average","Needs work"))))</f>
        <v/>
      </c>
      <c r="AC120" s="73" t="str">
        <f aca="false">IF(COUNT(AG120:AI120)=0,"",AVERAGE(AG120:AI120))</f>
        <v/>
      </c>
      <c r="AD120" s="37" t="str">
        <f aca="false">IF(A120="","",IF(Q120="Short",IF(AH120="","Add % viewed to diagnose",IF(AND(AH120&gt;=3,N(AI120)&gt;=3),"Winner Short — expand it into a long-form video",IF(AH120&lt;=1,"Hook problem — viewers swipe away in the first seconds",IF(AI120=1,"Watched but no reaction — end on a question or opinion","Solid Short — keep iterating")))),IF(OR(AG120="",AH120=""),"Add CTR &amp; % viewed to diagnose",IF(AND(AG120&gt;=3,AH120&gt;=3),"WINNER — make a sequel, series or Shorts from it",IF(AND(AG120&gt;=3,AH120&lt;=2),"Click but leave — intro too slow or title over-promises",IF(AND(AG120&lt;=2,AH120&gt;=3),"Great video, weak packaging — A/B test title + thumbnail",IF(AND(AG120=1,AH120=1),"Topic miss — don't repeat this angle","Average — sharpen the hook and the title")))))))</f>
        <v/>
      </c>
      <c r="AE120" s="76" t="str">
        <f aca="false">IF(OR(A120="",N(E120)=0),"",Q120&amp;"-"&amp;(COUNTIFS($Q$5:$Q$204,Q120,$E$5:$E$204,"&gt;"&amp;E120)+COUNTIFS($Q$5:Q120,Q120,$E$5:E120,E120)))</f>
        <v/>
      </c>
      <c r="AF120" s="77" t="str">
        <f aca="false">IF(AND(Q120="Long",N(F120)&gt;=Benchmarks!$C$15,G120&lt;&gt;""),G120,"")</f>
        <v/>
      </c>
      <c r="AG120" s="78" t="str">
        <f aca="false">IF(Z120="Elite",4,IF(Z120="Strong",3,IF(Z120="Average",2,IF(Z120="Needs work",1,""))))</f>
        <v/>
      </c>
      <c r="AH120" s="78" t="str">
        <f aca="false">IF(AA120="Elite",4,IF(AA120="Strong",3,IF(AA120="Average",2,IF(AA120="Needs work",1,""))))</f>
        <v/>
      </c>
      <c r="AI120" s="78" t="str">
        <f aca="false">IF(AB120="Elite",4,IF(AB120="Strong",3,IF(AB120="Average",2,IF(AB120="Needs work",1,""))))</f>
        <v/>
      </c>
    </row>
    <row r="121" customFormat="false" ht="15" hidden="false" customHeight="false" outlineLevel="0" collapsed="false">
      <c r="A121" s="64"/>
      <c r="B121" s="65"/>
      <c r="C121" s="66"/>
      <c r="D121" s="67"/>
      <c r="E121" s="67"/>
      <c r="F121" s="67"/>
      <c r="G121" s="68"/>
      <c r="H121" s="69"/>
      <c r="I121" s="68"/>
      <c r="J121" s="70"/>
      <c r="K121" s="67"/>
      <c r="L121" s="67"/>
      <c r="M121" s="67"/>
      <c r="N121" s="67"/>
      <c r="O121" s="67"/>
      <c r="P121" s="71"/>
      <c r="Q121" s="72" t="str">
        <f aca="false">IF(A121="","",IF(C121&lt;&gt;"",C121,IF(AND(D121&lt;&gt;"",D121&lt;=180),"Short","Long")))</f>
        <v/>
      </c>
      <c r="R121" s="73" t="str">
        <f aca="false">IF(OR(A121="",D121=""),"",D121/60)</f>
        <v/>
      </c>
      <c r="S121" s="72" t="str">
        <f aca="false">IF(OR(A121="",B121=""),"",IF(AND(B121&gt;=DATE(2026,4,1),B121&lt;=DATE(2026,6,30)),"Yes","No"))</f>
        <v/>
      </c>
      <c r="T121" s="72" t="str">
        <f aca="false">IF(OR(A121="",B121=""),"",CHOOSE(WEEKDAY(B121),"Sun","Mon","Tue","Wed","Thu","Fri","Sat"))</f>
        <v/>
      </c>
      <c r="U121" s="72" t="str">
        <f aca="false">IF(OR(Q121&lt;&gt;"Long",D121=""),"",IF(D121&lt;480,"Under 8 min",IF(D121&lt;900,"8–15 min",IF(D121&lt;1500,"15–25 min","25+ min"))))</f>
        <v/>
      </c>
      <c r="V121" s="74" t="str">
        <f aca="false">IF(OR(A121="",N(E121)=0),"",(N(K121)+N(L121))/E121*100)</f>
        <v/>
      </c>
      <c r="W121" s="73" t="str">
        <f aca="false">IF(OR(A121="",N(E121)=0),"",N(L121)/E121*1000)</f>
        <v/>
      </c>
      <c r="X121" s="75" t="str">
        <f aca="false">IF(A121="","",N(N121)-N(O121))</f>
        <v/>
      </c>
      <c r="Y121" s="73" t="str">
        <f aca="false">IF(OR(A121="",N(E121)=0),"",X121/E121*1000)</f>
        <v/>
      </c>
      <c r="Z121" s="72" t="str">
        <f aca="false">IF(OR(A121="",G121=""),"",IF(Q121="Short","n/a (Short)",IF(G121&gt;=Benchmarks!$E$5,"Elite",IF(G121&gt;=Benchmarks!$D$5,"Strong",IF(G121&gt;=Benchmarks!$C$5,"Average","Needs work")))))</f>
        <v/>
      </c>
      <c r="AA121" s="72" t="str">
        <f aca="false">IF(OR(A121="",I121=""),"",IF(Q121="Short",IF(I121&gt;=Benchmarks!$E$7,"Elite",IF(I121&gt;=Benchmarks!$D$7,"Strong",IF(I121&gt;=Benchmarks!$C$7,"Average","Needs work"))),IF(I121&gt;=Benchmarks!$E$6,"Elite",IF(I121&gt;=Benchmarks!$D$6,"Strong",IF(I121&gt;=Benchmarks!$C$6,"Average","Needs work")))))</f>
        <v/>
      </c>
      <c r="AB121" s="72" t="str">
        <f aca="false">IF(V121="","",IF(V121&gt;=Benchmarks!$E$8,"Elite",IF(V121&gt;=Benchmarks!$D$8,"Strong",IF(V121&gt;=Benchmarks!$C$8,"Average","Needs work"))))</f>
        <v/>
      </c>
      <c r="AC121" s="73" t="str">
        <f aca="false">IF(COUNT(AG121:AI121)=0,"",AVERAGE(AG121:AI121))</f>
        <v/>
      </c>
      <c r="AD121" s="37" t="str">
        <f aca="false">IF(A121="","",IF(Q121="Short",IF(AH121="","Add % viewed to diagnose",IF(AND(AH121&gt;=3,N(AI121)&gt;=3),"Winner Short — expand it into a long-form video",IF(AH121&lt;=1,"Hook problem — viewers swipe away in the first seconds",IF(AI121=1,"Watched but no reaction — end on a question or opinion","Solid Short — keep iterating")))),IF(OR(AG121="",AH121=""),"Add CTR &amp; % viewed to diagnose",IF(AND(AG121&gt;=3,AH121&gt;=3),"WINNER — make a sequel, series or Shorts from it",IF(AND(AG121&gt;=3,AH121&lt;=2),"Click but leave — intro too slow or title over-promises",IF(AND(AG121&lt;=2,AH121&gt;=3),"Great video, weak packaging — A/B test title + thumbnail",IF(AND(AG121=1,AH121=1),"Topic miss — don't repeat this angle","Average — sharpen the hook and the title")))))))</f>
        <v/>
      </c>
      <c r="AE121" s="76" t="str">
        <f aca="false">IF(OR(A121="",N(E121)=0),"",Q121&amp;"-"&amp;(COUNTIFS($Q$5:$Q$204,Q121,$E$5:$E$204,"&gt;"&amp;E121)+COUNTIFS($Q$5:Q121,Q121,$E$5:E121,E121)))</f>
        <v/>
      </c>
      <c r="AF121" s="77" t="str">
        <f aca="false">IF(AND(Q121="Long",N(F121)&gt;=Benchmarks!$C$15,G121&lt;&gt;""),G121,"")</f>
        <v/>
      </c>
      <c r="AG121" s="78" t="str">
        <f aca="false">IF(Z121="Elite",4,IF(Z121="Strong",3,IF(Z121="Average",2,IF(Z121="Needs work",1,""))))</f>
        <v/>
      </c>
      <c r="AH121" s="78" t="str">
        <f aca="false">IF(AA121="Elite",4,IF(AA121="Strong",3,IF(AA121="Average",2,IF(AA121="Needs work",1,""))))</f>
        <v/>
      </c>
      <c r="AI121" s="78" t="str">
        <f aca="false">IF(AB121="Elite",4,IF(AB121="Strong",3,IF(AB121="Average",2,IF(AB121="Needs work",1,""))))</f>
        <v/>
      </c>
    </row>
    <row r="122" customFormat="false" ht="15" hidden="false" customHeight="false" outlineLevel="0" collapsed="false">
      <c r="A122" s="64"/>
      <c r="B122" s="65"/>
      <c r="C122" s="66"/>
      <c r="D122" s="67"/>
      <c r="E122" s="67"/>
      <c r="F122" s="67"/>
      <c r="G122" s="68"/>
      <c r="H122" s="69"/>
      <c r="I122" s="68"/>
      <c r="J122" s="70"/>
      <c r="K122" s="67"/>
      <c r="L122" s="67"/>
      <c r="M122" s="67"/>
      <c r="N122" s="67"/>
      <c r="O122" s="67"/>
      <c r="P122" s="71"/>
      <c r="Q122" s="72" t="str">
        <f aca="false">IF(A122="","",IF(C122&lt;&gt;"",C122,IF(AND(D122&lt;&gt;"",D122&lt;=180),"Short","Long")))</f>
        <v/>
      </c>
      <c r="R122" s="73" t="str">
        <f aca="false">IF(OR(A122="",D122=""),"",D122/60)</f>
        <v/>
      </c>
      <c r="S122" s="72" t="str">
        <f aca="false">IF(OR(A122="",B122=""),"",IF(AND(B122&gt;=DATE(2026,4,1),B122&lt;=DATE(2026,6,30)),"Yes","No"))</f>
        <v/>
      </c>
      <c r="T122" s="72" t="str">
        <f aca="false">IF(OR(A122="",B122=""),"",CHOOSE(WEEKDAY(B122),"Sun","Mon","Tue","Wed","Thu","Fri","Sat"))</f>
        <v/>
      </c>
      <c r="U122" s="72" t="str">
        <f aca="false">IF(OR(Q122&lt;&gt;"Long",D122=""),"",IF(D122&lt;480,"Under 8 min",IF(D122&lt;900,"8–15 min",IF(D122&lt;1500,"15–25 min","25+ min"))))</f>
        <v/>
      </c>
      <c r="V122" s="74" t="str">
        <f aca="false">IF(OR(A122="",N(E122)=0),"",(N(K122)+N(L122))/E122*100)</f>
        <v/>
      </c>
      <c r="W122" s="73" t="str">
        <f aca="false">IF(OR(A122="",N(E122)=0),"",N(L122)/E122*1000)</f>
        <v/>
      </c>
      <c r="X122" s="75" t="str">
        <f aca="false">IF(A122="","",N(N122)-N(O122))</f>
        <v/>
      </c>
      <c r="Y122" s="73" t="str">
        <f aca="false">IF(OR(A122="",N(E122)=0),"",X122/E122*1000)</f>
        <v/>
      </c>
      <c r="Z122" s="72" t="str">
        <f aca="false">IF(OR(A122="",G122=""),"",IF(Q122="Short","n/a (Short)",IF(G122&gt;=Benchmarks!$E$5,"Elite",IF(G122&gt;=Benchmarks!$D$5,"Strong",IF(G122&gt;=Benchmarks!$C$5,"Average","Needs work")))))</f>
        <v/>
      </c>
      <c r="AA122" s="72" t="str">
        <f aca="false">IF(OR(A122="",I122=""),"",IF(Q122="Short",IF(I122&gt;=Benchmarks!$E$7,"Elite",IF(I122&gt;=Benchmarks!$D$7,"Strong",IF(I122&gt;=Benchmarks!$C$7,"Average","Needs work"))),IF(I122&gt;=Benchmarks!$E$6,"Elite",IF(I122&gt;=Benchmarks!$D$6,"Strong",IF(I122&gt;=Benchmarks!$C$6,"Average","Needs work")))))</f>
        <v/>
      </c>
      <c r="AB122" s="72" t="str">
        <f aca="false">IF(V122="","",IF(V122&gt;=Benchmarks!$E$8,"Elite",IF(V122&gt;=Benchmarks!$D$8,"Strong",IF(V122&gt;=Benchmarks!$C$8,"Average","Needs work"))))</f>
        <v/>
      </c>
      <c r="AC122" s="73" t="str">
        <f aca="false">IF(COUNT(AG122:AI122)=0,"",AVERAGE(AG122:AI122))</f>
        <v/>
      </c>
      <c r="AD122" s="37" t="str">
        <f aca="false">IF(A122="","",IF(Q122="Short",IF(AH122="","Add % viewed to diagnose",IF(AND(AH122&gt;=3,N(AI122)&gt;=3),"Winner Short — expand it into a long-form video",IF(AH122&lt;=1,"Hook problem — viewers swipe away in the first seconds",IF(AI122=1,"Watched but no reaction — end on a question or opinion","Solid Short — keep iterating")))),IF(OR(AG122="",AH122=""),"Add CTR &amp; % viewed to diagnose",IF(AND(AG122&gt;=3,AH122&gt;=3),"WINNER — make a sequel, series or Shorts from it",IF(AND(AG122&gt;=3,AH122&lt;=2),"Click but leave — intro too slow or title over-promises",IF(AND(AG122&lt;=2,AH122&gt;=3),"Great video, weak packaging — A/B test title + thumbnail",IF(AND(AG122=1,AH122=1),"Topic miss — don't repeat this angle","Average — sharpen the hook and the title")))))))</f>
        <v/>
      </c>
      <c r="AE122" s="76" t="str">
        <f aca="false">IF(OR(A122="",N(E122)=0),"",Q122&amp;"-"&amp;(COUNTIFS($Q$5:$Q$204,Q122,$E$5:$E$204,"&gt;"&amp;E122)+COUNTIFS($Q$5:Q122,Q122,$E$5:E122,E122)))</f>
        <v/>
      </c>
      <c r="AF122" s="77" t="str">
        <f aca="false">IF(AND(Q122="Long",N(F122)&gt;=Benchmarks!$C$15,G122&lt;&gt;""),G122,"")</f>
        <v/>
      </c>
      <c r="AG122" s="78" t="str">
        <f aca="false">IF(Z122="Elite",4,IF(Z122="Strong",3,IF(Z122="Average",2,IF(Z122="Needs work",1,""))))</f>
        <v/>
      </c>
      <c r="AH122" s="78" t="str">
        <f aca="false">IF(AA122="Elite",4,IF(AA122="Strong",3,IF(AA122="Average",2,IF(AA122="Needs work",1,""))))</f>
        <v/>
      </c>
      <c r="AI122" s="78" t="str">
        <f aca="false">IF(AB122="Elite",4,IF(AB122="Strong",3,IF(AB122="Average",2,IF(AB122="Needs work",1,""))))</f>
        <v/>
      </c>
    </row>
    <row r="123" customFormat="false" ht="15" hidden="false" customHeight="false" outlineLevel="0" collapsed="false">
      <c r="A123" s="64"/>
      <c r="B123" s="65"/>
      <c r="C123" s="66"/>
      <c r="D123" s="67"/>
      <c r="E123" s="67"/>
      <c r="F123" s="67"/>
      <c r="G123" s="68"/>
      <c r="H123" s="69"/>
      <c r="I123" s="68"/>
      <c r="J123" s="70"/>
      <c r="K123" s="67"/>
      <c r="L123" s="67"/>
      <c r="M123" s="67"/>
      <c r="N123" s="67"/>
      <c r="O123" s="67"/>
      <c r="P123" s="71"/>
      <c r="Q123" s="72" t="str">
        <f aca="false">IF(A123="","",IF(C123&lt;&gt;"",C123,IF(AND(D123&lt;&gt;"",D123&lt;=180),"Short","Long")))</f>
        <v/>
      </c>
      <c r="R123" s="73" t="str">
        <f aca="false">IF(OR(A123="",D123=""),"",D123/60)</f>
        <v/>
      </c>
      <c r="S123" s="72" t="str">
        <f aca="false">IF(OR(A123="",B123=""),"",IF(AND(B123&gt;=DATE(2026,4,1),B123&lt;=DATE(2026,6,30)),"Yes","No"))</f>
        <v/>
      </c>
      <c r="T123" s="72" t="str">
        <f aca="false">IF(OR(A123="",B123=""),"",CHOOSE(WEEKDAY(B123),"Sun","Mon","Tue","Wed","Thu","Fri","Sat"))</f>
        <v/>
      </c>
      <c r="U123" s="72" t="str">
        <f aca="false">IF(OR(Q123&lt;&gt;"Long",D123=""),"",IF(D123&lt;480,"Under 8 min",IF(D123&lt;900,"8–15 min",IF(D123&lt;1500,"15–25 min","25+ min"))))</f>
        <v/>
      </c>
      <c r="V123" s="74" t="str">
        <f aca="false">IF(OR(A123="",N(E123)=0),"",(N(K123)+N(L123))/E123*100)</f>
        <v/>
      </c>
      <c r="W123" s="73" t="str">
        <f aca="false">IF(OR(A123="",N(E123)=0),"",N(L123)/E123*1000)</f>
        <v/>
      </c>
      <c r="X123" s="75" t="str">
        <f aca="false">IF(A123="","",N(N123)-N(O123))</f>
        <v/>
      </c>
      <c r="Y123" s="73" t="str">
        <f aca="false">IF(OR(A123="",N(E123)=0),"",X123/E123*1000)</f>
        <v/>
      </c>
      <c r="Z123" s="72" t="str">
        <f aca="false">IF(OR(A123="",G123=""),"",IF(Q123="Short","n/a (Short)",IF(G123&gt;=Benchmarks!$E$5,"Elite",IF(G123&gt;=Benchmarks!$D$5,"Strong",IF(G123&gt;=Benchmarks!$C$5,"Average","Needs work")))))</f>
        <v/>
      </c>
      <c r="AA123" s="72" t="str">
        <f aca="false">IF(OR(A123="",I123=""),"",IF(Q123="Short",IF(I123&gt;=Benchmarks!$E$7,"Elite",IF(I123&gt;=Benchmarks!$D$7,"Strong",IF(I123&gt;=Benchmarks!$C$7,"Average","Needs work"))),IF(I123&gt;=Benchmarks!$E$6,"Elite",IF(I123&gt;=Benchmarks!$D$6,"Strong",IF(I123&gt;=Benchmarks!$C$6,"Average","Needs work")))))</f>
        <v/>
      </c>
      <c r="AB123" s="72" t="str">
        <f aca="false">IF(V123="","",IF(V123&gt;=Benchmarks!$E$8,"Elite",IF(V123&gt;=Benchmarks!$D$8,"Strong",IF(V123&gt;=Benchmarks!$C$8,"Average","Needs work"))))</f>
        <v/>
      </c>
      <c r="AC123" s="73" t="str">
        <f aca="false">IF(COUNT(AG123:AI123)=0,"",AVERAGE(AG123:AI123))</f>
        <v/>
      </c>
      <c r="AD123" s="37" t="str">
        <f aca="false">IF(A123="","",IF(Q123="Short",IF(AH123="","Add % viewed to diagnose",IF(AND(AH123&gt;=3,N(AI123)&gt;=3),"Winner Short — expand it into a long-form video",IF(AH123&lt;=1,"Hook problem — viewers swipe away in the first seconds",IF(AI123=1,"Watched but no reaction — end on a question or opinion","Solid Short — keep iterating")))),IF(OR(AG123="",AH123=""),"Add CTR &amp; % viewed to diagnose",IF(AND(AG123&gt;=3,AH123&gt;=3),"WINNER — make a sequel, series or Shorts from it",IF(AND(AG123&gt;=3,AH123&lt;=2),"Click but leave — intro too slow or title over-promises",IF(AND(AG123&lt;=2,AH123&gt;=3),"Great video, weak packaging — A/B test title + thumbnail",IF(AND(AG123=1,AH123=1),"Topic miss — don't repeat this angle","Average — sharpen the hook and the title")))))))</f>
        <v/>
      </c>
      <c r="AE123" s="76" t="str">
        <f aca="false">IF(OR(A123="",N(E123)=0),"",Q123&amp;"-"&amp;(COUNTIFS($Q$5:$Q$204,Q123,$E$5:$E$204,"&gt;"&amp;E123)+COUNTIFS($Q$5:Q123,Q123,$E$5:E123,E123)))</f>
        <v/>
      </c>
      <c r="AF123" s="77" t="str">
        <f aca="false">IF(AND(Q123="Long",N(F123)&gt;=Benchmarks!$C$15,G123&lt;&gt;""),G123,"")</f>
        <v/>
      </c>
      <c r="AG123" s="78" t="str">
        <f aca="false">IF(Z123="Elite",4,IF(Z123="Strong",3,IF(Z123="Average",2,IF(Z123="Needs work",1,""))))</f>
        <v/>
      </c>
      <c r="AH123" s="78" t="str">
        <f aca="false">IF(AA123="Elite",4,IF(AA123="Strong",3,IF(AA123="Average",2,IF(AA123="Needs work",1,""))))</f>
        <v/>
      </c>
      <c r="AI123" s="78" t="str">
        <f aca="false">IF(AB123="Elite",4,IF(AB123="Strong",3,IF(AB123="Average",2,IF(AB123="Needs work",1,""))))</f>
        <v/>
      </c>
    </row>
    <row r="124" customFormat="false" ht="15" hidden="false" customHeight="false" outlineLevel="0" collapsed="false">
      <c r="A124" s="64"/>
      <c r="B124" s="65"/>
      <c r="C124" s="66"/>
      <c r="D124" s="67"/>
      <c r="E124" s="67"/>
      <c r="F124" s="67"/>
      <c r="G124" s="68"/>
      <c r="H124" s="69"/>
      <c r="I124" s="68"/>
      <c r="J124" s="70"/>
      <c r="K124" s="67"/>
      <c r="L124" s="67"/>
      <c r="M124" s="67"/>
      <c r="N124" s="67"/>
      <c r="O124" s="67"/>
      <c r="P124" s="71"/>
      <c r="Q124" s="72" t="str">
        <f aca="false">IF(A124="","",IF(C124&lt;&gt;"",C124,IF(AND(D124&lt;&gt;"",D124&lt;=180),"Short","Long")))</f>
        <v/>
      </c>
      <c r="R124" s="73" t="str">
        <f aca="false">IF(OR(A124="",D124=""),"",D124/60)</f>
        <v/>
      </c>
      <c r="S124" s="72" t="str">
        <f aca="false">IF(OR(A124="",B124=""),"",IF(AND(B124&gt;=DATE(2026,4,1),B124&lt;=DATE(2026,6,30)),"Yes","No"))</f>
        <v/>
      </c>
      <c r="T124" s="72" t="str">
        <f aca="false">IF(OR(A124="",B124=""),"",CHOOSE(WEEKDAY(B124),"Sun","Mon","Tue","Wed","Thu","Fri","Sat"))</f>
        <v/>
      </c>
      <c r="U124" s="72" t="str">
        <f aca="false">IF(OR(Q124&lt;&gt;"Long",D124=""),"",IF(D124&lt;480,"Under 8 min",IF(D124&lt;900,"8–15 min",IF(D124&lt;1500,"15–25 min","25+ min"))))</f>
        <v/>
      </c>
      <c r="V124" s="74" t="str">
        <f aca="false">IF(OR(A124="",N(E124)=0),"",(N(K124)+N(L124))/E124*100)</f>
        <v/>
      </c>
      <c r="W124" s="73" t="str">
        <f aca="false">IF(OR(A124="",N(E124)=0),"",N(L124)/E124*1000)</f>
        <v/>
      </c>
      <c r="X124" s="75" t="str">
        <f aca="false">IF(A124="","",N(N124)-N(O124))</f>
        <v/>
      </c>
      <c r="Y124" s="73" t="str">
        <f aca="false">IF(OR(A124="",N(E124)=0),"",X124/E124*1000)</f>
        <v/>
      </c>
      <c r="Z124" s="72" t="str">
        <f aca="false">IF(OR(A124="",G124=""),"",IF(Q124="Short","n/a (Short)",IF(G124&gt;=Benchmarks!$E$5,"Elite",IF(G124&gt;=Benchmarks!$D$5,"Strong",IF(G124&gt;=Benchmarks!$C$5,"Average","Needs work")))))</f>
        <v/>
      </c>
      <c r="AA124" s="72" t="str">
        <f aca="false">IF(OR(A124="",I124=""),"",IF(Q124="Short",IF(I124&gt;=Benchmarks!$E$7,"Elite",IF(I124&gt;=Benchmarks!$D$7,"Strong",IF(I124&gt;=Benchmarks!$C$7,"Average","Needs work"))),IF(I124&gt;=Benchmarks!$E$6,"Elite",IF(I124&gt;=Benchmarks!$D$6,"Strong",IF(I124&gt;=Benchmarks!$C$6,"Average","Needs work")))))</f>
        <v/>
      </c>
      <c r="AB124" s="72" t="str">
        <f aca="false">IF(V124="","",IF(V124&gt;=Benchmarks!$E$8,"Elite",IF(V124&gt;=Benchmarks!$D$8,"Strong",IF(V124&gt;=Benchmarks!$C$8,"Average","Needs work"))))</f>
        <v/>
      </c>
      <c r="AC124" s="73" t="str">
        <f aca="false">IF(COUNT(AG124:AI124)=0,"",AVERAGE(AG124:AI124))</f>
        <v/>
      </c>
      <c r="AD124" s="37" t="str">
        <f aca="false">IF(A124="","",IF(Q124="Short",IF(AH124="","Add % viewed to diagnose",IF(AND(AH124&gt;=3,N(AI124)&gt;=3),"Winner Short — expand it into a long-form video",IF(AH124&lt;=1,"Hook problem — viewers swipe away in the first seconds",IF(AI124=1,"Watched but no reaction — end on a question or opinion","Solid Short — keep iterating")))),IF(OR(AG124="",AH124=""),"Add CTR &amp; % viewed to diagnose",IF(AND(AG124&gt;=3,AH124&gt;=3),"WINNER — make a sequel, series or Shorts from it",IF(AND(AG124&gt;=3,AH124&lt;=2),"Click but leave — intro too slow or title over-promises",IF(AND(AG124&lt;=2,AH124&gt;=3),"Great video, weak packaging — A/B test title + thumbnail",IF(AND(AG124=1,AH124=1),"Topic miss — don't repeat this angle","Average — sharpen the hook and the title")))))))</f>
        <v/>
      </c>
      <c r="AE124" s="76" t="str">
        <f aca="false">IF(OR(A124="",N(E124)=0),"",Q124&amp;"-"&amp;(COUNTIFS($Q$5:$Q$204,Q124,$E$5:$E$204,"&gt;"&amp;E124)+COUNTIFS($Q$5:Q124,Q124,$E$5:E124,E124)))</f>
        <v/>
      </c>
      <c r="AF124" s="77" t="str">
        <f aca="false">IF(AND(Q124="Long",N(F124)&gt;=Benchmarks!$C$15,G124&lt;&gt;""),G124,"")</f>
        <v/>
      </c>
      <c r="AG124" s="78" t="str">
        <f aca="false">IF(Z124="Elite",4,IF(Z124="Strong",3,IF(Z124="Average",2,IF(Z124="Needs work",1,""))))</f>
        <v/>
      </c>
      <c r="AH124" s="78" t="str">
        <f aca="false">IF(AA124="Elite",4,IF(AA124="Strong",3,IF(AA124="Average",2,IF(AA124="Needs work",1,""))))</f>
        <v/>
      </c>
      <c r="AI124" s="78" t="str">
        <f aca="false">IF(AB124="Elite",4,IF(AB124="Strong",3,IF(AB124="Average",2,IF(AB124="Needs work",1,""))))</f>
        <v/>
      </c>
    </row>
    <row r="125" customFormat="false" ht="15" hidden="false" customHeight="false" outlineLevel="0" collapsed="false">
      <c r="A125" s="64"/>
      <c r="B125" s="65"/>
      <c r="C125" s="66"/>
      <c r="D125" s="67"/>
      <c r="E125" s="67"/>
      <c r="F125" s="67"/>
      <c r="G125" s="68"/>
      <c r="H125" s="69"/>
      <c r="I125" s="68"/>
      <c r="J125" s="70"/>
      <c r="K125" s="67"/>
      <c r="L125" s="67"/>
      <c r="M125" s="67"/>
      <c r="N125" s="67"/>
      <c r="O125" s="67"/>
      <c r="P125" s="71"/>
      <c r="Q125" s="72" t="str">
        <f aca="false">IF(A125="","",IF(C125&lt;&gt;"",C125,IF(AND(D125&lt;&gt;"",D125&lt;=180),"Short","Long")))</f>
        <v/>
      </c>
      <c r="R125" s="73" t="str">
        <f aca="false">IF(OR(A125="",D125=""),"",D125/60)</f>
        <v/>
      </c>
      <c r="S125" s="72" t="str">
        <f aca="false">IF(OR(A125="",B125=""),"",IF(AND(B125&gt;=DATE(2026,4,1),B125&lt;=DATE(2026,6,30)),"Yes","No"))</f>
        <v/>
      </c>
      <c r="T125" s="72" t="str">
        <f aca="false">IF(OR(A125="",B125=""),"",CHOOSE(WEEKDAY(B125),"Sun","Mon","Tue","Wed","Thu","Fri","Sat"))</f>
        <v/>
      </c>
      <c r="U125" s="72" t="str">
        <f aca="false">IF(OR(Q125&lt;&gt;"Long",D125=""),"",IF(D125&lt;480,"Under 8 min",IF(D125&lt;900,"8–15 min",IF(D125&lt;1500,"15–25 min","25+ min"))))</f>
        <v/>
      </c>
      <c r="V125" s="74" t="str">
        <f aca="false">IF(OR(A125="",N(E125)=0),"",(N(K125)+N(L125))/E125*100)</f>
        <v/>
      </c>
      <c r="W125" s="73" t="str">
        <f aca="false">IF(OR(A125="",N(E125)=0),"",N(L125)/E125*1000)</f>
        <v/>
      </c>
      <c r="X125" s="75" t="str">
        <f aca="false">IF(A125="","",N(N125)-N(O125))</f>
        <v/>
      </c>
      <c r="Y125" s="73" t="str">
        <f aca="false">IF(OR(A125="",N(E125)=0),"",X125/E125*1000)</f>
        <v/>
      </c>
      <c r="Z125" s="72" t="str">
        <f aca="false">IF(OR(A125="",G125=""),"",IF(Q125="Short","n/a (Short)",IF(G125&gt;=Benchmarks!$E$5,"Elite",IF(G125&gt;=Benchmarks!$D$5,"Strong",IF(G125&gt;=Benchmarks!$C$5,"Average","Needs work")))))</f>
        <v/>
      </c>
      <c r="AA125" s="72" t="str">
        <f aca="false">IF(OR(A125="",I125=""),"",IF(Q125="Short",IF(I125&gt;=Benchmarks!$E$7,"Elite",IF(I125&gt;=Benchmarks!$D$7,"Strong",IF(I125&gt;=Benchmarks!$C$7,"Average","Needs work"))),IF(I125&gt;=Benchmarks!$E$6,"Elite",IF(I125&gt;=Benchmarks!$D$6,"Strong",IF(I125&gt;=Benchmarks!$C$6,"Average","Needs work")))))</f>
        <v/>
      </c>
      <c r="AB125" s="72" t="str">
        <f aca="false">IF(V125="","",IF(V125&gt;=Benchmarks!$E$8,"Elite",IF(V125&gt;=Benchmarks!$D$8,"Strong",IF(V125&gt;=Benchmarks!$C$8,"Average","Needs work"))))</f>
        <v/>
      </c>
      <c r="AC125" s="73" t="str">
        <f aca="false">IF(COUNT(AG125:AI125)=0,"",AVERAGE(AG125:AI125))</f>
        <v/>
      </c>
      <c r="AD125" s="37" t="str">
        <f aca="false">IF(A125="","",IF(Q125="Short",IF(AH125="","Add % viewed to diagnose",IF(AND(AH125&gt;=3,N(AI125)&gt;=3),"Winner Short — expand it into a long-form video",IF(AH125&lt;=1,"Hook problem — viewers swipe away in the first seconds",IF(AI125=1,"Watched but no reaction — end on a question or opinion","Solid Short — keep iterating")))),IF(OR(AG125="",AH125=""),"Add CTR &amp; % viewed to diagnose",IF(AND(AG125&gt;=3,AH125&gt;=3),"WINNER — make a sequel, series or Shorts from it",IF(AND(AG125&gt;=3,AH125&lt;=2),"Click but leave — intro too slow or title over-promises",IF(AND(AG125&lt;=2,AH125&gt;=3),"Great video, weak packaging — A/B test title + thumbnail",IF(AND(AG125=1,AH125=1),"Topic miss — don't repeat this angle","Average — sharpen the hook and the title")))))))</f>
        <v/>
      </c>
      <c r="AE125" s="76" t="str">
        <f aca="false">IF(OR(A125="",N(E125)=0),"",Q125&amp;"-"&amp;(COUNTIFS($Q$5:$Q$204,Q125,$E$5:$E$204,"&gt;"&amp;E125)+COUNTIFS($Q$5:Q125,Q125,$E$5:E125,E125)))</f>
        <v/>
      </c>
      <c r="AF125" s="77" t="str">
        <f aca="false">IF(AND(Q125="Long",N(F125)&gt;=Benchmarks!$C$15,G125&lt;&gt;""),G125,"")</f>
        <v/>
      </c>
      <c r="AG125" s="78" t="str">
        <f aca="false">IF(Z125="Elite",4,IF(Z125="Strong",3,IF(Z125="Average",2,IF(Z125="Needs work",1,""))))</f>
        <v/>
      </c>
      <c r="AH125" s="78" t="str">
        <f aca="false">IF(AA125="Elite",4,IF(AA125="Strong",3,IF(AA125="Average",2,IF(AA125="Needs work",1,""))))</f>
        <v/>
      </c>
      <c r="AI125" s="78" t="str">
        <f aca="false">IF(AB125="Elite",4,IF(AB125="Strong",3,IF(AB125="Average",2,IF(AB125="Needs work",1,""))))</f>
        <v/>
      </c>
    </row>
    <row r="126" customFormat="false" ht="15" hidden="false" customHeight="false" outlineLevel="0" collapsed="false">
      <c r="A126" s="64"/>
      <c r="B126" s="65"/>
      <c r="C126" s="66"/>
      <c r="D126" s="67"/>
      <c r="E126" s="67"/>
      <c r="F126" s="67"/>
      <c r="G126" s="68"/>
      <c r="H126" s="69"/>
      <c r="I126" s="68"/>
      <c r="J126" s="70"/>
      <c r="K126" s="67"/>
      <c r="L126" s="67"/>
      <c r="M126" s="67"/>
      <c r="N126" s="67"/>
      <c r="O126" s="67"/>
      <c r="P126" s="71"/>
      <c r="Q126" s="72" t="str">
        <f aca="false">IF(A126="","",IF(C126&lt;&gt;"",C126,IF(AND(D126&lt;&gt;"",D126&lt;=180),"Short","Long")))</f>
        <v/>
      </c>
      <c r="R126" s="73" t="str">
        <f aca="false">IF(OR(A126="",D126=""),"",D126/60)</f>
        <v/>
      </c>
      <c r="S126" s="72" t="str">
        <f aca="false">IF(OR(A126="",B126=""),"",IF(AND(B126&gt;=DATE(2026,4,1),B126&lt;=DATE(2026,6,30)),"Yes","No"))</f>
        <v/>
      </c>
      <c r="T126" s="72" t="str">
        <f aca="false">IF(OR(A126="",B126=""),"",CHOOSE(WEEKDAY(B126),"Sun","Mon","Tue","Wed","Thu","Fri","Sat"))</f>
        <v/>
      </c>
      <c r="U126" s="72" t="str">
        <f aca="false">IF(OR(Q126&lt;&gt;"Long",D126=""),"",IF(D126&lt;480,"Under 8 min",IF(D126&lt;900,"8–15 min",IF(D126&lt;1500,"15–25 min","25+ min"))))</f>
        <v/>
      </c>
      <c r="V126" s="74" t="str">
        <f aca="false">IF(OR(A126="",N(E126)=0),"",(N(K126)+N(L126))/E126*100)</f>
        <v/>
      </c>
      <c r="W126" s="73" t="str">
        <f aca="false">IF(OR(A126="",N(E126)=0),"",N(L126)/E126*1000)</f>
        <v/>
      </c>
      <c r="X126" s="75" t="str">
        <f aca="false">IF(A126="","",N(N126)-N(O126))</f>
        <v/>
      </c>
      <c r="Y126" s="73" t="str">
        <f aca="false">IF(OR(A126="",N(E126)=0),"",X126/E126*1000)</f>
        <v/>
      </c>
      <c r="Z126" s="72" t="str">
        <f aca="false">IF(OR(A126="",G126=""),"",IF(Q126="Short","n/a (Short)",IF(G126&gt;=Benchmarks!$E$5,"Elite",IF(G126&gt;=Benchmarks!$D$5,"Strong",IF(G126&gt;=Benchmarks!$C$5,"Average","Needs work")))))</f>
        <v/>
      </c>
      <c r="AA126" s="72" t="str">
        <f aca="false">IF(OR(A126="",I126=""),"",IF(Q126="Short",IF(I126&gt;=Benchmarks!$E$7,"Elite",IF(I126&gt;=Benchmarks!$D$7,"Strong",IF(I126&gt;=Benchmarks!$C$7,"Average","Needs work"))),IF(I126&gt;=Benchmarks!$E$6,"Elite",IF(I126&gt;=Benchmarks!$D$6,"Strong",IF(I126&gt;=Benchmarks!$C$6,"Average","Needs work")))))</f>
        <v/>
      </c>
      <c r="AB126" s="72" t="str">
        <f aca="false">IF(V126="","",IF(V126&gt;=Benchmarks!$E$8,"Elite",IF(V126&gt;=Benchmarks!$D$8,"Strong",IF(V126&gt;=Benchmarks!$C$8,"Average","Needs work"))))</f>
        <v/>
      </c>
      <c r="AC126" s="73" t="str">
        <f aca="false">IF(COUNT(AG126:AI126)=0,"",AVERAGE(AG126:AI126))</f>
        <v/>
      </c>
      <c r="AD126" s="37" t="str">
        <f aca="false">IF(A126="","",IF(Q126="Short",IF(AH126="","Add % viewed to diagnose",IF(AND(AH126&gt;=3,N(AI126)&gt;=3),"Winner Short — expand it into a long-form video",IF(AH126&lt;=1,"Hook problem — viewers swipe away in the first seconds",IF(AI126=1,"Watched but no reaction — end on a question or opinion","Solid Short — keep iterating")))),IF(OR(AG126="",AH126=""),"Add CTR &amp; % viewed to diagnose",IF(AND(AG126&gt;=3,AH126&gt;=3),"WINNER — make a sequel, series or Shorts from it",IF(AND(AG126&gt;=3,AH126&lt;=2),"Click but leave — intro too slow or title over-promises",IF(AND(AG126&lt;=2,AH126&gt;=3),"Great video, weak packaging — A/B test title + thumbnail",IF(AND(AG126=1,AH126=1),"Topic miss — don't repeat this angle","Average — sharpen the hook and the title")))))))</f>
        <v/>
      </c>
      <c r="AE126" s="76" t="str">
        <f aca="false">IF(OR(A126="",N(E126)=0),"",Q126&amp;"-"&amp;(COUNTIFS($Q$5:$Q$204,Q126,$E$5:$E$204,"&gt;"&amp;E126)+COUNTIFS($Q$5:Q126,Q126,$E$5:E126,E126)))</f>
        <v/>
      </c>
      <c r="AF126" s="77" t="str">
        <f aca="false">IF(AND(Q126="Long",N(F126)&gt;=Benchmarks!$C$15,G126&lt;&gt;""),G126,"")</f>
        <v/>
      </c>
      <c r="AG126" s="78" t="str">
        <f aca="false">IF(Z126="Elite",4,IF(Z126="Strong",3,IF(Z126="Average",2,IF(Z126="Needs work",1,""))))</f>
        <v/>
      </c>
      <c r="AH126" s="78" t="str">
        <f aca="false">IF(AA126="Elite",4,IF(AA126="Strong",3,IF(AA126="Average",2,IF(AA126="Needs work",1,""))))</f>
        <v/>
      </c>
      <c r="AI126" s="78" t="str">
        <f aca="false">IF(AB126="Elite",4,IF(AB126="Strong",3,IF(AB126="Average",2,IF(AB126="Needs work",1,""))))</f>
        <v/>
      </c>
    </row>
    <row r="127" customFormat="false" ht="15" hidden="false" customHeight="false" outlineLevel="0" collapsed="false">
      <c r="A127" s="64"/>
      <c r="B127" s="65"/>
      <c r="C127" s="66"/>
      <c r="D127" s="67"/>
      <c r="E127" s="67"/>
      <c r="F127" s="67"/>
      <c r="G127" s="68"/>
      <c r="H127" s="69"/>
      <c r="I127" s="68"/>
      <c r="J127" s="70"/>
      <c r="K127" s="67"/>
      <c r="L127" s="67"/>
      <c r="M127" s="67"/>
      <c r="N127" s="67"/>
      <c r="O127" s="67"/>
      <c r="P127" s="71"/>
      <c r="Q127" s="72" t="str">
        <f aca="false">IF(A127="","",IF(C127&lt;&gt;"",C127,IF(AND(D127&lt;&gt;"",D127&lt;=180),"Short","Long")))</f>
        <v/>
      </c>
      <c r="R127" s="73" t="str">
        <f aca="false">IF(OR(A127="",D127=""),"",D127/60)</f>
        <v/>
      </c>
      <c r="S127" s="72" t="str">
        <f aca="false">IF(OR(A127="",B127=""),"",IF(AND(B127&gt;=DATE(2026,4,1),B127&lt;=DATE(2026,6,30)),"Yes","No"))</f>
        <v/>
      </c>
      <c r="T127" s="72" t="str">
        <f aca="false">IF(OR(A127="",B127=""),"",CHOOSE(WEEKDAY(B127),"Sun","Mon","Tue","Wed","Thu","Fri","Sat"))</f>
        <v/>
      </c>
      <c r="U127" s="72" t="str">
        <f aca="false">IF(OR(Q127&lt;&gt;"Long",D127=""),"",IF(D127&lt;480,"Under 8 min",IF(D127&lt;900,"8–15 min",IF(D127&lt;1500,"15–25 min","25+ min"))))</f>
        <v/>
      </c>
      <c r="V127" s="74" t="str">
        <f aca="false">IF(OR(A127="",N(E127)=0),"",(N(K127)+N(L127))/E127*100)</f>
        <v/>
      </c>
      <c r="W127" s="73" t="str">
        <f aca="false">IF(OR(A127="",N(E127)=0),"",N(L127)/E127*1000)</f>
        <v/>
      </c>
      <c r="X127" s="75" t="str">
        <f aca="false">IF(A127="","",N(N127)-N(O127))</f>
        <v/>
      </c>
      <c r="Y127" s="73" t="str">
        <f aca="false">IF(OR(A127="",N(E127)=0),"",X127/E127*1000)</f>
        <v/>
      </c>
      <c r="Z127" s="72" t="str">
        <f aca="false">IF(OR(A127="",G127=""),"",IF(Q127="Short","n/a (Short)",IF(G127&gt;=Benchmarks!$E$5,"Elite",IF(G127&gt;=Benchmarks!$D$5,"Strong",IF(G127&gt;=Benchmarks!$C$5,"Average","Needs work")))))</f>
        <v/>
      </c>
      <c r="AA127" s="72" t="str">
        <f aca="false">IF(OR(A127="",I127=""),"",IF(Q127="Short",IF(I127&gt;=Benchmarks!$E$7,"Elite",IF(I127&gt;=Benchmarks!$D$7,"Strong",IF(I127&gt;=Benchmarks!$C$7,"Average","Needs work"))),IF(I127&gt;=Benchmarks!$E$6,"Elite",IF(I127&gt;=Benchmarks!$D$6,"Strong",IF(I127&gt;=Benchmarks!$C$6,"Average","Needs work")))))</f>
        <v/>
      </c>
      <c r="AB127" s="72" t="str">
        <f aca="false">IF(V127="","",IF(V127&gt;=Benchmarks!$E$8,"Elite",IF(V127&gt;=Benchmarks!$D$8,"Strong",IF(V127&gt;=Benchmarks!$C$8,"Average","Needs work"))))</f>
        <v/>
      </c>
      <c r="AC127" s="73" t="str">
        <f aca="false">IF(COUNT(AG127:AI127)=0,"",AVERAGE(AG127:AI127))</f>
        <v/>
      </c>
      <c r="AD127" s="37" t="str">
        <f aca="false">IF(A127="","",IF(Q127="Short",IF(AH127="","Add % viewed to diagnose",IF(AND(AH127&gt;=3,N(AI127)&gt;=3),"Winner Short — expand it into a long-form video",IF(AH127&lt;=1,"Hook problem — viewers swipe away in the first seconds",IF(AI127=1,"Watched but no reaction — end on a question or opinion","Solid Short — keep iterating")))),IF(OR(AG127="",AH127=""),"Add CTR &amp; % viewed to diagnose",IF(AND(AG127&gt;=3,AH127&gt;=3),"WINNER — make a sequel, series or Shorts from it",IF(AND(AG127&gt;=3,AH127&lt;=2),"Click but leave — intro too slow or title over-promises",IF(AND(AG127&lt;=2,AH127&gt;=3),"Great video, weak packaging — A/B test title + thumbnail",IF(AND(AG127=1,AH127=1),"Topic miss — don't repeat this angle","Average — sharpen the hook and the title")))))))</f>
        <v/>
      </c>
      <c r="AE127" s="76" t="str">
        <f aca="false">IF(OR(A127="",N(E127)=0),"",Q127&amp;"-"&amp;(COUNTIFS($Q$5:$Q$204,Q127,$E$5:$E$204,"&gt;"&amp;E127)+COUNTIFS($Q$5:Q127,Q127,$E$5:E127,E127)))</f>
        <v/>
      </c>
      <c r="AF127" s="77" t="str">
        <f aca="false">IF(AND(Q127="Long",N(F127)&gt;=Benchmarks!$C$15,G127&lt;&gt;""),G127,"")</f>
        <v/>
      </c>
      <c r="AG127" s="78" t="str">
        <f aca="false">IF(Z127="Elite",4,IF(Z127="Strong",3,IF(Z127="Average",2,IF(Z127="Needs work",1,""))))</f>
        <v/>
      </c>
      <c r="AH127" s="78" t="str">
        <f aca="false">IF(AA127="Elite",4,IF(AA127="Strong",3,IF(AA127="Average",2,IF(AA127="Needs work",1,""))))</f>
        <v/>
      </c>
      <c r="AI127" s="78" t="str">
        <f aca="false">IF(AB127="Elite",4,IF(AB127="Strong",3,IF(AB127="Average",2,IF(AB127="Needs work",1,""))))</f>
        <v/>
      </c>
    </row>
    <row r="128" customFormat="false" ht="15" hidden="false" customHeight="false" outlineLevel="0" collapsed="false">
      <c r="A128" s="64"/>
      <c r="B128" s="65"/>
      <c r="C128" s="66"/>
      <c r="D128" s="67"/>
      <c r="E128" s="67"/>
      <c r="F128" s="67"/>
      <c r="G128" s="68"/>
      <c r="H128" s="69"/>
      <c r="I128" s="68"/>
      <c r="J128" s="70"/>
      <c r="K128" s="67"/>
      <c r="L128" s="67"/>
      <c r="M128" s="67"/>
      <c r="N128" s="67"/>
      <c r="O128" s="67"/>
      <c r="P128" s="71"/>
      <c r="Q128" s="72" t="str">
        <f aca="false">IF(A128="","",IF(C128&lt;&gt;"",C128,IF(AND(D128&lt;&gt;"",D128&lt;=180),"Short","Long")))</f>
        <v/>
      </c>
      <c r="R128" s="73" t="str">
        <f aca="false">IF(OR(A128="",D128=""),"",D128/60)</f>
        <v/>
      </c>
      <c r="S128" s="72" t="str">
        <f aca="false">IF(OR(A128="",B128=""),"",IF(AND(B128&gt;=DATE(2026,4,1),B128&lt;=DATE(2026,6,30)),"Yes","No"))</f>
        <v/>
      </c>
      <c r="T128" s="72" t="str">
        <f aca="false">IF(OR(A128="",B128=""),"",CHOOSE(WEEKDAY(B128),"Sun","Mon","Tue","Wed","Thu","Fri","Sat"))</f>
        <v/>
      </c>
      <c r="U128" s="72" t="str">
        <f aca="false">IF(OR(Q128&lt;&gt;"Long",D128=""),"",IF(D128&lt;480,"Under 8 min",IF(D128&lt;900,"8–15 min",IF(D128&lt;1500,"15–25 min","25+ min"))))</f>
        <v/>
      </c>
      <c r="V128" s="74" t="str">
        <f aca="false">IF(OR(A128="",N(E128)=0),"",(N(K128)+N(L128))/E128*100)</f>
        <v/>
      </c>
      <c r="W128" s="73" t="str">
        <f aca="false">IF(OR(A128="",N(E128)=0),"",N(L128)/E128*1000)</f>
        <v/>
      </c>
      <c r="X128" s="75" t="str">
        <f aca="false">IF(A128="","",N(N128)-N(O128))</f>
        <v/>
      </c>
      <c r="Y128" s="73" t="str">
        <f aca="false">IF(OR(A128="",N(E128)=0),"",X128/E128*1000)</f>
        <v/>
      </c>
      <c r="Z128" s="72" t="str">
        <f aca="false">IF(OR(A128="",G128=""),"",IF(Q128="Short","n/a (Short)",IF(G128&gt;=Benchmarks!$E$5,"Elite",IF(G128&gt;=Benchmarks!$D$5,"Strong",IF(G128&gt;=Benchmarks!$C$5,"Average","Needs work")))))</f>
        <v/>
      </c>
      <c r="AA128" s="72" t="str">
        <f aca="false">IF(OR(A128="",I128=""),"",IF(Q128="Short",IF(I128&gt;=Benchmarks!$E$7,"Elite",IF(I128&gt;=Benchmarks!$D$7,"Strong",IF(I128&gt;=Benchmarks!$C$7,"Average","Needs work"))),IF(I128&gt;=Benchmarks!$E$6,"Elite",IF(I128&gt;=Benchmarks!$D$6,"Strong",IF(I128&gt;=Benchmarks!$C$6,"Average","Needs work")))))</f>
        <v/>
      </c>
      <c r="AB128" s="72" t="str">
        <f aca="false">IF(V128="","",IF(V128&gt;=Benchmarks!$E$8,"Elite",IF(V128&gt;=Benchmarks!$D$8,"Strong",IF(V128&gt;=Benchmarks!$C$8,"Average","Needs work"))))</f>
        <v/>
      </c>
      <c r="AC128" s="73" t="str">
        <f aca="false">IF(COUNT(AG128:AI128)=0,"",AVERAGE(AG128:AI128))</f>
        <v/>
      </c>
      <c r="AD128" s="37" t="str">
        <f aca="false">IF(A128="","",IF(Q128="Short",IF(AH128="","Add % viewed to diagnose",IF(AND(AH128&gt;=3,N(AI128)&gt;=3),"Winner Short — expand it into a long-form video",IF(AH128&lt;=1,"Hook problem — viewers swipe away in the first seconds",IF(AI128=1,"Watched but no reaction — end on a question or opinion","Solid Short — keep iterating")))),IF(OR(AG128="",AH128=""),"Add CTR &amp; % viewed to diagnose",IF(AND(AG128&gt;=3,AH128&gt;=3),"WINNER — make a sequel, series or Shorts from it",IF(AND(AG128&gt;=3,AH128&lt;=2),"Click but leave — intro too slow or title over-promises",IF(AND(AG128&lt;=2,AH128&gt;=3),"Great video, weak packaging — A/B test title + thumbnail",IF(AND(AG128=1,AH128=1),"Topic miss — don't repeat this angle","Average — sharpen the hook and the title")))))))</f>
        <v/>
      </c>
      <c r="AE128" s="76" t="str">
        <f aca="false">IF(OR(A128="",N(E128)=0),"",Q128&amp;"-"&amp;(COUNTIFS($Q$5:$Q$204,Q128,$E$5:$E$204,"&gt;"&amp;E128)+COUNTIFS($Q$5:Q128,Q128,$E$5:E128,E128)))</f>
        <v/>
      </c>
      <c r="AF128" s="77" t="str">
        <f aca="false">IF(AND(Q128="Long",N(F128)&gt;=Benchmarks!$C$15,G128&lt;&gt;""),G128,"")</f>
        <v/>
      </c>
      <c r="AG128" s="78" t="str">
        <f aca="false">IF(Z128="Elite",4,IF(Z128="Strong",3,IF(Z128="Average",2,IF(Z128="Needs work",1,""))))</f>
        <v/>
      </c>
      <c r="AH128" s="78" t="str">
        <f aca="false">IF(AA128="Elite",4,IF(AA128="Strong",3,IF(AA128="Average",2,IF(AA128="Needs work",1,""))))</f>
        <v/>
      </c>
      <c r="AI128" s="78" t="str">
        <f aca="false">IF(AB128="Elite",4,IF(AB128="Strong",3,IF(AB128="Average",2,IF(AB128="Needs work",1,""))))</f>
        <v/>
      </c>
    </row>
    <row r="129" customFormat="false" ht="15" hidden="false" customHeight="false" outlineLevel="0" collapsed="false">
      <c r="A129" s="64"/>
      <c r="B129" s="65"/>
      <c r="C129" s="66"/>
      <c r="D129" s="67"/>
      <c r="E129" s="67"/>
      <c r="F129" s="67"/>
      <c r="G129" s="68"/>
      <c r="H129" s="69"/>
      <c r="I129" s="68"/>
      <c r="J129" s="70"/>
      <c r="K129" s="67"/>
      <c r="L129" s="67"/>
      <c r="M129" s="67"/>
      <c r="N129" s="67"/>
      <c r="O129" s="67"/>
      <c r="P129" s="71"/>
      <c r="Q129" s="72" t="str">
        <f aca="false">IF(A129="","",IF(C129&lt;&gt;"",C129,IF(AND(D129&lt;&gt;"",D129&lt;=180),"Short","Long")))</f>
        <v/>
      </c>
      <c r="R129" s="73" t="str">
        <f aca="false">IF(OR(A129="",D129=""),"",D129/60)</f>
        <v/>
      </c>
      <c r="S129" s="72" t="str">
        <f aca="false">IF(OR(A129="",B129=""),"",IF(AND(B129&gt;=DATE(2026,4,1),B129&lt;=DATE(2026,6,30)),"Yes","No"))</f>
        <v/>
      </c>
      <c r="T129" s="72" t="str">
        <f aca="false">IF(OR(A129="",B129=""),"",CHOOSE(WEEKDAY(B129),"Sun","Mon","Tue","Wed","Thu","Fri","Sat"))</f>
        <v/>
      </c>
      <c r="U129" s="72" t="str">
        <f aca="false">IF(OR(Q129&lt;&gt;"Long",D129=""),"",IF(D129&lt;480,"Under 8 min",IF(D129&lt;900,"8–15 min",IF(D129&lt;1500,"15–25 min","25+ min"))))</f>
        <v/>
      </c>
      <c r="V129" s="74" t="str">
        <f aca="false">IF(OR(A129="",N(E129)=0),"",(N(K129)+N(L129))/E129*100)</f>
        <v/>
      </c>
      <c r="W129" s="73" t="str">
        <f aca="false">IF(OR(A129="",N(E129)=0),"",N(L129)/E129*1000)</f>
        <v/>
      </c>
      <c r="X129" s="75" t="str">
        <f aca="false">IF(A129="","",N(N129)-N(O129))</f>
        <v/>
      </c>
      <c r="Y129" s="73" t="str">
        <f aca="false">IF(OR(A129="",N(E129)=0),"",X129/E129*1000)</f>
        <v/>
      </c>
      <c r="Z129" s="72" t="str">
        <f aca="false">IF(OR(A129="",G129=""),"",IF(Q129="Short","n/a (Short)",IF(G129&gt;=Benchmarks!$E$5,"Elite",IF(G129&gt;=Benchmarks!$D$5,"Strong",IF(G129&gt;=Benchmarks!$C$5,"Average","Needs work")))))</f>
        <v/>
      </c>
      <c r="AA129" s="72" t="str">
        <f aca="false">IF(OR(A129="",I129=""),"",IF(Q129="Short",IF(I129&gt;=Benchmarks!$E$7,"Elite",IF(I129&gt;=Benchmarks!$D$7,"Strong",IF(I129&gt;=Benchmarks!$C$7,"Average","Needs work"))),IF(I129&gt;=Benchmarks!$E$6,"Elite",IF(I129&gt;=Benchmarks!$D$6,"Strong",IF(I129&gt;=Benchmarks!$C$6,"Average","Needs work")))))</f>
        <v/>
      </c>
      <c r="AB129" s="72" t="str">
        <f aca="false">IF(V129="","",IF(V129&gt;=Benchmarks!$E$8,"Elite",IF(V129&gt;=Benchmarks!$D$8,"Strong",IF(V129&gt;=Benchmarks!$C$8,"Average","Needs work"))))</f>
        <v/>
      </c>
      <c r="AC129" s="73" t="str">
        <f aca="false">IF(COUNT(AG129:AI129)=0,"",AVERAGE(AG129:AI129))</f>
        <v/>
      </c>
      <c r="AD129" s="37" t="str">
        <f aca="false">IF(A129="","",IF(Q129="Short",IF(AH129="","Add % viewed to diagnose",IF(AND(AH129&gt;=3,N(AI129)&gt;=3),"Winner Short — expand it into a long-form video",IF(AH129&lt;=1,"Hook problem — viewers swipe away in the first seconds",IF(AI129=1,"Watched but no reaction — end on a question or opinion","Solid Short — keep iterating")))),IF(OR(AG129="",AH129=""),"Add CTR &amp; % viewed to diagnose",IF(AND(AG129&gt;=3,AH129&gt;=3),"WINNER — make a sequel, series or Shorts from it",IF(AND(AG129&gt;=3,AH129&lt;=2),"Click but leave — intro too slow or title over-promises",IF(AND(AG129&lt;=2,AH129&gt;=3),"Great video, weak packaging — A/B test title + thumbnail",IF(AND(AG129=1,AH129=1),"Topic miss — don't repeat this angle","Average — sharpen the hook and the title")))))))</f>
        <v/>
      </c>
      <c r="AE129" s="76" t="str">
        <f aca="false">IF(OR(A129="",N(E129)=0),"",Q129&amp;"-"&amp;(COUNTIFS($Q$5:$Q$204,Q129,$E$5:$E$204,"&gt;"&amp;E129)+COUNTIFS($Q$5:Q129,Q129,$E$5:E129,E129)))</f>
        <v/>
      </c>
      <c r="AF129" s="77" t="str">
        <f aca="false">IF(AND(Q129="Long",N(F129)&gt;=Benchmarks!$C$15,G129&lt;&gt;""),G129,"")</f>
        <v/>
      </c>
      <c r="AG129" s="78" t="str">
        <f aca="false">IF(Z129="Elite",4,IF(Z129="Strong",3,IF(Z129="Average",2,IF(Z129="Needs work",1,""))))</f>
        <v/>
      </c>
      <c r="AH129" s="78" t="str">
        <f aca="false">IF(AA129="Elite",4,IF(AA129="Strong",3,IF(AA129="Average",2,IF(AA129="Needs work",1,""))))</f>
        <v/>
      </c>
      <c r="AI129" s="78" t="str">
        <f aca="false">IF(AB129="Elite",4,IF(AB129="Strong",3,IF(AB129="Average",2,IF(AB129="Needs work",1,""))))</f>
        <v/>
      </c>
    </row>
    <row r="130" customFormat="false" ht="15" hidden="false" customHeight="false" outlineLevel="0" collapsed="false">
      <c r="A130" s="64"/>
      <c r="B130" s="65"/>
      <c r="C130" s="66"/>
      <c r="D130" s="67"/>
      <c r="E130" s="67"/>
      <c r="F130" s="67"/>
      <c r="G130" s="68"/>
      <c r="H130" s="69"/>
      <c r="I130" s="68"/>
      <c r="J130" s="70"/>
      <c r="K130" s="67"/>
      <c r="L130" s="67"/>
      <c r="M130" s="67"/>
      <c r="N130" s="67"/>
      <c r="O130" s="67"/>
      <c r="P130" s="71"/>
      <c r="Q130" s="72" t="str">
        <f aca="false">IF(A130="","",IF(C130&lt;&gt;"",C130,IF(AND(D130&lt;&gt;"",D130&lt;=180),"Short","Long")))</f>
        <v/>
      </c>
      <c r="R130" s="73" t="str">
        <f aca="false">IF(OR(A130="",D130=""),"",D130/60)</f>
        <v/>
      </c>
      <c r="S130" s="72" t="str">
        <f aca="false">IF(OR(A130="",B130=""),"",IF(AND(B130&gt;=DATE(2026,4,1),B130&lt;=DATE(2026,6,30)),"Yes","No"))</f>
        <v/>
      </c>
      <c r="T130" s="72" t="str">
        <f aca="false">IF(OR(A130="",B130=""),"",CHOOSE(WEEKDAY(B130),"Sun","Mon","Tue","Wed","Thu","Fri","Sat"))</f>
        <v/>
      </c>
      <c r="U130" s="72" t="str">
        <f aca="false">IF(OR(Q130&lt;&gt;"Long",D130=""),"",IF(D130&lt;480,"Under 8 min",IF(D130&lt;900,"8–15 min",IF(D130&lt;1500,"15–25 min","25+ min"))))</f>
        <v/>
      </c>
      <c r="V130" s="74" t="str">
        <f aca="false">IF(OR(A130="",N(E130)=0),"",(N(K130)+N(L130))/E130*100)</f>
        <v/>
      </c>
      <c r="W130" s="73" t="str">
        <f aca="false">IF(OR(A130="",N(E130)=0),"",N(L130)/E130*1000)</f>
        <v/>
      </c>
      <c r="X130" s="75" t="str">
        <f aca="false">IF(A130="","",N(N130)-N(O130))</f>
        <v/>
      </c>
      <c r="Y130" s="73" t="str">
        <f aca="false">IF(OR(A130="",N(E130)=0),"",X130/E130*1000)</f>
        <v/>
      </c>
      <c r="Z130" s="72" t="str">
        <f aca="false">IF(OR(A130="",G130=""),"",IF(Q130="Short","n/a (Short)",IF(G130&gt;=Benchmarks!$E$5,"Elite",IF(G130&gt;=Benchmarks!$D$5,"Strong",IF(G130&gt;=Benchmarks!$C$5,"Average","Needs work")))))</f>
        <v/>
      </c>
      <c r="AA130" s="72" t="str">
        <f aca="false">IF(OR(A130="",I130=""),"",IF(Q130="Short",IF(I130&gt;=Benchmarks!$E$7,"Elite",IF(I130&gt;=Benchmarks!$D$7,"Strong",IF(I130&gt;=Benchmarks!$C$7,"Average","Needs work"))),IF(I130&gt;=Benchmarks!$E$6,"Elite",IF(I130&gt;=Benchmarks!$D$6,"Strong",IF(I130&gt;=Benchmarks!$C$6,"Average","Needs work")))))</f>
        <v/>
      </c>
      <c r="AB130" s="72" t="str">
        <f aca="false">IF(V130="","",IF(V130&gt;=Benchmarks!$E$8,"Elite",IF(V130&gt;=Benchmarks!$D$8,"Strong",IF(V130&gt;=Benchmarks!$C$8,"Average","Needs work"))))</f>
        <v/>
      </c>
      <c r="AC130" s="73" t="str">
        <f aca="false">IF(COUNT(AG130:AI130)=0,"",AVERAGE(AG130:AI130))</f>
        <v/>
      </c>
      <c r="AD130" s="37" t="str">
        <f aca="false">IF(A130="","",IF(Q130="Short",IF(AH130="","Add % viewed to diagnose",IF(AND(AH130&gt;=3,N(AI130)&gt;=3),"Winner Short — expand it into a long-form video",IF(AH130&lt;=1,"Hook problem — viewers swipe away in the first seconds",IF(AI130=1,"Watched but no reaction — end on a question or opinion","Solid Short — keep iterating")))),IF(OR(AG130="",AH130=""),"Add CTR &amp; % viewed to diagnose",IF(AND(AG130&gt;=3,AH130&gt;=3),"WINNER — make a sequel, series or Shorts from it",IF(AND(AG130&gt;=3,AH130&lt;=2),"Click but leave — intro too slow or title over-promises",IF(AND(AG130&lt;=2,AH130&gt;=3),"Great video, weak packaging — A/B test title + thumbnail",IF(AND(AG130=1,AH130=1),"Topic miss — don't repeat this angle","Average — sharpen the hook and the title")))))))</f>
        <v/>
      </c>
      <c r="AE130" s="76" t="str">
        <f aca="false">IF(OR(A130="",N(E130)=0),"",Q130&amp;"-"&amp;(COUNTIFS($Q$5:$Q$204,Q130,$E$5:$E$204,"&gt;"&amp;E130)+COUNTIFS($Q$5:Q130,Q130,$E$5:E130,E130)))</f>
        <v/>
      </c>
      <c r="AF130" s="77" t="str">
        <f aca="false">IF(AND(Q130="Long",N(F130)&gt;=Benchmarks!$C$15,G130&lt;&gt;""),G130,"")</f>
        <v/>
      </c>
      <c r="AG130" s="78" t="str">
        <f aca="false">IF(Z130="Elite",4,IF(Z130="Strong",3,IF(Z130="Average",2,IF(Z130="Needs work",1,""))))</f>
        <v/>
      </c>
      <c r="AH130" s="78" t="str">
        <f aca="false">IF(AA130="Elite",4,IF(AA130="Strong",3,IF(AA130="Average",2,IF(AA130="Needs work",1,""))))</f>
        <v/>
      </c>
      <c r="AI130" s="78" t="str">
        <f aca="false">IF(AB130="Elite",4,IF(AB130="Strong",3,IF(AB130="Average",2,IF(AB130="Needs work",1,""))))</f>
        <v/>
      </c>
    </row>
    <row r="131" customFormat="false" ht="15" hidden="false" customHeight="false" outlineLevel="0" collapsed="false">
      <c r="A131" s="64"/>
      <c r="B131" s="65"/>
      <c r="C131" s="66"/>
      <c r="D131" s="67"/>
      <c r="E131" s="67"/>
      <c r="F131" s="67"/>
      <c r="G131" s="68"/>
      <c r="H131" s="69"/>
      <c r="I131" s="68"/>
      <c r="J131" s="70"/>
      <c r="K131" s="67"/>
      <c r="L131" s="67"/>
      <c r="M131" s="67"/>
      <c r="N131" s="67"/>
      <c r="O131" s="67"/>
      <c r="P131" s="71"/>
      <c r="Q131" s="72" t="str">
        <f aca="false">IF(A131="","",IF(C131&lt;&gt;"",C131,IF(AND(D131&lt;&gt;"",D131&lt;=180),"Short","Long")))</f>
        <v/>
      </c>
      <c r="R131" s="73" t="str">
        <f aca="false">IF(OR(A131="",D131=""),"",D131/60)</f>
        <v/>
      </c>
      <c r="S131" s="72" t="str">
        <f aca="false">IF(OR(A131="",B131=""),"",IF(AND(B131&gt;=DATE(2026,4,1),B131&lt;=DATE(2026,6,30)),"Yes","No"))</f>
        <v/>
      </c>
      <c r="T131" s="72" t="str">
        <f aca="false">IF(OR(A131="",B131=""),"",CHOOSE(WEEKDAY(B131),"Sun","Mon","Tue","Wed","Thu","Fri","Sat"))</f>
        <v/>
      </c>
      <c r="U131" s="72" t="str">
        <f aca="false">IF(OR(Q131&lt;&gt;"Long",D131=""),"",IF(D131&lt;480,"Under 8 min",IF(D131&lt;900,"8–15 min",IF(D131&lt;1500,"15–25 min","25+ min"))))</f>
        <v/>
      </c>
      <c r="V131" s="74" t="str">
        <f aca="false">IF(OR(A131="",N(E131)=0),"",(N(K131)+N(L131))/E131*100)</f>
        <v/>
      </c>
      <c r="W131" s="73" t="str">
        <f aca="false">IF(OR(A131="",N(E131)=0),"",N(L131)/E131*1000)</f>
        <v/>
      </c>
      <c r="X131" s="75" t="str">
        <f aca="false">IF(A131="","",N(N131)-N(O131))</f>
        <v/>
      </c>
      <c r="Y131" s="73" t="str">
        <f aca="false">IF(OR(A131="",N(E131)=0),"",X131/E131*1000)</f>
        <v/>
      </c>
      <c r="Z131" s="72" t="str">
        <f aca="false">IF(OR(A131="",G131=""),"",IF(Q131="Short","n/a (Short)",IF(G131&gt;=Benchmarks!$E$5,"Elite",IF(G131&gt;=Benchmarks!$D$5,"Strong",IF(G131&gt;=Benchmarks!$C$5,"Average","Needs work")))))</f>
        <v/>
      </c>
      <c r="AA131" s="72" t="str">
        <f aca="false">IF(OR(A131="",I131=""),"",IF(Q131="Short",IF(I131&gt;=Benchmarks!$E$7,"Elite",IF(I131&gt;=Benchmarks!$D$7,"Strong",IF(I131&gt;=Benchmarks!$C$7,"Average","Needs work"))),IF(I131&gt;=Benchmarks!$E$6,"Elite",IF(I131&gt;=Benchmarks!$D$6,"Strong",IF(I131&gt;=Benchmarks!$C$6,"Average","Needs work")))))</f>
        <v/>
      </c>
      <c r="AB131" s="72" t="str">
        <f aca="false">IF(V131="","",IF(V131&gt;=Benchmarks!$E$8,"Elite",IF(V131&gt;=Benchmarks!$D$8,"Strong",IF(V131&gt;=Benchmarks!$C$8,"Average","Needs work"))))</f>
        <v/>
      </c>
      <c r="AC131" s="73" t="str">
        <f aca="false">IF(COUNT(AG131:AI131)=0,"",AVERAGE(AG131:AI131))</f>
        <v/>
      </c>
      <c r="AD131" s="37" t="str">
        <f aca="false">IF(A131="","",IF(Q131="Short",IF(AH131="","Add % viewed to diagnose",IF(AND(AH131&gt;=3,N(AI131)&gt;=3),"Winner Short — expand it into a long-form video",IF(AH131&lt;=1,"Hook problem — viewers swipe away in the first seconds",IF(AI131=1,"Watched but no reaction — end on a question or opinion","Solid Short — keep iterating")))),IF(OR(AG131="",AH131=""),"Add CTR &amp; % viewed to diagnose",IF(AND(AG131&gt;=3,AH131&gt;=3),"WINNER — make a sequel, series or Shorts from it",IF(AND(AG131&gt;=3,AH131&lt;=2),"Click but leave — intro too slow or title over-promises",IF(AND(AG131&lt;=2,AH131&gt;=3),"Great video, weak packaging — A/B test title + thumbnail",IF(AND(AG131=1,AH131=1),"Topic miss — don't repeat this angle","Average — sharpen the hook and the title")))))))</f>
        <v/>
      </c>
      <c r="AE131" s="76" t="str">
        <f aca="false">IF(OR(A131="",N(E131)=0),"",Q131&amp;"-"&amp;(COUNTIFS($Q$5:$Q$204,Q131,$E$5:$E$204,"&gt;"&amp;E131)+COUNTIFS($Q$5:Q131,Q131,$E$5:E131,E131)))</f>
        <v/>
      </c>
      <c r="AF131" s="77" t="str">
        <f aca="false">IF(AND(Q131="Long",N(F131)&gt;=Benchmarks!$C$15,G131&lt;&gt;""),G131,"")</f>
        <v/>
      </c>
      <c r="AG131" s="78" t="str">
        <f aca="false">IF(Z131="Elite",4,IF(Z131="Strong",3,IF(Z131="Average",2,IF(Z131="Needs work",1,""))))</f>
        <v/>
      </c>
      <c r="AH131" s="78" t="str">
        <f aca="false">IF(AA131="Elite",4,IF(AA131="Strong",3,IF(AA131="Average",2,IF(AA131="Needs work",1,""))))</f>
        <v/>
      </c>
      <c r="AI131" s="78" t="str">
        <f aca="false">IF(AB131="Elite",4,IF(AB131="Strong",3,IF(AB131="Average",2,IF(AB131="Needs work",1,""))))</f>
        <v/>
      </c>
    </row>
    <row r="132" customFormat="false" ht="15" hidden="false" customHeight="false" outlineLevel="0" collapsed="false">
      <c r="A132" s="64"/>
      <c r="B132" s="65"/>
      <c r="C132" s="66"/>
      <c r="D132" s="67"/>
      <c r="E132" s="67"/>
      <c r="F132" s="67"/>
      <c r="G132" s="68"/>
      <c r="H132" s="69"/>
      <c r="I132" s="68"/>
      <c r="J132" s="70"/>
      <c r="K132" s="67"/>
      <c r="L132" s="67"/>
      <c r="M132" s="67"/>
      <c r="N132" s="67"/>
      <c r="O132" s="67"/>
      <c r="P132" s="71"/>
      <c r="Q132" s="72" t="str">
        <f aca="false">IF(A132="","",IF(C132&lt;&gt;"",C132,IF(AND(D132&lt;&gt;"",D132&lt;=180),"Short","Long")))</f>
        <v/>
      </c>
      <c r="R132" s="73" t="str">
        <f aca="false">IF(OR(A132="",D132=""),"",D132/60)</f>
        <v/>
      </c>
      <c r="S132" s="72" t="str">
        <f aca="false">IF(OR(A132="",B132=""),"",IF(AND(B132&gt;=DATE(2026,4,1),B132&lt;=DATE(2026,6,30)),"Yes","No"))</f>
        <v/>
      </c>
      <c r="T132" s="72" t="str">
        <f aca="false">IF(OR(A132="",B132=""),"",CHOOSE(WEEKDAY(B132),"Sun","Mon","Tue","Wed","Thu","Fri","Sat"))</f>
        <v/>
      </c>
      <c r="U132" s="72" t="str">
        <f aca="false">IF(OR(Q132&lt;&gt;"Long",D132=""),"",IF(D132&lt;480,"Under 8 min",IF(D132&lt;900,"8–15 min",IF(D132&lt;1500,"15–25 min","25+ min"))))</f>
        <v/>
      </c>
      <c r="V132" s="74" t="str">
        <f aca="false">IF(OR(A132="",N(E132)=0),"",(N(K132)+N(L132))/E132*100)</f>
        <v/>
      </c>
      <c r="W132" s="73" t="str">
        <f aca="false">IF(OR(A132="",N(E132)=0),"",N(L132)/E132*1000)</f>
        <v/>
      </c>
      <c r="X132" s="75" t="str">
        <f aca="false">IF(A132="","",N(N132)-N(O132))</f>
        <v/>
      </c>
      <c r="Y132" s="73" t="str">
        <f aca="false">IF(OR(A132="",N(E132)=0),"",X132/E132*1000)</f>
        <v/>
      </c>
      <c r="Z132" s="72" t="str">
        <f aca="false">IF(OR(A132="",G132=""),"",IF(Q132="Short","n/a (Short)",IF(G132&gt;=Benchmarks!$E$5,"Elite",IF(G132&gt;=Benchmarks!$D$5,"Strong",IF(G132&gt;=Benchmarks!$C$5,"Average","Needs work")))))</f>
        <v/>
      </c>
      <c r="AA132" s="72" t="str">
        <f aca="false">IF(OR(A132="",I132=""),"",IF(Q132="Short",IF(I132&gt;=Benchmarks!$E$7,"Elite",IF(I132&gt;=Benchmarks!$D$7,"Strong",IF(I132&gt;=Benchmarks!$C$7,"Average","Needs work"))),IF(I132&gt;=Benchmarks!$E$6,"Elite",IF(I132&gt;=Benchmarks!$D$6,"Strong",IF(I132&gt;=Benchmarks!$C$6,"Average","Needs work")))))</f>
        <v/>
      </c>
      <c r="AB132" s="72" t="str">
        <f aca="false">IF(V132="","",IF(V132&gt;=Benchmarks!$E$8,"Elite",IF(V132&gt;=Benchmarks!$D$8,"Strong",IF(V132&gt;=Benchmarks!$C$8,"Average","Needs work"))))</f>
        <v/>
      </c>
      <c r="AC132" s="73" t="str">
        <f aca="false">IF(COUNT(AG132:AI132)=0,"",AVERAGE(AG132:AI132))</f>
        <v/>
      </c>
      <c r="AD132" s="37" t="str">
        <f aca="false">IF(A132="","",IF(Q132="Short",IF(AH132="","Add % viewed to diagnose",IF(AND(AH132&gt;=3,N(AI132)&gt;=3),"Winner Short — expand it into a long-form video",IF(AH132&lt;=1,"Hook problem — viewers swipe away in the first seconds",IF(AI132=1,"Watched but no reaction — end on a question or opinion","Solid Short — keep iterating")))),IF(OR(AG132="",AH132=""),"Add CTR &amp; % viewed to diagnose",IF(AND(AG132&gt;=3,AH132&gt;=3),"WINNER — make a sequel, series or Shorts from it",IF(AND(AG132&gt;=3,AH132&lt;=2),"Click but leave — intro too slow or title over-promises",IF(AND(AG132&lt;=2,AH132&gt;=3),"Great video, weak packaging — A/B test title + thumbnail",IF(AND(AG132=1,AH132=1),"Topic miss — don't repeat this angle","Average — sharpen the hook and the title")))))))</f>
        <v/>
      </c>
      <c r="AE132" s="76" t="str">
        <f aca="false">IF(OR(A132="",N(E132)=0),"",Q132&amp;"-"&amp;(COUNTIFS($Q$5:$Q$204,Q132,$E$5:$E$204,"&gt;"&amp;E132)+COUNTIFS($Q$5:Q132,Q132,$E$5:E132,E132)))</f>
        <v/>
      </c>
      <c r="AF132" s="77" t="str">
        <f aca="false">IF(AND(Q132="Long",N(F132)&gt;=Benchmarks!$C$15,G132&lt;&gt;""),G132,"")</f>
        <v/>
      </c>
      <c r="AG132" s="78" t="str">
        <f aca="false">IF(Z132="Elite",4,IF(Z132="Strong",3,IF(Z132="Average",2,IF(Z132="Needs work",1,""))))</f>
        <v/>
      </c>
      <c r="AH132" s="78" t="str">
        <f aca="false">IF(AA132="Elite",4,IF(AA132="Strong",3,IF(AA132="Average",2,IF(AA132="Needs work",1,""))))</f>
        <v/>
      </c>
      <c r="AI132" s="78" t="str">
        <f aca="false">IF(AB132="Elite",4,IF(AB132="Strong",3,IF(AB132="Average",2,IF(AB132="Needs work",1,""))))</f>
        <v/>
      </c>
    </row>
    <row r="133" customFormat="false" ht="15" hidden="false" customHeight="false" outlineLevel="0" collapsed="false">
      <c r="A133" s="64"/>
      <c r="B133" s="65"/>
      <c r="C133" s="66"/>
      <c r="D133" s="67"/>
      <c r="E133" s="67"/>
      <c r="F133" s="67"/>
      <c r="G133" s="68"/>
      <c r="H133" s="69"/>
      <c r="I133" s="68"/>
      <c r="J133" s="70"/>
      <c r="K133" s="67"/>
      <c r="L133" s="67"/>
      <c r="M133" s="67"/>
      <c r="N133" s="67"/>
      <c r="O133" s="67"/>
      <c r="P133" s="71"/>
      <c r="Q133" s="72" t="str">
        <f aca="false">IF(A133="","",IF(C133&lt;&gt;"",C133,IF(AND(D133&lt;&gt;"",D133&lt;=180),"Short","Long")))</f>
        <v/>
      </c>
      <c r="R133" s="73" t="str">
        <f aca="false">IF(OR(A133="",D133=""),"",D133/60)</f>
        <v/>
      </c>
      <c r="S133" s="72" t="str">
        <f aca="false">IF(OR(A133="",B133=""),"",IF(AND(B133&gt;=DATE(2026,4,1),B133&lt;=DATE(2026,6,30)),"Yes","No"))</f>
        <v/>
      </c>
      <c r="T133" s="72" t="str">
        <f aca="false">IF(OR(A133="",B133=""),"",CHOOSE(WEEKDAY(B133),"Sun","Mon","Tue","Wed","Thu","Fri","Sat"))</f>
        <v/>
      </c>
      <c r="U133" s="72" t="str">
        <f aca="false">IF(OR(Q133&lt;&gt;"Long",D133=""),"",IF(D133&lt;480,"Under 8 min",IF(D133&lt;900,"8–15 min",IF(D133&lt;1500,"15–25 min","25+ min"))))</f>
        <v/>
      </c>
      <c r="V133" s="74" t="str">
        <f aca="false">IF(OR(A133="",N(E133)=0),"",(N(K133)+N(L133))/E133*100)</f>
        <v/>
      </c>
      <c r="W133" s="73" t="str">
        <f aca="false">IF(OR(A133="",N(E133)=0),"",N(L133)/E133*1000)</f>
        <v/>
      </c>
      <c r="X133" s="75" t="str">
        <f aca="false">IF(A133="","",N(N133)-N(O133))</f>
        <v/>
      </c>
      <c r="Y133" s="73" t="str">
        <f aca="false">IF(OR(A133="",N(E133)=0),"",X133/E133*1000)</f>
        <v/>
      </c>
      <c r="Z133" s="72" t="str">
        <f aca="false">IF(OR(A133="",G133=""),"",IF(Q133="Short","n/a (Short)",IF(G133&gt;=Benchmarks!$E$5,"Elite",IF(G133&gt;=Benchmarks!$D$5,"Strong",IF(G133&gt;=Benchmarks!$C$5,"Average","Needs work")))))</f>
        <v/>
      </c>
      <c r="AA133" s="72" t="str">
        <f aca="false">IF(OR(A133="",I133=""),"",IF(Q133="Short",IF(I133&gt;=Benchmarks!$E$7,"Elite",IF(I133&gt;=Benchmarks!$D$7,"Strong",IF(I133&gt;=Benchmarks!$C$7,"Average","Needs work"))),IF(I133&gt;=Benchmarks!$E$6,"Elite",IF(I133&gt;=Benchmarks!$D$6,"Strong",IF(I133&gt;=Benchmarks!$C$6,"Average","Needs work")))))</f>
        <v/>
      </c>
      <c r="AB133" s="72" t="str">
        <f aca="false">IF(V133="","",IF(V133&gt;=Benchmarks!$E$8,"Elite",IF(V133&gt;=Benchmarks!$D$8,"Strong",IF(V133&gt;=Benchmarks!$C$8,"Average","Needs work"))))</f>
        <v/>
      </c>
      <c r="AC133" s="73" t="str">
        <f aca="false">IF(COUNT(AG133:AI133)=0,"",AVERAGE(AG133:AI133))</f>
        <v/>
      </c>
      <c r="AD133" s="37" t="str">
        <f aca="false">IF(A133="","",IF(Q133="Short",IF(AH133="","Add % viewed to diagnose",IF(AND(AH133&gt;=3,N(AI133)&gt;=3),"Winner Short — expand it into a long-form video",IF(AH133&lt;=1,"Hook problem — viewers swipe away in the first seconds",IF(AI133=1,"Watched but no reaction — end on a question or opinion","Solid Short — keep iterating")))),IF(OR(AG133="",AH133=""),"Add CTR &amp; % viewed to diagnose",IF(AND(AG133&gt;=3,AH133&gt;=3),"WINNER — make a sequel, series or Shorts from it",IF(AND(AG133&gt;=3,AH133&lt;=2),"Click but leave — intro too slow or title over-promises",IF(AND(AG133&lt;=2,AH133&gt;=3),"Great video, weak packaging — A/B test title + thumbnail",IF(AND(AG133=1,AH133=1),"Topic miss — don't repeat this angle","Average — sharpen the hook and the title")))))))</f>
        <v/>
      </c>
      <c r="AE133" s="76" t="str">
        <f aca="false">IF(OR(A133="",N(E133)=0),"",Q133&amp;"-"&amp;(COUNTIFS($Q$5:$Q$204,Q133,$E$5:$E$204,"&gt;"&amp;E133)+COUNTIFS($Q$5:Q133,Q133,$E$5:E133,E133)))</f>
        <v/>
      </c>
      <c r="AF133" s="77" t="str">
        <f aca="false">IF(AND(Q133="Long",N(F133)&gt;=Benchmarks!$C$15,G133&lt;&gt;""),G133,"")</f>
        <v/>
      </c>
      <c r="AG133" s="78" t="str">
        <f aca="false">IF(Z133="Elite",4,IF(Z133="Strong",3,IF(Z133="Average",2,IF(Z133="Needs work",1,""))))</f>
        <v/>
      </c>
      <c r="AH133" s="78" t="str">
        <f aca="false">IF(AA133="Elite",4,IF(AA133="Strong",3,IF(AA133="Average",2,IF(AA133="Needs work",1,""))))</f>
        <v/>
      </c>
      <c r="AI133" s="78" t="str">
        <f aca="false">IF(AB133="Elite",4,IF(AB133="Strong",3,IF(AB133="Average",2,IF(AB133="Needs work",1,""))))</f>
        <v/>
      </c>
    </row>
    <row r="134" customFormat="false" ht="15" hidden="false" customHeight="false" outlineLevel="0" collapsed="false">
      <c r="A134" s="64"/>
      <c r="B134" s="65"/>
      <c r="C134" s="66"/>
      <c r="D134" s="67"/>
      <c r="E134" s="67"/>
      <c r="F134" s="67"/>
      <c r="G134" s="68"/>
      <c r="H134" s="69"/>
      <c r="I134" s="68"/>
      <c r="J134" s="70"/>
      <c r="K134" s="67"/>
      <c r="L134" s="67"/>
      <c r="M134" s="67"/>
      <c r="N134" s="67"/>
      <c r="O134" s="67"/>
      <c r="P134" s="71"/>
      <c r="Q134" s="72" t="str">
        <f aca="false">IF(A134="","",IF(C134&lt;&gt;"",C134,IF(AND(D134&lt;&gt;"",D134&lt;=180),"Short","Long")))</f>
        <v/>
      </c>
      <c r="R134" s="73" t="str">
        <f aca="false">IF(OR(A134="",D134=""),"",D134/60)</f>
        <v/>
      </c>
      <c r="S134" s="72" t="str">
        <f aca="false">IF(OR(A134="",B134=""),"",IF(AND(B134&gt;=DATE(2026,4,1),B134&lt;=DATE(2026,6,30)),"Yes","No"))</f>
        <v/>
      </c>
      <c r="T134" s="72" t="str">
        <f aca="false">IF(OR(A134="",B134=""),"",CHOOSE(WEEKDAY(B134),"Sun","Mon","Tue","Wed","Thu","Fri","Sat"))</f>
        <v/>
      </c>
      <c r="U134" s="72" t="str">
        <f aca="false">IF(OR(Q134&lt;&gt;"Long",D134=""),"",IF(D134&lt;480,"Under 8 min",IF(D134&lt;900,"8–15 min",IF(D134&lt;1500,"15–25 min","25+ min"))))</f>
        <v/>
      </c>
      <c r="V134" s="74" t="str">
        <f aca="false">IF(OR(A134="",N(E134)=0),"",(N(K134)+N(L134))/E134*100)</f>
        <v/>
      </c>
      <c r="W134" s="73" t="str">
        <f aca="false">IF(OR(A134="",N(E134)=0),"",N(L134)/E134*1000)</f>
        <v/>
      </c>
      <c r="X134" s="75" t="str">
        <f aca="false">IF(A134="","",N(N134)-N(O134))</f>
        <v/>
      </c>
      <c r="Y134" s="73" t="str">
        <f aca="false">IF(OR(A134="",N(E134)=0),"",X134/E134*1000)</f>
        <v/>
      </c>
      <c r="Z134" s="72" t="str">
        <f aca="false">IF(OR(A134="",G134=""),"",IF(Q134="Short","n/a (Short)",IF(G134&gt;=Benchmarks!$E$5,"Elite",IF(G134&gt;=Benchmarks!$D$5,"Strong",IF(G134&gt;=Benchmarks!$C$5,"Average","Needs work")))))</f>
        <v/>
      </c>
      <c r="AA134" s="72" t="str">
        <f aca="false">IF(OR(A134="",I134=""),"",IF(Q134="Short",IF(I134&gt;=Benchmarks!$E$7,"Elite",IF(I134&gt;=Benchmarks!$D$7,"Strong",IF(I134&gt;=Benchmarks!$C$7,"Average","Needs work"))),IF(I134&gt;=Benchmarks!$E$6,"Elite",IF(I134&gt;=Benchmarks!$D$6,"Strong",IF(I134&gt;=Benchmarks!$C$6,"Average","Needs work")))))</f>
        <v/>
      </c>
      <c r="AB134" s="72" t="str">
        <f aca="false">IF(V134="","",IF(V134&gt;=Benchmarks!$E$8,"Elite",IF(V134&gt;=Benchmarks!$D$8,"Strong",IF(V134&gt;=Benchmarks!$C$8,"Average","Needs work"))))</f>
        <v/>
      </c>
      <c r="AC134" s="73" t="str">
        <f aca="false">IF(COUNT(AG134:AI134)=0,"",AVERAGE(AG134:AI134))</f>
        <v/>
      </c>
      <c r="AD134" s="37" t="str">
        <f aca="false">IF(A134="","",IF(Q134="Short",IF(AH134="","Add % viewed to diagnose",IF(AND(AH134&gt;=3,N(AI134)&gt;=3),"Winner Short — expand it into a long-form video",IF(AH134&lt;=1,"Hook problem — viewers swipe away in the first seconds",IF(AI134=1,"Watched but no reaction — end on a question or opinion","Solid Short — keep iterating")))),IF(OR(AG134="",AH134=""),"Add CTR &amp; % viewed to diagnose",IF(AND(AG134&gt;=3,AH134&gt;=3),"WINNER — make a sequel, series or Shorts from it",IF(AND(AG134&gt;=3,AH134&lt;=2),"Click but leave — intro too slow or title over-promises",IF(AND(AG134&lt;=2,AH134&gt;=3),"Great video, weak packaging — A/B test title + thumbnail",IF(AND(AG134=1,AH134=1),"Topic miss — don't repeat this angle","Average — sharpen the hook and the title")))))))</f>
        <v/>
      </c>
      <c r="AE134" s="76" t="str">
        <f aca="false">IF(OR(A134="",N(E134)=0),"",Q134&amp;"-"&amp;(COUNTIFS($Q$5:$Q$204,Q134,$E$5:$E$204,"&gt;"&amp;E134)+COUNTIFS($Q$5:Q134,Q134,$E$5:E134,E134)))</f>
        <v/>
      </c>
      <c r="AF134" s="77" t="str">
        <f aca="false">IF(AND(Q134="Long",N(F134)&gt;=Benchmarks!$C$15,G134&lt;&gt;""),G134,"")</f>
        <v/>
      </c>
      <c r="AG134" s="78" t="str">
        <f aca="false">IF(Z134="Elite",4,IF(Z134="Strong",3,IF(Z134="Average",2,IF(Z134="Needs work",1,""))))</f>
        <v/>
      </c>
      <c r="AH134" s="78" t="str">
        <f aca="false">IF(AA134="Elite",4,IF(AA134="Strong",3,IF(AA134="Average",2,IF(AA134="Needs work",1,""))))</f>
        <v/>
      </c>
      <c r="AI134" s="78" t="str">
        <f aca="false">IF(AB134="Elite",4,IF(AB134="Strong",3,IF(AB134="Average",2,IF(AB134="Needs work",1,""))))</f>
        <v/>
      </c>
    </row>
    <row r="135" customFormat="false" ht="15" hidden="false" customHeight="false" outlineLevel="0" collapsed="false">
      <c r="A135" s="64"/>
      <c r="B135" s="65"/>
      <c r="C135" s="66"/>
      <c r="D135" s="67"/>
      <c r="E135" s="67"/>
      <c r="F135" s="67"/>
      <c r="G135" s="68"/>
      <c r="H135" s="69"/>
      <c r="I135" s="68"/>
      <c r="J135" s="70"/>
      <c r="K135" s="67"/>
      <c r="L135" s="67"/>
      <c r="M135" s="67"/>
      <c r="N135" s="67"/>
      <c r="O135" s="67"/>
      <c r="P135" s="71"/>
      <c r="Q135" s="72" t="str">
        <f aca="false">IF(A135="","",IF(C135&lt;&gt;"",C135,IF(AND(D135&lt;&gt;"",D135&lt;=180),"Short","Long")))</f>
        <v/>
      </c>
      <c r="R135" s="73" t="str">
        <f aca="false">IF(OR(A135="",D135=""),"",D135/60)</f>
        <v/>
      </c>
      <c r="S135" s="72" t="str">
        <f aca="false">IF(OR(A135="",B135=""),"",IF(AND(B135&gt;=DATE(2026,4,1),B135&lt;=DATE(2026,6,30)),"Yes","No"))</f>
        <v/>
      </c>
      <c r="T135" s="72" t="str">
        <f aca="false">IF(OR(A135="",B135=""),"",CHOOSE(WEEKDAY(B135),"Sun","Mon","Tue","Wed","Thu","Fri","Sat"))</f>
        <v/>
      </c>
      <c r="U135" s="72" t="str">
        <f aca="false">IF(OR(Q135&lt;&gt;"Long",D135=""),"",IF(D135&lt;480,"Under 8 min",IF(D135&lt;900,"8–15 min",IF(D135&lt;1500,"15–25 min","25+ min"))))</f>
        <v/>
      </c>
      <c r="V135" s="74" t="str">
        <f aca="false">IF(OR(A135="",N(E135)=0),"",(N(K135)+N(L135))/E135*100)</f>
        <v/>
      </c>
      <c r="W135" s="73" t="str">
        <f aca="false">IF(OR(A135="",N(E135)=0),"",N(L135)/E135*1000)</f>
        <v/>
      </c>
      <c r="X135" s="75" t="str">
        <f aca="false">IF(A135="","",N(N135)-N(O135))</f>
        <v/>
      </c>
      <c r="Y135" s="73" t="str">
        <f aca="false">IF(OR(A135="",N(E135)=0),"",X135/E135*1000)</f>
        <v/>
      </c>
      <c r="Z135" s="72" t="str">
        <f aca="false">IF(OR(A135="",G135=""),"",IF(Q135="Short","n/a (Short)",IF(G135&gt;=Benchmarks!$E$5,"Elite",IF(G135&gt;=Benchmarks!$D$5,"Strong",IF(G135&gt;=Benchmarks!$C$5,"Average","Needs work")))))</f>
        <v/>
      </c>
      <c r="AA135" s="72" t="str">
        <f aca="false">IF(OR(A135="",I135=""),"",IF(Q135="Short",IF(I135&gt;=Benchmarks!$E$7,"Elite",IF(I135&gt;=Benchmarks!$D$7,"Strong",IF(I135&gt;=Benchmarks!$C$7,"Average","Needs work"))),IF(I135&gt;=Benchmarks!$E$6,"Elite",IF(I135&gt;=Benchmarks!$D$6,"Strong",IF(I135&gt;=Benchmarks!$C$6,"Average","Needs work")))))</f>
        <v/>
      </c>
      <c r="AB135" s="72" t="str">
        <f aca="false">IF(V135="","",IF(V135&gt;=Benchmarks!$E$8,"Elite",IF(V135&gt;=Benchmarks!$D$8,"Strong",IF(V135&gt;=Benchmarks!$C$8,"Average","Needs work"))))</f>
        <v/>
      </c>
      <c r="AC135" s="73" t="str">
        <f aca="false">IF(COUNT(AG135:AI135)=0,"",AVERAGE(AG135:AI135))</f>
        <v/>
      </c>
      <c r="AD135" s="37" t="str">
        <f aca="false">IF(A135="","",IF(Q135="Short",IF(AH135="","Add % viewed to diagnose",IF(AND(AH135&gt;=3,N(AI135)&gt;=3),"Winner Short — expand it into a long-form video",IF(AH135&lt;=1,"Hook problem — viewers swipe away in the first seconds",IF(AI135=1,"Watched but no reaction — end on a question or opinion","Solid Short — keep iterating")))),IF(OR(AG135="",AH135=""),"Add CTR &amp; % viewed to diagnose",IF(AND(AG135&gt;=3,AH135&gt;=3),"WINNER — make a sequel, series or Shorts from it",IF(AND(AG135&gt;=3,AH135&lt;=2),"Click but leave — intro too slow or title over-promises",IF(AND(AG135&lt;=2,AH135&gt;=3),"Great video, weak packaging — A/B test title + thumbnail",IF(AND(AG135=1,AH135=1),"Topic miss — don't repeat this angle","Average — sharpen the hook and the title")))))))</f>
        <v/>
      </c>
      <c r="AE135" s="76" t="str">
        <f aca="false">IF(OR(A135="",N(E135)=0),"",Q135&amp;"-"&amp;(COUNTIFS($Q$5:$Q$204,Q135,$E$5:$E$204,"&gt;"&amp;E135)+COUNTIFS($Q$5:Q135,Q135,$E$5:E135,E135)))</f>
        <v/>
      </c>
      <c r="AF135" s="77" t="str">
        <f aca="false">IF(AND(Q135="Long",N(F135)&gt;=Benchmarks!$C$15,G135&lt;&gt;""),G135,"")</f>
        <v/>
      </c>
      <c r="AG135" s="78" t="str">
        <f aca="false">IF(Z135="Elite",4,IF(Z135="Strong",3,IF(Z135="Average",2,IF(Z135="Needs work",1,""))))</f>
        <v/>
      </c>
      <c r="AH135" s="78" t="str">
        <f aca="false">IF(AA135="Elite",4,IF(AA135="Strong",3,IF(AA135="Average",2,IF(AA135="Needs work",1,""))))</f>
        <v/>
      </c>
      <c r="AI135" s="78" t="str">
        <f aca="false">IF(AB135="Elite",4,IF(AB135="Strong",3,IF(AB135="Average",2,IF(AB135="Needs work",1,""))))</f>
        <v/>
      </c>
    </row>
    <row r="136" customFormat="false" ht="15" hidden="false" customHeight="false" outlineLevel="0" collapsed="false">
      <c r="A136" s="64"/>
      <c r="B136" s="65"/>
      <c r="C136" s="66"/>
      <c r="D136" s="67"/>
      <c r="E136" s="67"/>
      <c r="F136" s="67"/>
      <c r="G136" s="68"/>
      <c r="H136" s="69"/>
      <c r="I136" s="68"/>
      <c r="J136" s="70"/>
      <c r="K136" s="67"/>
      <c r="L136" s="67"/>
      <c r="M136" s="67"/>
      <c r="N136" s="67"/>
      <c r="O136" s="67"/>
      <c r="P136" s="71"/>
      <c r="Q136" s="72" t="str">
        <f aca="false">IF(A136="","",IF(C136&lt;&gt;"",C136,IF(AND(D136&lt;&gt;"",D136&lt;=180),"Short","Long")))</f>
        <v/>
      </c>
      <c r="R136" s="73" t="str">
        <f aca="false">IF(OR(A136="",D136=""),"",D136/60)</f>
        <v/>
      </c>
      <c r="S136" s="72" t="str">
        <f aca="false">IF(OR(A136="",B136=""),"",IF(AND(B136&gt;=DATE(2026,4,1),B136&lt;=DATE(2026,6,30)),"Yes","No"))</f>
        <v/>
      </c>
      <c r="T136" s="72" t="str">
        <f aca="false">IF(OR(A136="",B136=""),"",CHOOSE(WEEKDAY(B136),"Sun","Mon","Tue","Wed","Thu","Fri","Sat"))</f>
        <v/>
      </c>
      <c r="U136" s="72" t="str">
        <f aca="false">IF(OR(Q136&lt;&gt;"Long",D136=""),"",IF(D136&lt;480,"Under 8 min",IF(D136&lt;900,"8–15 min",IF(D136&lt;1500,"15–25 min","25+ min"))))</f>
        <v/>
      </c>
      <c r="V136" s="74" t="str">
        <f aca="false">IF(OR(A136="",N(E136)=0),"",(N(K136)+N(L136))/E136*100)</f>
        <v/>
      </c>
      <c r="W136" s="73" t="str">
        <f aca="false">IF(OR(A136="",N(E136)=0),"",N(L136)/E136*1000)</f>
        <v/>
      </c>
      <c r="X136" s="75" t="str">
        <f aca="false">IF(A136="","",N(N136)-N(O136))</f>
        <v/>
      </c>
      <c r="Y136" s="73" t="str">
        <f aca="false">IF(OR(A136="",N(E136)=0),"",X136/E136*1000)</f>
        <v/>
      </c>
      <c r="Z136" s="72" t="str">
        <f aca="false">IF(OR(A136="",G136=""),"",IF(Q136="Short","n/a (Short)",IF(G136&gt;=Benchmarks!$E$5,"Elite",IF(G136&gt;=Benchmarks!$D$5,"Strong",IF(G136&gt;=Benchmarks!$C$5,"Average","Needs work")))))</f>
        <v/>
      </c>
      <c r="AA136" s="72" t="str">
        <f aca="false">IF(OR(A136="",I136=""),"",IF(Q136="Short",IF(I136&gt;=Benchmarks!$E$7,"Elite",IF(I136&gt;=Benchmarks!$D$7,"Strong",IF(I136&gt;=Benchmarks!$C$7,"Average","Needs work"))),IF(I136&gt;=Benchmarks!$E$6,"Elite",IF(I136&gt;=Benchmarks!$D$6,"Strong",IF(I136&gt;=Benchmarks!$C$6,"Average","Needs work")))))</f>
        <v/>
      </c>
      <c r="AB136" s="72" t="str">
        <f aca="false">IF(V136="","",IF(V136&gt;=Benchmarks!$E$8,"Elite",IF(V136&gt;=Benchmarks!$D$8,"Strong",IF(V136&gt;=Benchmarks!$C$8,"Average","Needs work"))))</f>
        <v/>
      </c>
      <c r="AC136" s="73" t="str">
        <f aca="false">IF(COUNT(AG136:AI136)=0,"",AVERAGE(AG136:AI136))</f>
        <v/>
      </c>
      <c r="AD136" s="37" t="str">
        <f aca="false">IF(A136="","",IF(Q136="Short",IF(AH136="","Add % viewed to diagnose",IF(AND(AH136&gt;=3,N(AI136)&gt;=3),"Winner Short — expand it into a long-form video",IF(AH136&lt;=1,"Hook problem — viewers swipe away in the first seconds",IF(AI136=1,"Watched but no reaction — end on a question or opinion","Solid Short — keep iterating")))),IF(OR(AG136="",AH136=""),"Add CTR &amp; % viewed to diagnose",IF(AND(AG136&gt;=3,AH136&gt;=3),"WINNER — make a sequel, series or Shorts from it",IF(AND(AG136&gt;=3,AH136&lt;=2),"Click but leave — intro too slow or title over-promises",IF(AND(AG136&lt;=2,AH136&gt;=3),"Great video, weak packaging — A/B test title + thumbnail",IF(AND(AG136=1,AH136=1),"Topic miss — don't repeat this angle","Average — sharpen the hook and the title")))))))</f>
        <v/>
      </c>
      <c r="AE136" s="76" t="str">
        <f aca="false">IF(OR(A136="",N(E136)=0),"",Q136&amp;"-"&amp;(COUNTIFS($Q$5:$Q$204,Q136,$E$5:$E$204,"&gt;"&amp;E136)+COUNTIFS($Q$5:Q136,Q136,$E$5:E136,E136)))</f>
        <v/>
      </c>
      <c r="AF136" s="77" t="str">
        <f aca="false">IF(AND(Q136="Long",N(F136)&gt;=Benchmarks!$C$15,G136&lt;&gt;""),G136,"")</f>
        <v/>
      </c>
      <c r="AG136" s="78" t="str">
        <f aca="false">IF(Z136="Elite",4,IF(Z136="Strong",3,IF(Z136="Average",2,IF(Z136="Needs work",1,""))))</f>
        <v/>
      </c>
      <c r="AH136" s="78" t="str">
        <f aca="false">IF(AA136="Elite",4,IF(AA136="Strong",3,IF(AA136="Average",2,IF(AA136="Needs work",1,""))))</f>
        <v/>
      </c>
      <c r="AI136" s="78" t="str">
        <f aca="false">IF(AB136="Elite",4,IF(AB136="Strong",3,IF(AB136="Average",2,IF(AB136="Needs work",1,""))))</f>
        <v/>
      </c>
    </row>
    <row r="137" customFormat="false" ht="15" hidden="false" customHeight="false" outlineLevel="0" collapsed="false">
      <c r="A137" s="64"/>
      <c r="B137" s="65"/>
      <c r="C137" s="66"/>
      <c r="D137" s="67"/>
      <c r="E137" s="67"/>
      <c r="F137" s="67"/>
      <c r="G137" s="68"/>
      <c r="H137" s="69"/>
      <c r="I137" s="68"/>
      <c r="J137" s="70"/>
      <c r="K137" s="67"/>
      <c r="L137" s="67"/>
      <c r="M137" s="67"/>
      <c r="N137" s="67"/>
      <c r="O137" s="67"/>
      <c r="P137" s="71"/>
      <c r="Q137" s="72" t="str">
        <f aca="false">IF(A137="","",IF(C137&lt;&gt;"",C137,IF(AND(D137&lt;&gt;"",D137&lt;=180),"Short","Long")))</f>
        <v/>
      </c>
      <c r="R137" s="73" t="str">
        <f aca="false">IF(OR(A137="",D137=""),"",D137/60)</f>
        <v/>
      </c>
      <c r="S137" s="72" t="str">
        <f aca="false">IF(OR(A137="",B137=""),"",IF(AND(B137&gt;=DATE(2026,4,1),B137&lt;=DATE(2026,6,30)),"Yes","No"))</f>
        <v/>
      </c>
      <c r="T137" s="72" t="str">
        <f aca="false">IF(OR(A137="",B137=""),"",CHOOSE(WEEKDAY(B137),"Sun","Mon","Tue","Wed","Thu","Fri","Sat"))</f>
        <v/>
      </c>
      <c r="U137" s="72" t="str">
        <f aca="false">IF(OR(Q137&lt;&gt;"Long",D137=""),"",IF(D137&lt;480,"Under 8 min",IF(D137&lt;900,"8–15 min",IF(D137&lt;1500,"15–25 min","25+ min"))))</f>
        <v/>
      </c>
      <c r="V137" s="74" t="str">
        <f aca="false">IF(OR(A137="",N(E137)=0),"",(N(K137)+N(L137))/E137*100)</f>
        <v/>
      </c>
      <c r="W137" s="73" t="str">
        <f aca="false">IF(OR(A137="",N(E137)=0),"",N(L137)/E137*1000)</f>
        <v/>
      </c>
      <c r="X137" s="75" t="str">
        <f aca="false">IF(A137="","",N(N137)-N(O137))</f>
        <v/>
      </c>
      <c r="Y137" s="73" t="str">
        <f aca="false">IF(OR(A137="",N(E137)=0),"",X137/E137*1000)</f>
        <v/>
      </c>
      <c r="Z137" s="72" t="str">
        <f aca="false">IF(OR(A137="",G137=""),"",IF(Q137="Short","n/a (Short)",IF(G137&gt;=Benchmarks!$E$5,"Elite",IF(G137&gt;=Benchmarks!$D$5,"Strong",IF(G137&gt;=Benchmarks!$C$5,"Average","Needs work")))))</f>
        <v/>
      </c>
      <c r="AA137" s="72" t="str">
        <f aca="false">IF(OR(A137="",I137=""),"",IF(Q137="Short",IF(I137&gt;=Benchmarks!$E$7,"Elite",IF(I137&gt;=Benchmarks!$D$7,"Strong",IF(I137&gt;=Benchmarks!$C$7,"Average","Needs work"))),IF(I137&gt;=Benchmarks!$E$6,"Elite",IF(I137&gt;=Benchmarks!$D$6,"Strong",IF(I137&gt;=Benchmarks!$C$6,"Average","Needs work")))))</f>
        <v/>
      </c>
      <c r="AB137" s="72" t="str">
        <f aca="false">IF(V137="","",IF(V137&gt;=Benchmarks!$E$8,"Elite",IF(V137&gt;=Benchmarks!$D$8,"Strong",IF(V137&gt;=Benchmarks!$C$8,"Average","Needs work"))))</f>
        <v/>
      </c>
      <c r="AC137" s="73" t="str">
        <f aca="false">IF(COUNT(AG137:AI137)=0,"",AVERAGE(AG137:AI137))</f>
        <v/>
      </c>
      <c r="AD137" s="37" t="str">
        <f aca="false">IF(A137="","",IF(Q137="Short",IF(AH137="","Add % viewed to diagnose",IF(AND(AH137&gt;=3,N(AI137)&gt;=3),"Winner Short — expand it into a long-form video",IF(AH137&lt;=1,"Hook problem — viewers swipe away in the first seconds",IF(AI137=1,"Watched but no reaction — end on a question or opinion","Solid Short — keep iterating")))),IF(OR(AG137="",AH137=""),"Add CTR &amp; % viewed to diagnose",IF(AND(AG137&gt;=3,AH137&gt;=3),"WINNER — make a sequel, series or Shorts from it",IF(AND(AG137&gt;=3,AH137&lt;=2),"Click but leave — intro too slow or title over-promises",IF(AND(AG137&lt;=2,AH137&gt;=3),"Great video, weak packaging — A/B test title + thumbnail",IF(AND(AG137=1,AH137=1),"Topic miss — don't repeat this angle","Average — sharpen the hook and the title")))))))</f>
        <v/>
      </c>
      <c r="AE137" s="76" t="str">
        <f aca="false">IF(OR(A137="",N(E137)=0),"",Q137&amp;"-"&amp;(COUNTIFS($Q$5:$Q$204,Q137,$E$5:$E$204,"&gt;"&amp;E137)+COUNTIFS($Q$5:Q137,Q137,$E$5:E137,E137)))</f>
        <v/>
      </c>
      <c r="AF137" s="77" t="str">
        <f aca="false">IF(AND(Q137="Long",N(F137)&gt;=Benchmarks!$C$15,G137&lt;&gt;""),G137,"")</f>
        <v/>
      </c>
      <c r="AG137" s="78" t="str">
        <f aca="false">IF(Z137="Elite",4,IF(Z137="Strong",3,IF(Z137="Average",2,IF(Z137="Needs work",1,""))))</f>
        <v/>
      </c>
      <c r="AH137" s="78" t="str">
        <f aca="false">IF(AA137="Elite",4,IF(AA137="Strong",3,IF(AA137="Average",2,IF(AA137="Needs work",1,""))))</f>
        <v/>
      </c>
      <c r="AI137" s="78" t="str">
        <f aca="false">IF(AB137="Elite",4,IF(AB137="Strong",3,IF(AB137="Average",2,IF(AB137="Needs work",1,""))))</f>
        <v/>
      </c>
    </row>
    <row r="138" customFormat="false" ht="15" hidden="false" customHeight="false" outlineLevel="0" collapsed="false">
      <c r="A138" s="64"/>
      <c r="B138" s="65"/>
      <c r="C138" s="66"/>
      <c r="D138" s="67"/>
      <c r="E138" s="67"/>
      <c r="F138" s="67"/>
      <c r="G138" s="68"/>
      <c r="H138" s="69"/>
      <c r="I138" s="68"/>
      <c r="J138" s="70"/>
      <c r="K138" s="67"/>
      <c r="L138" s="67"/>
      <c r="M138" s="67"/>
      <c r="N138" s="67"/>
      <c r="O138" s="67"/>
      <c r="P138" s="71"/>
      <c r="Q138" s="72" t="str">
        <f aca="false">IF(A138="","",IF(C138&lt;&gt;"",C138,IF(AND(D138&lt;&gt;"",D138&lt;=180),"Short","Long")))</f>
        <v/>
      </c>
      <c r="R138" s="73" t="str">
        <f aca="false">IF(OR(A138="",D138=""),"",D138/60)</f>
        <v/>
      </c>
      <c r="S138" s="72" t="str">
        <f aca="false">IF(OR(A138="",B138=""),"",IF(AND(B138&gt;=DATE(2026,4,1),B138&lt;=DATE(2026,6,30)),"Yes","No"))</f>
        <v/>
      </c>
      <c r="T138" s="72" t="str">
        <f aca="false">IF(OR(A138="",B138=""),"",CHOOSE(WEEKDAY(B138),"Sun","Mon","Tue","Wed","Thu","Fri","Sat"))</f>
        <v/>
      </c>
      <c r="U138" s="72" t="str">
        <f aca="false">IF(OR(Q138&lt;&gt;"Long",D138=""),"",IF(D138&lt;480,"Under 8 min",IF(D138&lt;900,"8–15 min",IF(D138&lt;1500,"15–25 min","25+ min"))))</f>
        <v/>
      </c>
      <c r="V138" s="74" t="str">
        <f aca="false">IF(OR(A138="",N(E138)=0),"",(N(K138)+N(L138))/E138*100)</f>
        <v/>
      </c>
      <c r="W138" s="73" t="str">
        <f aca="false">IF(OR(A138="",N(E138)=0),"",N(L138)/E138*1000)</f>
        <v/>
      </c>
      <c r="X138" s="75" t="str">
        <f aca="false">IF(A138="","",N(N138)-N(O138))</f>
        <v/>
      </c>
      <c r="Y138" s="73" t="str">
        <f aca="false">IF(OR(A138="",N(E138)=0),"",X138/E138*1000)</f>
        <v/>
      </c>
      <c r="Z138" s="72" t="str">
        <f aca="false">IF(OR(A138="",G138=""),"",IF(Q138="Short","n/a (Short)",IF(G138&gt;=Benchmarks!$E$5,"Elite",IF(G138&gt;=Benchmarks!$D$5,"Strong",IF(G138&gt;=Benchmarks!$C$5,"Average","Needs work")))))</f>
        <v/>
      </c>
      <c r="AA138" s="72" t="str">
        <f aca="false">IF(OR(A138="",I138=""),"",IF(Q138="Short",IF(I138&gt;=Benchmarks!$E$7,"Elite",IF(I138&gt;=Benchmarks!$D$7,"Strong",IF(I138&gt;=Benchmarks!$C$7,"Average","Needs work"))),IF(I138&gt;=Benchmarks!$E$6,"Elite",IF(I138&gt;=Benchmarks!$D$6,"Strong",IF(I138&gt;=Benchmarks!$C$6,"Average","Needs work")))))</f>
        <v/>
      </c>
      <c r="AB138" s="72" t="str">
        <f aca="false">IF(V138="","",IF(V138&gt;=Benchmarks!$E$8,"Elite",IF(V138&gt;=Benchmarks!$D$8,"Strong",IF(V138&gt;=Benchmarks!$C$8,"Average","Needs work"))))</f>
        <v/>
      </c>
      <c r="AC138" s="73" t="str">
        <f aca="false">IF(COUNT(AG138:AI138)=0,"",AVERAGE(AG138:AI138))</f>
        <v/>
      </c>
      <c r="AD138" s="37" t="str">
        <f aca="false">IF(A138="","",IF(Q138="Short",IF(AH138="","Add % viewed to diagnose",IF(AND(AH138&gt;=3,N(AI138)&gt;=3),"Winner Short — expand it into a long-form video",IF(AH138&lt;=1,"Hook problem — viewers swipe away in the first seconds",IF(AI138=1,"Watched but no reaction — end on a question or opinion","Solid Short — keep iterating")))),IF(OR(AG138="",AH138=""),"Add CTR &amp; % viewed to diagnose",IF(AND(AG138&gt;=3,AH138&gt;=3),"WINNER — make a sequel, series or Shorts from it",IF(AND(AG138&gt;=3,AH138&lt;=2),"Click but leave — intro too slow or title over-promises",IF(AND(AG138&lt;=2,AH138&gt;=3),"Great video, weak packaging — A/B test title + thumbnail",IF(AND(AG138=1,AH138=1),"Topic miss — don't repeat this angle","Average — sharpen the hook and the title")))))))</f>
        <v/>
      </c>
      <c r="AE138" s="76" t="str">
        <f aca="false">IF(OR(A138="",N(E138)=0),"",Q138&amp;"-"&amp;(COUNTIFS($Q$5:$Q$204,Q138,$E$5:$E$204,"&gt;"&amp;E138)+COUNTIFS($Q$5:Q138,Q138,$E$5:E138,E138)))</f>
        <v/>
      </c>
      <c r="AF138" s="77" t="str">
        <f aca="false">IF(AND(Q138="Long",N(F138)&gt;=Benchmarks!$C$15,G138&lt;&gt;""),G138,"")</f>
        <v/>
      </c>
      <c r="AG138" s="78" t="str">
        <f aca="false">IF(Z138="Elite",4,IF(Z138="Strong",3,IF(Z138="Average",2,IF(Z138="Needs work",1,""))))</f>
        <v/>
      </c>
      <c r="AH138" s="78" t="str">
        <f aca="false">IF(AA138="Elite",4,IF(AA138="Strong",3,IF(AA138="Average",2,IF(AA138="Needs work",1,""))))</f>
        <v/>
      </c>
      <c r="AI138" s="78" t="str">
        <f aca="false">IF(AB138="Elite",4,IF(AB138="Strong",3,IF(AB138="Average",2,IF(AB138="Needs work",1,""))))</f>
        <v/>
      </c>
    </row>
    <row r="139" customFormat="false" ht="15" hidden="false" customHeight="false" outlineLevel="0" collapsed="false">
      <c r="A139" s="64"/>
      <c r="B139" s="65"/>
      <c r="C139" s="66"/>
      <c r="D139" s="67"/>
      <c r="E139" s="67"/>
      <c r="F139" s="67"/>
      <c r="G139" s="68"/>
      <c r="H139" s="69"/>
      <c r="I139" s="68"/>
      <c r="J139" s="70"/>
      <c r="K139" s="67"/>
      <c r="L139" s="67"/>
      <c r="M139" s="67"/>
      <c r="N139" s="67"/>
      <c r="O139" s="67"/>
      <c r="P139" s="71"/>
      <c r="Q139" s="72" t="str">
        <f aca="false">IF(A139="","",IF(C139&lt;&gt;"",C139,IF(AND(D139&lt;&gt;"",D139&lt;=180),"Short","Long")))</f>
        <v/>
      </c>
      <c r="R139" s="73" t="str">
        <f aca="false">IF(OR(A139="",D139=""),"",D139/60)</f>
        <v/>
      </c>
      <c r="S139" s="72" t="str">
        <f aca="false">IF(OR(A139="",B139=""),"",IF(AND(B139&gt;=DATE(2026,4,1),B139&lt;=DATE(2026,6,30)),"Yes","No"))</f>
        <v/>
      </c>
      <c r="T139" s="72" t="str">
        <f aca="false">IF(OR(A139="",B139=""),"",CHOOSE(WEEKDAY(B139),"Sun","Mon","Tue","Wed","Thu","Fri","Sat"))</f>
        <v/>
      </c>
      <c r="U139" s="72" t="str">
        <f aca="false">IF(OR(Q139&lt;&gt;"Long",D139=""),"",IF(D139&lt;480,"Under 8 min",IF(D139&lt;900,"8–15 min",IF(D139&lt;1500,"15–25 min","25+ min"))))</f>
        <v/>
      </c>
      <c r="V139" s="74" t="str">
        <f aca="false">IF(OR(A139="",N(E139)=0),"",(N(K139)+N(L139))/E139*100)</f>
        <v/>
      </c>
      <c r="W139" s="73" t="str">
        <f aca="false">IF(OR(A139="",N(E139)=0),"",N(L139)/E139*1000)</f>
        <v/>
      </c>
      <c r="X139" s="75" t="str">
        <f aca="false">IF(A139="","",N(N139)-N(O139))</f>
        <v/>
      </c>
      <c r="Y139" s="73" t="str">
        <f aca="false">IF(OR(A139="",N(E139)=0),"",X139/E139*1000)</f>
        <v/>
      </c>
      <c r="Z139" s="72" t="str">
        <f aca="false">IF(OR(A139="",G139=""),"",IF(Q139="Short","n/a (Short)",IF(G139&gt;=Benchmarks!$E$5,"Elite",IF(G139&gt;=Benchmarks!$D$5,"Strong",IF(G139&gt;=Benchmarks!$C$5,"Average","Needs work")))))</f>
        <v/>
      </c>
      <c r="AA139" s="72" t="str">
        <f aca="false">IF(OR(A139="",I139=""),"",IF(Q139="Short",IF(I139&gt;=Benchmarks!$E$7,"Elite",IF(I139&gt;=Benchmarks!$D$7,"Strong",IF(I139&gt;=Benchmarks!$C$7,"Average","Needs work"))),IF(I139&gt;=Benchmarks!$E$6,"Elite",IF(I139&gt;=Benchmarks!$D$6,"Strong",IF(I139&gt;=Benchmarks!$C$6,"Average","Needs work")))))</f>
        <v/>
      </c>
      <c r="AB139" s="72" t="str">
        <f aca="false">IF(V139="","",IF(V139&gt;=Benchmarks!$E$8,"Elite",IF(V139&gt;=Benchmarks!$D$8,"Strong",IF(V139&gt;=Benchmarks!$C$8,"Average","Needs work"))))</f>
        <v/>
      </c>
      <c r="AC139" s="73" t="str">
        <f aca="false">IF(COUNT(AG139:AI139)=0,"",AVERAGE(AG139:AI139))</f>
        <v/>
      </c>
      <c r="AD139" s="37" t="str">
        <f aca="false">IF(A139="","",IF(Q139="Short",IF(AH139="","Add % viewed to diagnose",IF(AND(AH139&gt;=3,N(AI139)&gt;=3),"Winner Short — expand it into a long-form video",IF(AH139&lt;=1,"Hook problem — viewers swipe away in the first seconds",IF(AI139=1,"Watched but no reaction — end on a question or opinion","Solid Short — keep iterating")))),IF(OR(AG139="",AH139=""),"Add CTR &amp; % viewed to diagnose",IF(AND(AG139&gt;=3,AH139&gt;=3),"WINNER — make a sequel, series or Shorts from it",IF(AND(AG139&gt;=3,AH139&lt;=2),"Click but leave — intro too slow or title over-promises",IF(AND(AG139&lt;=2,AH139&gt;=3),"Great video, weak packaging — A/B test title + thumbnail",IF(AND(AG139=1,AH139=1),"Topic miss — don't repeat this angle","Average — sharpen the hook and the title")))))))</f>
        <v/>
      </c>
      <c r="AE139" s="76" t="str">
        <f aca="false">IF(OR(A139="",N(E139)=0),"",Q139&amp;"-"&amp;(COUNTIFS($Q$5:$Q$204,Q139,$E$5:$E$204,"&gt;"&amp;E139)+COUNTIFS($Q$5:Q139,Q139,$E$5:E139,E139)))</f>
        <v/>
      </c>
      <c r="AF139" s="77" t="str">
        <f aca="false">IF(AND(Q139="Long",N(F139)&gt;=Benchmarks!$C$15,G139&lt;&gt;""),G139,"")</f>
        <v/>
      </c>
      <c r="AG139" s="78" t="str">
        <f aca="false">IF(Z139="Elite",4,IF(Z139="Strong",3,IF(Z139="Average",2,IF(Z139="Needs work",1,""))))</f>
        <v/>
      </c>
      <c r="AH139" s="78" t="str">
        <f aca="false">IF(AA139="Elite",4,IF(AA139="Strong",3,IF(AA139="Average",2,IF(AA139="Needs work",1,""))))</f>
        <v/>
      </c>
      <c r="AI139" s="78" t="str">
        <f aca="false">IF(AB139="Elite",4,IF(AB139="Strong",3,IF(AB139="Average",2,IF(AB139="Needs work",1,""))))</f>
        <v/>
      </c>
    </row>
    <row r="140" customFormat="false" ht="15" hidden="false" customHeight="false" outlineLevel="0" collapsed="false">
      <c r="A140" s="64"/>
      <c r="B140" s="65"/>
      <c r="C140" s="66"/>
      <c r="D140" s="67"/>
      <c r="E140" s="67"/>
      <c r="F140" s="67"/>
      <c r="G140" s="68"/>
      <c r="H140" s="69"/>
      <c r="I140" s="68"/>
      <c r="J140" s="70"/>
      <c r="K140" s="67"/>
      <c r="L140" s="67"/>
      <c r="M140" s="67"/>
      <c r="N140" s="67"/>
      <c r="O140" s="67"/>
      <c r="P140" s="71"/>
      <c r="Q140" s="72" t="str">
        <f aca="false">IF(A140="","",IF(C140&lt;&gt;"",C140,IF(AND(D140&lt;&gt;"",D140&lt;=180),"Short","Long")))</f>
        <v/>
      </c>
      <c r="R140" s="73" t="str">
        <f aca="false">IF(OR(A140="",D140=""),"",D140/60)</f>
        <v/>
      </c>
      <c r="S140" s="72" t="str">
        <f aca="false">IF(OR(A140="",B140=""),"",IF(AND(B140&gt;=DATE(2026,4,1),B140&lt;=DATE(2026,6,30)),"Yes","No"))</f>
        <v/>
      </c>
      <c r="T140" s="72" t="str">
        <f aca="false">IF(OR(A140="",B140=""),"",CHOOSE(WEEKDAY(B140),"Sun","Mon","Tue","Wed","Thu","Fri","Sat"))</f>
        <v/>
      </c>
      <c r="U140" s="72" t="str">
        <f aca="false">IF(OR(Q140&lt;&gt;"Long",D140=""),"",IF(D140&lt;480,"Under 8 min",IF(D140&lt;900,"8–15 min",IF(D140&lt;1500,"15–25 min","25+ min"))))</f>
        <v/>
      </c>
      <c r="V140" s="74" t="str">
        <f aca="false">IF(OR(A140="",N(E140)=0),"",(N(K140)+N(L140))/E140*100)</f>
        <v/>
      </c>
      <c r="W140" s="73" t="str">
        <f aca="false">IF(OR(A140="",N(E140)=0),"",N(L140)/E140*1000)</f>
        <v/>
      </c>
      <c r="X140" s="75" t="str">
        <f aca="false">IF(A140="","",N(N140)-N(O140))</f>
        <v/>
      </c>
      <c r="Y140" s="73" t="str">
        <f aca="false">IF(OR(A140="",N(E140)=0),"",X140/E140*1000)</f>
        <v/>
      </c>
      <c r="Z140" s="72" t="str">
        <f aca="false">IF(OR(A140="",G140=""),"",IF(Q140="Short","n/a (Short)",IF(G140&gt;=Benchmarks!$E$5,"Elite",IF(G140&gt;=Benchmarks!$D$5,"Strong",IF(G140&gt;=Benchmarks!$C$5,"Average","Needs work")))))</f>
        <v/>
      </c>
      <c r="AA140" s="72" t="str">
        <f aca="false">IF(OR(A140="",I140=""),"",IF(Q140="Short",IF(I140&gt;=Benchmarks!$E$7,"Elite",IF(I140&gt;=Benchmarks!$D$7,"Strong",IF(I140&gt;=Benchmarks!$C$7,"Average","Needs work"))),IF(I140&gt;=Benchmarks!$E$6,"Elite",IF(I140&gt;=Benchmarks!$D$6,"Strong",IF(I140&gt;=Benchmarks!$C$6,"Average","Needs work")))))</f>
        <v/>
      </c>
      <c r="AB140" s="72" t="str">
        <f aca="false">IF(V140="","",IF(V140&gt;=Benchmarks!$E$8,"Elite",IF(V140&gt;=Benchmarks!$D$8,"Strong",IF(V140&gt;=Benchmarks!$C$8,"Average","Needs work"))))</f>
        <v/>
      </c>
      <c r="AC140" s="73" t="str">
        <f aca="false">IF(COUNT(AG140:AI140)=0,"",AVERAGE(AG140:AI140))</f>
        <v/>
      </c>
      <c r="AD140" s="37" t="str">
        <f aca="false">IF(A140="","",IF(Q140="Short",IF(AH140="","Add % viewed to diagnose",IF(AND(AH140&gt;=3,N(AI140)&gt;=3),"Winner Short — expand it into a long-form video",IF(AH140&lt;=1,"Hook problem — viewers swipe away in the first seconds",IF(AI140=1,"Watched but no reaction — end on a question or opinion","Solid Short — keep iterating")))),IF(OR(AG140="",AH140=""),"Add CTR &amp; % viewed to diagnose",IF(AND(AG140&gt;=3,AH140&gt;=3),"WINNER — make a sequel, series or Shorts from it",IF(AND(AG140&gt;=3,AH140&lt;=2),"Click but leave — intro too slow or title over-promises",IF(AND(AG140&lt;=2,AH140&gt;=3),"Great video, weak packaging — A/B test title + thumbnail",IF(AND(AG140=1,AH140=1),"Topic miss — don't repeat this angle","Average — sharpen the hook and the title")))))))</f>
        <v/>
      </c>
      <c r="AE140" s="76" t="str">
        <f aca="false">IF(OR(A140="",N(E140)=0),"",Q140&amp;"-"&amp;(COUNTIFS($Q$5:$Q$204,Q140,$E$5:$E$204,"&gt;"&amp;E140)+COUNTIFS($Q$5:Q140,Q140,$E$5:E140,E140)))</f>
        <v/>
      </c>
      <c r="AF140" s="77" t="str">
        <f aca="false">IF(AND(Q140="Long",N(F140)&gt;=Benchmarks!$C$15,G140&lt;&gt;""),G140,"")</f>
        <v/>
      </c>
      <c r="AG140" s="78" t="str">
        <f aca="false">IF(Z140="Elite",4,IF(Z140="Strong",3,IF(Z140="Average",2,IF(Z140="Needs work",1,""))))</f>
        <v/>
      </c>
      <c r="AH140" s="78" t="str">
        <f aca="false">IF(AA140="Elite",4,IF(AA140="Strong",3,IF(AA140="Average",2,IF(AA140="Needs work",1,""))))</f>
        <v/>
      </c>
      <c r="AI140" s="78" t="str">
        <f aca="false">IF(AB140="Elite",4,IF(AB140="Strong",3,IF(AB140="Average",2,IF(AB140="Needs work",1,""))))</f>
        <v/>
      </c>
    </row>
    <row r="141" customFormat="false" ht="15" hidden="false" customHeight="false" outlineLevel="0" collapsed="false">
      <c r="A141" s="64"/>
      <c r="B141" s="65"/>
      <c r="C141" s="66"/>
      <c r="D141" s="67"/>
      <c r="E141" s="67"/>
      <c r="F141" s="67"/>
      <c r="G141" s="68"/>
      <c r="H141" s="69"/>
      <c r="I141" s="68"/>
      <c r="J141" s="70"/>
      <c r="K141" s="67"/>
      <c r="L141" s="67"/>
      <c r="M141" s="67"/>
      <c r="N141" s="67"/>
      <c r="O141" s="67"/>
      <c r="P141" s="71"/>
      <c r="Q141" s="72" t="str">
        <f aca="false">IF(A141="","",IF(C141&lt;&gt;"",C141,IF(AND(D141&lt;&gt;"",D141&lt;=180),"Short","Long")))</f>
        <v/>
      </c>
      <c r="R141" s="73" t="str">
        <f aca="false">IF(OR(A141="",D141=""),"",D141/60)</f>
        <v/>
      </c>
      <c r="S141" s="72" t="str">
        <f aca="false">IF(OR(A141="",B141=""),"",IF(AND(B141&gt;=DATE(2026,4,1),B141&lt;=DATE(2026,6,30)),"Yes","No"))</f>
        <v/>
      </c>
      <c r="T141" s="72" t="str">
        <f aca="false">IF(OR(A141="",B141=""),"",CHOOSE(WEEKDAY(B141),"Sun","Mon","Tue","Wed","Thu","Fri","Sat"))</f>
        <v/>
      </c>
      <c r="U141" s="72" t="str">
        <f aca="false">IF(OR(Q141&lt;&gt;"Long",D141=""),"",IF(D141&lt;480,"Under 8 min",IF(D141&lt;900,"8–15 min",IF(D141&lt;1500,"15–25 min","25+ min"))))</f>
        <v/>
      </c>
      <c r="V141" s="74" t="str">
        <f aca="false">IF(OR(A141="",N(E141)=0),"",(N(K141)+N(L141))/E141*100)</f>
        <v/>
      </c>
      <c r="W141" s="73" t="str">
        <f aca="false">IF(OR(A141="",N(E141)=0),"",N(L141)/E141*1000)</f>
        <v/>
      </c>
      <c r="X141" s="75" t="str">
        <f aca="false">IF(A141="","",N(N141)-N(O141))</f>
        <v/>
      </c>
      <c r="Y141" s="73" t="str">
        <f aca="false">IF(OR(A141="",N(E141)=0),"",X141/E141*1000)</f>
        <v/>
      </c>
      <c r="Z141" s="72" t="str">
        <f aca="false">IF(OR(A141="",G141=""),"",IF(Q141="Short","n/a (Short)",IF(G141&gt;=Benchmarks!$E$5,"Elite",IF(G141&gt;=Benchmarks!$D$5,"Strong",IF(G141&gt;=Benchmarks!$C$5,"Average","Needs work")))))</f>
        <v/>
      </c>
      <c r="AA141" s="72" t="str">
        <f aca="false">IF(OR(A141="",I141=""),"",IF(Q141="Short",IF(I141&gt;=Benchmarks!$E$7,"Elite",IF(I141&gt;=Benchmarks!$D$7,"Strong",IF(I141&gt;=Benchmarks!$C$7,"Average","Needs work"))),IF(I141&gt;=Benchmarks!$E$6,"Elite",IF(I141&gt;=Benchmarks!$D$6,"Strong",IF(I141&gt;=Benchmarks!$C$6,"Average","Needs work")))))</f>
        <v/>
      </c>
      <c r="AB141" s="72" t="str">
        <f aca="false">IF(V141="","",IF(V141&gt;=Benchmarks!$E$8,"Elite",IF(V141&gt;=Benchmarks!$D$8,"Strong",IF(V141&gt;=Benchmarks!$C$8,"Average","Needs work"))))</f>
        <v/>
      </c>
      <c r="AC141" s="73" t="str">
        <f aca="false">IF(COUNT(AG141:AI141)=0,"",AVERAGE(AG141:AI141))</f>
        <v/>
      </c>
      <c r="AD141" s="37" t="str">
        <f aca="false">IF(A141="","",IF(Q141="Short",IF(AH141="","Add % viewed to diagnose",IF(AND(AH141&gt;=3,N(AI141)&gt;=3),"Winner Short — expand it into a long-form video",IF(AH141&lt;=1,"Hook problem — viewers swipe away in the first seconds",IF(AI141=1,"Watched but no reaction — end on a question or opinion","Solid Short — keep iterating")))),IF(OR(AG141="",AH141=""),"Add CTR &amp; % viewed to diagnose",IF(AND(AG141&gt;=3,AH141&gt;=3),"WINNER — make a sequel, series or Shorts from it",IF(AND(AG141&gt;=3,AH141&lt;=2),"Click but leave — intro too slow or title over-promises",IF(AND(AG141&lt;=2,AH141&gt;=3),"Great video, weak packaging — A/B test title + thumbnail",IF(AND(AG141=1,AH141=1),"Topic miss — don't repeat this angle","Average — sharpen the hook and the title")))))))</f>
        <v/>
      </c>
      <c r="AE141" s="76" t="str">
        <f aca="false">IF(OR(A141="",N(E141)=0),"",Q141&amp;"-"&amp;(COUNTIFS($Q$5:$Q$204,Q141,$E$5:$E$204,"&gt;"&amp;E141)+COUNTIFS($Q$5:Q141,Q141,$E$5:E141,E141)))</f>
        <v/>
      </c>
      <c r="AF141" s="77" t="str">
        <f aca="false">IF(AND(Q141="Long",N(F141)&gt;=Benchmarks!$C$15,G141&lt;&gt;""),G141,"")</f>
        <v/>
      </c>
      <c r="AG141" s="78" t="str">
        <f aca="false">IF(Z141="Elite",4,IF(Z141="Strong",3,IF(Z141="Average",2,IF(Z141="Needs work",1,""))))</f>
        <v/>
      </c>
      <c r="AH141" s="78" t="str">
        <f aca="false">IF(AA141="Elite",4,IF(AA141="Strong",3,IF(AA141="Average",2,IF(AA141="Needs work",1,""))))</f>
        <v/>
      </c>
      <c r="AI141" s="78" t="str">
        <f aca="false">IF(AB141="Elite",4,IF(AB141="Strong",3,IF(AB141="Average",2,IF(AB141="Needs work",1,""))))</f>
        <v/>
      </c>
    </row>
    <row r="142" customFormat="false" ht="15" hidden="false" customHeight="false" outlineLevel="0" collapsed="false">
      <c r="A142" s="64"/>
      <c r="B142" s="65"/>
      <c r="C142" s="66"/>
      <c r="D142" s="67"/>
      <c r="E142" s="67"/>
      <c r="F142" s="67"/>
      <c r="G142" s="68"/>
      <c r="H142" s="69"/>
      <c r="I142" s="68"/>
      <c r="J142" s="70"/>
      <c r="K142" s="67"/>
      <c r="L142" s="67"/>
      <c r="M142" s="67"/>
      <c r="N142" s="67"/>
      <c r="O142" s="67"/>
      <c r="P142" s="71"/>
      <c r="Q142" s="72" t="str">
        <f aca="false">IF(A142="","",IF(C142&lt;&gt;"",C142,IF(AND(D142&lt;&gt;"",D142&lt;=180),"Short","Long")))</f>
        <v/>
      </c>
      <c r="R142" s="73" t="str">
        <f aca="false">IF(OR(A142="",D142=""),"",D142/60)</f>
        <v/>
      </c>
      <c r="S142" s="72" t="str">
        <f aca="false">IF(OR(A142="",B142=""),"",IF(AND(B142&gt;=DATE(2026,4,1),B142&lt;=DATE(2026,6,30)),"Yes","No"))</f>
        <v/>
      </c>
      <c r="T142" s="72" t="str">
        <f aca="false">IF(OR(A142="",B142=""),"",CHOOSE(WEEKDAY(B142),"Sun","Mon","Tue","Wed","Thu","Fri","Sat"))</f>
        <v/>
      </c>
      <c r="U142" s="72" t="str">
        <f aca="false">IF(OR(Q142&lt;&gt;"Long",D142=""),"",IF(D142&lt;480,"Under 8 min",IF(D142&lt;900,"8–15 min",IF(D142&lt;1500,"15–25 min","25+ min"))))</f>
        <v/>
      </c>
      <c r="V142" s="74" t="str">
        <f aca="false">IF(OR(A142="",N(E142)=0),"",(N(K142)+N(L142))/E142*100)</f>
        <v/>
      </c>
      <c r="W142" s="73" t="str">
        <f aca="false">IF(OR(A142="",N(E142)=0),"",N(L142)/E142*1000)</f>
        <v/>
      </c>
      <c r="X142" s="75" t="str">
        <f aca="false">IF(A142="","",N(N142)-N(O142))</f>
        <v/>
      </c>
      <c r="Y142" s="73" t="str">
        <f aca="false">IF(OR(A142="",N(E142)=0),"",X142/E142*1000)</f>
        <v/>
      </c>
      <c r="Z142" s="72" t="str">
        <f aca="false">IF(OR(A142="",G142=""),"",IF(Q142="Short","n/a (Short)",IF(G142&gt;=Benchmarks!$E$5,"Elite",IF(G142&gt;=Benchmarks!$D$5,"Strong",IF(G142&gt;=Benchmarks!$C$5,"Average","Needs work")))))</f>
        <v/>
      </c>
      <c r="AA142" s="72" t="str">
        <f aca="false">IF(OR(A142="",I142=""),"",IF(Q142="Short",IF(I142&gt;=Benchmarks!$E$7,"Elite",IF(I142&gt;=Benchmarks!$D$7,"Strong",IF(I142&gt;=Benchmarks!$C$7,"Average","Needs work"))),IF(I142&gt;=Benchmarks!$E$6,"Elite",IF(I142&gt;=Benchmarks!$D$6,"Strong",IF(I142&gt;=Benchmarks!$C$6,"Average","Needs work")))))</f>
        <v/>
      </c>
      <c r="AB142" s="72" t="str">
        <f aca="false">IF(V142="","",IF(V142&gt;=Benchmarks!$E$8,"Elite",IF(V142&gt;=Benchmarks!$D$8,"Strong",IF(V142&gt;=Benchmarks!$C$8,"Average","Needs work"))))</f>
        <v/>
      </c>
      <c r="AC142" s="73" t="str">
        <f aca="false">IF(COUNT(AG142:AI142)=0,"",AVERAGE(AG142:AI142))</f>
        <v/>
      </c>
      <c r="AD142" s="37" t="str">
        <f aca="false">IF(A142="","",IF(Q142="Short",IF(AH142="","Add % viewed to diagnose",IF(AND(AH142&gt;=3,N(AI142)&gt;=3),"Winner Short — expand it into a long-form video",IF(AH142&lt;=1,"Hook problem — viewers swipe away in the first seconds",IF(AI142=1,"Watched but no reaction — end on a question or opinion","Solid Short — keep iterating")))),IF(OR(AG142="",AH142=""),"Add CTR &amp; % viewed to diagnose",IF(AND(AG142&gt;=3,AH142&gt;=3),"WINNER — make a sequel, series or Shorts from it",IF(AND(AG142&gt;=3,AH142&lt;=2),"Click but leave — intro too slow or title over-promises",IF(AND(AG142&lt;=2,AH142&gt;=3),"Great video, weak packaging — A/B test title + thumbnail",IF(AND(AG142=1,AH142=1),"Topic miss — don't repeat this angle","Average — sharpen the hook and the title")))))))</f>
        <v/>
      </c>
      <c r="AE142" s="76" t="str">
        <f aca="false">IF(OR(A142="",N(E142)=0),"",Q142&amp;"-"&amp;(COUNTIFS($Q$5:$Q$204,Q142,$E$5:$E$204,"&gt;"&amp;E142)+COUNTIFS($Q$5:Q142,Q142,$E$5:E142,E142)))</f>
        <v/>
      </c>
      <c r="AF142" s="77" t="str">
        <f aca="false">IF(AND(Q142="Long",N(F142)&gt;=Benchmarks!$C$15,G142&lt;&gt;""),G142,"")</f>
        <v/>
      </c>
      <c r="AG142" s="78" t="str">
        <f aca="false">IF(Z142="Elite",4,IF(Z142="Strong",3,IF(Z142="Average",2,IF(Z142="Needs work",1,""))))</f>
        <v/>
      </c>
      <c r="AH142" s="78" t="str">
        <f aca="false">IF(AA142="Elite",4,IF(AA142="Strong",3,IF(AA142="Average",2,IF(AA142="Needs work",1,""))))</f>
        <v/>
      </c>
      <c r="AI142" s="78" t="str">
        <f aca="false">IF(AB142="Elite",4,IF(AB142="Strong",3,IF(AB142="Average",2,IF(AB142="Needs work",1,""))))</f>
        <v/>
      </c>
    </row>
    <row r="143" customFormat="false" ht="15" hidden="false" customHeight="false" outlineLevel="0" collapsed="false">
      <c r="A143" s="64"/>
      <c r="B143" s="65"/>
      <c r="C143" s="66"/>
      <c r="D143" s="67"/>
      <c r="E143" s="67"/>
      <c r="F143" s="67"/>
      <c r="G143" s="68"/>
      <c r="H143" s="69"/>
      <c r="I143" s="68"/>
      <c r="J143" s="70"/>
      <c r="K143" s="67"/>
      <c r="L143" s="67"/>
      <c r="M143" s="67"/>
      <c r="N143" s="67"/>
      <c r="O143" s="67"/>
      <c r="P143" s="71"/>
      <c r="Q143" s="72" t="str">
        <f aca="false">IF(A143="","",IF(C143&lt;&gt;"",C143,IF(AND(D143&lt;&gt;"",D143&lt;=180),"Short","Long")))</f>
        <v/>
      </c>
      <c r="R143" s="73" t="str">
        <f aca="false">IF(OR(A143="",D143=""),"",D143/60)</f>
        <v/>
      </c>
      <c r="S143" s="72" t="str">
        <f aca="false">IF(OR(A143="",B143=""),"",IF(AND(B143&gt;=DATE(2026,4,1),B143&lt;=DATE(2026,6,30)),"Yes","No"))</f>
        <v/>
      </c>
      <c r="T143" s="72" t="str">
        <f aca="false">IF(OR(A143="",B143=""),"",CHOOSE(WEEKDAY(B143),"Sun","Mon","Tue","Wed","Thu","Fri","Sat"))</f>
        <v/>
      </c>
      <c r="U143" s="72" t="str">
        <f aca="false">IF(OR(Q143&lt;&gt;"Long",D143=""),"",IF(D143&lt;480,"Under 8 min",IF(D143&lt;900,"8–15 min",IF(D143&lt;1500,"15–25 min","25+ min"))))</f>
        <v/>
      </c>
      <c r="V143" s="74" t="str">
        <f aca="false">IF(OR(A143="",N(E143)=0),"",(N(K143)+N(L143))/E143*100)</f>
        <v/>
      </c>
      <c r="W143" s="73" t="str">
        <f aca="false">IF(OR(A143="",N(E143)=0),"",N(L143)/E143*1000)</f>
        <v/>
      </c>
      <c r="X143" s="75" t="str">
        <f aca="false">IF(A143="","",N(N143)-N(O143))</f>
        <v/>
      </c>
      <c r="Y143" s="73" t="str">
        <f aca="false">IF(OR(A143="",N(E143)=0),"",X143/E143*1000)</f>
        <v/>
      </c>
      <c r="Z143" s="72" t="str">
        <f aca="false">IF(OR(A143="",G143=""),"",IF(Q143="Short","n/a (Short)",IF(G143&gt;=Benchmarks!$E$5,"Elite",IF(G143&gt;=Benchmarks!$D$5,"Strong",IF(G143&gt;=Benchmarks!$C$5,"Average","Needs work")))))</f>
        <v/>
      </c>
      <c r="AA143" s="72" t="str">
        <f aca="false">IF(OR(A143="",I143=""),"",IF(Q143="Short",IF(I143&gt;=Benchmarks!$E$7,"Elite",IF(I143&gt;=Benchmarks!$D$7,"Strong",IF(I143&gt;=Benchmarks!$C$7,"Average","Needs work"))),IF(I143&gt;=Benchmarks!$E$6,"Elite",IF(I143&gt;=Benchmarks!$D$6,"Strong",IF(I143&gt;=Benchmarks!$C$6,"Average","Needs work")))))</f>
        <v/>
      </c>
      <c r="AB143" s="72" t="str">
        <f aca="false">IF(V143="","",IF(V143&gt;=Benchmarks!$E$8,"Elite",IF(V143&gt;=Benchmarks!$D$8,"Strong",IF(V143&gt;=Benchmarks!$C$8,"Average","Needs work"))))</f>
        <v/>
      </c>
      <c r="AC143" s="73" t="str">
        <f aca="false">IF(COUNT(AG143:AI143)=0,"",AVERAGE(AG143:AI143))</f>
        <v/>
      </c>
      <c r="AD143" s="37" t="str">
        <f aca="false">IF(A143="","",IF(Q143="Short",IF(AH143="","Add % viewed to diagnose",IF(AND(AH143&gt;=3,N(AI143)&gt;=3),"Winner Short — expand it into a long-form video",IF(AH143&lt;=1,"Hook problem — viewers swipe away in the first seconds",IF(AI143=1,"Watched but no reaction — end on a question or opinion","Solid Short — keep iterating")))),IF(OR(AG143="",AH143=""),"Add CTR &amp; % viewed to diagnose",IF(AND(AG143&gt;=3,AH143&gt;=3),"WINNER — make a sequel, series or Shorts from it",IF(AND(AG143&gt;=3,AH143&lt;=2),"Click but leave — intro too slow or title over-promises",IF(AND(AG143&lt;=2,AH143&gt;=3),"Great video, weak packaging — A/B test title + thumbnail",IF(AND(AG143=1,AH143=1),"Topic miss — don't repeat this angle","Average — sharpen the hook and the title")))))))</f>
        <v/>
      </c>
      <c r="AE143" s="76" t="str">
        <f aca="false">IF(OR(A143="",N(E143)=0),"",Q143&amp;"-"&amp;(COUNTIFS($Q$5:$Q$204,Q143,$E$5:$E$204,"&gt;"&amp;E143)+COUNTIFS($Q$5:Q143,Q143,$E$5:E143,E143)))</f>
        <v/>
      </c>
      <c r="AF143" s="77" t="str">
        <f aca="false">IF(AND(Q143="Long",N(F143)&gt;=Benchmarks!$C$15,G143&lt;&gt;""),G143,"")</f>
        <v/>
      </c>
      <c r="AG143" s="78" t="str">
        <f aca="false">IF(Z143="Elite",4,IF(Z143="Strong",3,IF(Z143="Average",2,IF(Z143="Needs work",1,""))))</f>
        <v/>
      </c>
      <c r="AH143" s="78" t="str">
        <f aca="false">IF(AA143="Elite",4,IF(AA143="Strong",3,IF(AA143="Average",2,IF(AA143="Needs work",1,""))))</f>
        <v/>
      </c>
      <c r="AI143" s="78" t="str">
        <f aca="false">IF(AB143="Elite",4,IF(AB143="Strong",3,IF(AB143="Average",2,IF(AB143="Needs work",1,""))))</f>
        <v/>
      </c>
    </row>
    <row r="144" customFormat="false" ht="15" hidden="false" customHeight="false" outlineLevel="0" collapsed="false">
      <c r="A144" s="64"/>
      <c r="B144" s="65"/>
      <c r="C144" s="66"/>
      <c r="D144" s="67"/>
      <c r="E144" s="67"/>
      <c r="F144" s="67"/>
      <c r="G144" s="68"/>
      <c r="H144" s="69"/>
      <c r="I144" s="68"/>
      <c r="J144" s="70"/>
      <c r="K144" s="67"/>
      <c r="L144" s="67"/>
      <c r="M144" s="67"/>
      <c r="N144" s="67"/>
      <c r="O144" s="67"/>
      <c r="P144" s="71"/>
      <c r="Q144" s="72" t="str">
        <f aca="false">IF(A144="","",IF(C144&lt;&gt;"",C144,IF(AND(D144&lt;&gt;"",D144&lt;=180),"Short","Long")))</f>
        <v/>
      </c>
      <c r="R144" s="73" t="str">
        <f aca="false">IF(OR(A144="",D144=""),"",D144/60)</f>
        <v/>
      </c>
      <c r="S144" s="72" t="str">
        <f aca="false">IF(OR(A144="",B144=""),"",IF(AND(B144&gt;=DATE(2026,4,1),B144&lt;=DATE(2026,6,30)),"Yes","No"))</f>
        <v/>
      </c>
      <c r="T144" s="72" t="str">
        <f aca="false">IF(OR(A144="",B144=""),"",CHOOSE(WEEKDAY(B144),"Sun","Mon","Tue","Wed","Thu","Fri","Sat"))</f>
        <v/>
      </c>
      <c r="U144" s="72" t="str">
        <f aca="false">IF(OR(Q144&lt;&gt;"Long",D144=""),"",IF(D144&lt;480,"Under 8 min",IF(D144&lt;900,"8–15 min",IF(D144&lt;1500,"15–25 min","25+ min"))))</f>
        <v/>
      </c>
      <c r="V144" s="74" t="str">
        <f aca="false">IF(OR(A144="",N(E144)=0),"",(N(K144)+N(L144))/E144*100)</f>
        <v/>
      </c>
      <c r="W144" s="73" t="str">
        <f aca="false">IF(OR(A144="",N(E144)=0),"",N(L144)/E144*1000)</f>
        <v/>
      </c>
      <c r="X144" s="75" t="str">
        <f aca="false">IF(A144="","",N(N144)-N(O144))</f>
        <v/>
      </c>
      <c r="Y144" s="73" t="str">
        <f aca="false">IF(OR(A144="",N(E144)=0),"",X144/E144*1000)</f>
        <v/>
      </c>
      <c r="Z144" s="72" t="str">
        <f aca="false">IF(OR(A144="",G144=""),"",IF(Q144="Short","n/a (Short)",IF(G144&gt;=Benchmarks!$E$5,"Elite",IF(G144&gt;=Benchmarks!$D$5,"Strong",IF(G144&gt;=Benchmarks!$C$5,"Average","Needs work")))))</f>
        <v/>
      </c>
      <c r="AA144" s="72" t="str">
        <f aca="false">IF(OR(A144="",I144=""),"",IF(Q144="Short",IF(I144&gt;=Benchmarks!$E$7,"Elite",IF(I144&gt;=Benchmarks!$D$7,"Strong",IF(I144&gt;=Benchmarks!$C$7,"Average","Needs work"))),IF(I144&gt;=Benchmarks!$E$6,"Elite",IF(I144&gt;=Benchmarks!$D$6,"Strong",IF(I144&gt;=Benchmarks!$C$6,"Average","Needs work")))))</f>
        <v/>
      </c>
      <c r="AB144" s="72" t="str">
        <f aca="false">IF(V144="","",IF(V144&gt;=Benchmarks!$E$8,"Elite",IF(V144&gt;=Benchmarks!$D$8,"Strong",IF(V144&gt;=Benchmarks!$C$8,"Average","Needs work"))))</f>
        <v/>
      </c>
      <c r="AC144" s="73" t="str">
        <f aca="false">IF(COUNT(AG144:AI144)=0,"",AVERAGE(AG144:AI144))</f>
        <v/>
      </c>
      <c r="AD144" s="37" t="str">
        <f aca="false">IF(A144="","",IF(Q144="Short",IF(AH144="","Add % viewed to diagnose",IF(AND(AH144&gt;=3,N(AI144)&gt;=3),"Winner Short — expand it into a long-form video",IF(AH144&lt;=1,"Hook problem — viewers swipe away in the first seconds",IF(AI144=1,"Watched but no reaction — end on a question or opinion","Solid Short — keep iterating")))),IF(OR(AG144="",AH144=""),"Add CTR &amp; % viewed to diagnose",IF(AND(AG144&gt;=3,AH144&gt;=3),"WINNER — make a sequel, series or Shorts from it",IF(AND(AG144&gt;=3,AH144&lt;=2),"Click but leave — intro too slow or title over-promises",IF(AND(AG144&lt;=2,AH144&gt;=3),"Great video, weak packaging — A/B test title + thumbnail",IF(AND(AG144=1,AH144=1),"Topic miss — don't repeat this angle","Average — sharpen the hook and the title")))))))</f>
        <v/>
      </c>
      <c r="AE144" s="76" t="str">
        <f aca="false">IF(OR(A144="",N(E144)=0),"",Q144&amp;"-"&amp;(COUNTIFS($Q$5:$Q$204,Q144,$E$5:$E$204,"&gt;"&amp;E144)+COUNTIFS($Q$5:Q144,Q144,$E$5:E144,E144)))</f>
        <v/>
      </c>
      <c r="AF144" s="77" t="str">
        <f aca="false">IF(AND(Q144="Long",N(F144)&gt;=Benchmarks!$C$15,G144&lt;&gt;""),G144,"")</f>
        <v/>
      </c>
      <c r="AG144" s="78" t="str">
        <f aca="false">IF(Z144="Elite",4,IF(Z144="Strong",3,IF(Z144="Average",2,IF(Z144="Needs work",1,""))))</f>
        <v/>
      </c>
      <c r="AH144" s="78" t="str">
        <f aca="false">IF(AA144="Elite",4,IF(AA144="Strong",3,IF(AA144="Average",2,IF(AA144="Needs work",1,""))))</f>
        <v/>
      </c>
      <c r="AI144" s="78" t="str">
        <f aca="false">IF(AB144="Elite",4,IF(AB144="Strong",3,IF(AB144="Average",2,IF(AB144="Needs work",1,""))))</f>
        <v/>
      </c>
    </row>
    <row r="145" customFormat="false" ht="15" hidden="false" customHeight="false" outlineLevel="0" collapsed="false">
      <c r="A145" s="64"/>
      <c r="B145" s="65"/>
      <c r="C145" s="66"/>
      <c r="D145" s="67"/>
      <c r="E145" s="67"/>
      <c r="F145" s="67"/>
      <c r="G145" s="68"/>
      <c r="H145" s="69"/>
      <c r="I145" s="68"/>
      <c r="J145" s="70"/>
      <c r="K145" s="67"/>
      <c r="L145" s="67"/>
      <c r="M145" s="67"/>
      <c r="N145" s="67"/>
      <c r="O145" s="67"/>
      <c r="P145" s="71"/>
      <c r="Q145" s="72" t="str">
        <f aca="false">IF(A145="","",IF(C145&lt;&gt;"",C145,IF(AND(D145&lt;&gt;"",D145&lt;=180),"Short","Long")))</f>
        <v/>
      </c>
      <c r="R145" s="73" t="str">
        <f aca="false">IF(OR(A145="",D145=""),"",D145/60)</f>
        <v/>
      </c>
      <c r="S145" s="72" t="str">
        <f aca="false">IF(OR(A145="",B145=""),"",IF(AND(B145&gt;=DATE(2026,4,1),B145&lt;=DATE(2026,6,30)),"Yes","No"))</f>
        <v/>
      </c>
      <c r="T145" s="72" t="str">
        <f aca="false">IF(OR(A145="",B145=""),"",CHOOSE(WEEKDAY(B145),"Sun","Mon","Tue","Wed","Thu","Fri","Sat"))</f>
        <v/>
      </c>
      <c r="U145" s="72" t="str">
        <f aca="false">IF(OR(Q145&lt;&gt;"Long",D145=""),"",IF(D145&lt;480,"Under 8 min",IF(D145&lt;900,"8–15 min",IF(D145&lt;1500,"15–25 min","25+ min"))))</f>
        <v/>
      </c>
      <c r="V145" s="74" t="str">
        <f aca="false">IF(OR(A145="",N(E145)=0),"",(N(K145)+N(L145))/E145*100)</f>
        <v/>
      </c>
      <c r="W145" s="73" t="str">
        <f aca="false">IF(OR(A145="",N(E145)=0),"",N(L145)/E145*1000)</f>
        <v/>
      </c>
      <c r="X145" s="75" t="str">
        <f aca="false">IF(A145="","",N(N145)-N(O145))</f>
        <v/>
      </c>
      <c r="Y145" s="73" t="str">
        <f aca="false">IF(OR(A145="",N(E145)=0),"",X145/E145*1000)</f>
        <v/>
      </c>
      <c r="Z145" s="72" t="str">
        <f aca="false">IF(OR(A145="",G145=""),"",IF(Q145="Short","n/a (Short)",IF(G145&gt;=Benchmarks!$E$5,"Elite",IF(G145&gt;=Benchmarks!$D$5,"Strong",IF(G145&gt;=Benchmarks!$C$5,"Average","Needs work")))))</f>
        <v/>
      </c>
      <c r="AA145" s="72" t="str">
        <f aca="false">IF(OR(A145="",I145=""),"",IF(Q145="Short",IF(I145&gt;=Benchmarks!$E$7,"Elite",IF(I145&gt;=Benchmarks!$D$7,"Strong",IF(I145&gt;=Benchmarks!$C$7,"Average","Needs work"))),IF(I145&gt;=Benchmarks!$E$6,"Elite",IF(I145&gt;=Benchmarks!$D$6,"Strong",IF(I145&gt;=Benchmarks!$C$6,"Average","Needs work")))))</f>
        <v/>
      </c>
      <c r="AB145" s="72" t="str">
        <f aca="false">IF(V145="","",IF(V145&gt;=Benchmarks!$E$8,"Elite",IF(V145&gt;=Benchmarks!$D$8,"Strong",IF(V145&gt;=Benchmarks!$C$8,"Average","Needs work"))))</f>
        <v/>
      </c>
      <c r="AC145" s="73" t="str">
        <f aca="false">IF(COUNT(AG145:AI145)=0,"",AVERAGE(AG145:AI145))</f>
        <v/>
      </c>
      <c r="AD145" s="37" t="str">
        <f aca="false">IF(A145="","",IF(Q145="Short",IF(AH145="","Add % viewed to diagnose",IF(AND(AH145&gt;=3,N(AI145)&gt;=3),"Winner Short — expand it into a long-form video",IF(AH145&lt;=1,"Hook problem — viewers swipe away in the first seconds",IF(AI145=1,"Watched but no reaction — end on a question or opinion","Solid Short — keep iterating")))),IF(OR(AG145="",AH145=""),"Add CTR &amp; % viewed to diagnose",IF(AND(AG145&gt;=3,AH145&gt;=3),"WINNER — make a sequel, series or Shorts from it",IF(AND(AG145&gt;=3,AH145&lt;=2),"Click but leave — intro too slow or title over-promises",IF(AND(AG145&lt;=2,AH145&gt;=3),"Great video, weak packaging — A/B test title + thumbnail",IF(AND(AG145=1,AH145=1),"Topic miss — don't repeat this angle","Average — sharpen the hook and the title")))))))</f>
        <v/>
      </c>
      <c r="AE145" s="76" t="str">
        <f aca="false">IF(OR(A145="",N(E145)=0),"",Q145&amp;"-"&amp;(COUNTIFS($Q$5:$Q$204,Q145,$E$5:$E$204,"&gt;"&amp;E145)+COUNTIFS($Q$5:Q145,Q145,$E$5:E145,E145)))</f>
        <v/>
      </c>
      <c r="AF145" s="77" t="str">
        <f aca="false">IF(AND(Q145="Long",N(F145)&gt;=Benchmarks!$C$15,G145&lt;&gt;""),G145,"")</f>
        <v/>
      </c>
      <c r="AG145" s="78" t="str">
        <f aca="false">IF(Z145="Elite",4,IF(Z145="Strong",3,IF(Z145="Average",2,IF(Z145="Needs work",1,""))))</f>
        <v/>
      </c>
      <c r="AH145" s="78" t="str">
        <f aca="false">IF(AA145="Elite",4,IF(AA145="Strong",3,IF(AA145="Average",2,IF(AA145="Needs work",1,""))))</f>
        <v/>
      </c>
      <c r="AI145" s="78" t="str">
        <f aca="false">IF(AB145="Elite",4,IF(AB145="Strong",3,IF(AB145="Average",2,IF(AB145="Needs work",1,""))))</f>
        <v/>
      </c>
    </row>
    <row r="146" customFormat="false" ht="15" hidden="false" customHeight="false" outlineLevel="0" collapsed="false">
      <c r="A146" s="64"/>
      <c r="B146" s="65"/>
      <c r="C146" s="66"/>
      <c r="D146" s="67"/>
      <c r="E146" s="67"/>
      <c r="F146" s="67"/>
      <c r="G146" s="68"/>
      <c r="H146" s="69"/>
      <c r="I146" s="68"/>
      <c r="J146" s="70"/>
      <c r="K146" s="67"/>
      <c r="L146" s="67"/>
      <c r="M146" s="67"/>
      <c r="N146" s="67"/>
      <c r="O146" s="67"/>
      <c r="P146" s="71"/>
      <c r="Q146" s="72" t="str">
        <f aca="false">IF(A146="","",IF(C146&lt;&gt;"",C146,IF(AND(D146&lt;&gt;"",D146&lt;=180),"Short","Long")))</f>
        <v/>
      </c>
      <c r="R146" s="73" t="str">
        <f aca="false">IF(OR(A146="",D146=""),"",D146/60)</f>
        <v/>
      </c>
      <c r="S146" s="72" t="str">
        <f aca="false">IF(OR(A146="",B146=""),"",IF(AND(B146&gt;=DATE(2026,4,1),B146&lt;=DATE(2026,6,30)),"Yes","No"))</f>
        <v/>
      </c>
      <c r="T146" s="72" t="str">
        <f aca="false">IF(OR(A146="",B146=""),"",CHOOSE(WEEKDAY(B146),"Sun","Mon","Tue","Wed","Thu","Fri","Sat"))</f>
        <v/>
      </c>
      <c r="U146" s="72" t="str">
        <f aca="false">IF(OR(Q146&lt;&gt;"Long",D146=""),"",IF(D146&lt;480,"Under 8 min",IF(D146&lt;900,"8–15 min",IF(D146&lt;1500,"15–25 min","25+ min"))))</f>
        <v/>
      </c>
      <c r="V146" s="74" t="str">
        <f aca="false">IF(OR(A146="",N(E146)=0),"",(N(K146)+N(L146))/E146*100)</f>
        <v/>
      </c>
      <c r="W146" s="73" t="str">
        <f aca="false">IF(OR(A146="",N(E146)=0),"",N(L146)/E146*1000)</f>
        <v/>
      </c>
      <c r="X146" s="75" t="str">
        <f aca="false">IF(A146="","",N(N146)-N(O146))</f>
        <v/>
      </c>
      <c r="Y146" s="73" t="str">
        <f aca="false">IF(OR(A146="",N(E146)=0),"",X146/E146*1000)</f>
        <v/>
      </c>
      <c r="Z146" s="72" t="str">
        <f aca="false">IF(OR(A146="",G146=""),"",IF(Q146="Short","n/a (Short)",IF(G146&gt;=Benchmarks!$E$5,"Elite",IF(G146&gt;=Benchmarks!$D$5,"Strong",IF(G146&gt;=Benchmarks!$C$5,"Average","Needs work")))))</f>
        <v/>
      </c>
      <c r="AA146" s="72" t="str">
        <f aca="false">IF(OR(A146="",I146=""),"",IF(Q146="Short",IF(I146&gt;=Benchmarks!$E$7,"Elite",IF(I146&gt;=Benchmarks!$D$7,"Strong",IF(I146&gt;=Benchmarks!$C$7,"Average","Needs work"))),IF(I146&gt;=Benchmarks!$E$6,"Elite",IF(I146&gt;=Benchmarks!$D$6,"Strong",IF(I146&gt;=Benchmarks!$C$6,"Average","Needs work")))))</f>
        <v/>
      </c>
      <c r="AB146" s="72" t="str">
        <f aca="false">IF(V146="","",IF(V146&gt;=Benchmarks!$E$8,"Elite",IF(V146&gt;=Benchmarks!$D$8,"Strong",IF(V146&gt;=Benchmarks!$C$8,"Average","Needs work"))))</f>
        <v/>
      </c>
      <c r="AC146" s="73" t="str">
        <f aca="false">IF(COUNT(AG146:AI146)=0,"",AVERAGE(AG146:AI146))</f>
        <v/>
      </c>
      <c r="AD146" s="37" t="str">
        <f aca="false">IF(A146="","",IF(Q146="Short",IF(AH146="","Add % viewed to diagnose",IF(AND(AH146&gt;=3,N(AI146)&gt;=3),"Winner Short — expand it into a long-form video",IF(AH146&lt;=1,"Hook problem — viewers swipe away in the first seconds",IF(AI146=1,"Watched but no reaction — end on a question or opinion","Solid Short — keep iterating")))),IF(OR(AG146="",AH146=""),"Add CTR &amp; % viewed to diagnose",IF(AND(AG146&gt;=3,AH146&gt;=3),"WINNER — make a sequel, series or Shorts from it",IF(AND(AG146&gt;=3,AH146&lt;=2),"Click but leave — intro too slow or title over-promises",IF(AND(AG146&lt;=2,AH146&gt;=3),"Great video, weak packaging — A/B test title + thumbnail",IF(AND(AG146=1,AH146=1),"Topic miss — don't repeat this angle","Average — sharpen the hook and the title")))))))</f>
        <v/>
      </c>
      <c r="AE146" s="76" t="str">
        <f aca="false">IF(OR(A146="",N(E146)=0),"",Q146&amp;"-"&amp;(COUNTIFS($Q$5:$Q$204,Q146,$E$5:$E$204,"&gt;"&amp;E146)+COUNTIFS($Q$5:Q146,Q146,$E$5:E146,E146)))</f>
        <v/>
      </c>
      <c r="AF146" s="77" t="str">
        <f aca="false">IF(AND(Q146="Long",N(F146)&gt;=Benchmarks!$C$15,G146&lt;&gt;""),G146,"")</f>
        <v/>
      </c>
      <c r="AG146" s="78" t="str">
        <f aca="false">IF(Z146="Elite",4,IF(Z146="Strong",3,IF(Z146="Average",2,IF(Z146="Needs work",1,""))))</f>
        <v/>
      </c>
      <c r="AH146" s="78" t="str">
        <f aca="false">IF(AA146="Elite",4,IF(AA146="Strong",3,IF(AA146="Average",2,IF(AA146="Needs work",1,""))))</f>
        <v/>
      </c>
      <c r="AI146" s="78" t="str">
        <f aca="false">IF(AB146="Elite",4,IF(AB146="Strong",3,IF(AB146="Average",2,IF(AB146="Needs work",1,""))))</f>
        <v/>
      </c>
    </row>
    <row r="147" customFormat="false" ht="15" hidden="false" customHeight="false" outlineLevel="0" collapsed="false">
      <c r="A147" s="64"/>
      <c r="B147" s="65"/>
      <c r="C147" s="66"/>
      <c r="D147" s="67"/>
      <c r="E147" s="67"/>
      <c r="F147" s="67"/>
      <c r="G147" s="68"/>
      <c r="H147" s="69"/>
      <c r="I147" s="68"/>
      <c r="J147" s="70"/>
      <c r="K147" s="67"/>
      <c r="L147" s="67"/>
      <c r="M147" s="67"/>
      <c r="N147" s="67"/>
      <c r="O147" s="67"/>
      <c r="P147" s="71"/>
      <c r="Q147" s="72" t="str">
        <f aca="false">IF(A147="","",IF(C147&lt;&gt;"",C147,IF(AND(D147&lt;&gt;"",D147&lt;=180),"Short","Long")))</f>
        <v/>
      </c>
      <c r="R147" s="73" t="str">
        <f aca="false">IF(OR(A147="",D147=""),"",D147/60)</f>
        <v/>
      </c>
      <c r="S147" s="72" t="str">
        <f aca="false">IF(OR(A147="",B147=""),"",IF(AND(B147&gt;=DATE(2026,4,1),B147&lt;=DATE(2026,6,30)),"Yes","No"))</f>
        <v/>
      </c>
      <c r="T147" s="72" t="str">
        <f aca="false">IF(OR(A147="",B147=""),"",CHOOSE(WEEKDAY(B147),"Sun","Mon","Tue","Wed","Thu","Fri","Sat"))</f>
        <v/>
      </c>
      <c r="U147" s="72" t="str">
        <f aca="false">IF(OR(Q147&lt;&gt;"Long",D147=""),"",IF(D147&lt;480,"Under 8 min",IF(D147&lt;900,"8–15 min",IF(D147&lt;1500,"15–25 min","25+ min"))))</f>
        <v/>
      </c>
      <c r="V147" s="74" t="str">
        <f aca="false">IF(OR(A147="",N(E147)=0),"",(N(K147)+N(L147))/E147*100)</f>
        <v/>
      </c>
      <c r="W147" s="73" t="str">
        <f aca="false">IF(OR(A147="",N(E147)=0),"",N(L147)/E147*1000)</f>
        <v/>
      </c>
      <c r="X147" s="75" t="str">
        <f aca="false">IF(A147="","",N(N147)-N(O147))</f>
        <v/>
      </c>
      <c r="Y147" s="73" t="str">
        <f aca="false">IF(OR(A147="",N(E147)=0),"",X147/E147*1000)</f>
        <v/>
      </c>
      <c r="Z147" s="72" t="str">
        <f aca="false">IF(OR(A147="",G147=""),"",IF(Q147="Short","n/a (Short)",IF(G147&gt;=Benchmarks!$E$5,"Elite",IF(G147&gt;=Benchmarks!$D$5,"Strong",IF(G147&gt;=Benchmarks!$C$5,"Average","Needs work")))))</f>
        <v/>
      </c>
      <c r="AA147" s="72" t="str">
        <f aca="false">IF(OR(A147="",I147=""),"",IF(Q147="Short",IF(I147&gt;=Benchmarks!$E$7,"Elite",IF(I147&gt;=Benchmarks!$D$7,"Strong",IF(I147&gt;=Benchmarks!$C$7,"Average","Needs work"))),IF(I147&gt;=Benchmarks!$E$6,"Elite",IF(I147&gt;=Benchmarks!$D$6,"Strong",IF(I147&gt;=Benchmarks!$C$6,"Average","Needs work")))))</f>
        <v/>
      </c>
      <c r="AB147" s="72" t="str">
        <f aca="false">IF(V147="","",IF(V147&gt;=Benchmarks!$E$8,"Elite",IF(V147&gt;=Benchmarks!$D$8,"Strong",IF(V147&gt;=Benchmarks!$C$8,"Average","Needs work"))))</f>
        <v/>
      </c>
      <c r="AC147" s="73" t="str">
        <f aca="false">IF(COUNT(AG147:AI147)=0,"",AVERAGE(AG147:AI147))</f>
        <v/>
      </c>
      <c r="AD147" s="37" t="str">
        <f aca="false">IF(A147="","",IF(Q147="Short",IF(AH147="","Add % viewed to diagnose",IF(AND(AH147&gt;=3,N(AI147)&gt;=3),"Winner Short — expand it into a long-form video",IF(AH147&lt;=1,"Hook problem — viewers swipe away in the first seconds",IF(AI147=1,"Watched but no reaction — end on a question or opinion","Solid Short — keep iterating")))),IF(OR(AG147="",AH147=""),"Add CTR &amp; % viewed to diagnose",IF(AND(AG147&gt;=3,AH147&gt;=3),"WINNER — make a sequel, series or Shorts from it",IF(AND(AG147&gt;=3,AH147&lt;=2),"Click but leave — intro too slow or title over-promises",IF(AND(AG147&lt;=2,AH147&gt;=3),"Great video, weak packaging — A/B test title + thumbnail",IF(AND(AG147=1,AH147=1),"Topic miss — don't repeat this angle","Average — sharpen the hook and the title")))))))</f>
        <v/>
      </c>
      <c r="AE147" s="76" t="str">
        <f aca="false">IF(OR(A147="",N(E147)=0),"",Q147&amp;"-"&amp;(COUNTIFS($Q$5:$Q$204,Q147,$E$5:$E$204,"&gt;"&amp;E147)+COUNTIFS($Q$5:Q147,Q147,$E$5:E147,E147)))</f>
        <v/>
      </c>
      <c r="AF147" s="77" t="str">
        <f aca="false">IF(AND(Q147="Long",N(F147)&gt;=Benchmarks!$C$15,G147&lt;&gt;""),G147,"")</f>
        <v/>
      </c>
      <c r="AG147" s="78" t="str">
        <f aca="false">IF(Z147="Elite",4,IF(Z147="Strong",3,IF(Z147="Average",2,IF(Z147="Needs work",1,""))))</f>
        <v/>
      </c>
      <c r="AH147" s="78" t="str">
        <f aca="false">IF(AA147="Elite",4,IF(AA147="Strong",3,IF(AA147="Average",2,IF(AA147="Needs work",1,""))))</f>
        <v/>
      </c>
      <c r="AI147" s="78" t="str">
        <f aca="false">IF(AB147="Elite",4,IF(AB147="Strong",3,IF(AB147="Average",2,IF(AB147="Needs work",1,""))))</f>
        <v/>
      </c>
    </row>
    <row r="148" customFormat="false" ht="15" hidden="false" customHeight="false" outlineLevel="0" collapsed="false">
      <c r="A148" s="64"/>
      <c r="B148" s="65"/>
      <c r="C148" s="66"/>
      <c r="D148" s="67"/>
      <c r="E148" s="67"/>
      <c r="F148" s="67"/>
      <c r="G148" s="68"/>
      <c r="H148" s="69"/>
      <c r="I148" s="68"/>
      <c r="J148" s="70"/>
      <c r="K148" s="67"/>
      <c r="L148" s="67"/>
      <c r="M148" s="67"/>
      <c r="N148" s="67"/>
      <c r="O148" s="67"/>
      <c r="P148" s="71"/>
      <c r="Q148" s="72" t="str">
        <f aca="false">IF(A148="","",IF(C148&lt;&gt;"",C148,IF(AND(D148&lt;&gt;"",D148&lt;=180),"Short","Long")))</f>
        <v/>
      </c>
      <c r="R148" s="73" t="str">
        <f aca="false">IF(OR(A148="",D148=""),"",D148/60)</f>
        <v/>
      </c>
      <c r="S148" s="72" t="str">
        <f aca="false">IF(OR(A148="",B148=""),"",IF(AND(B148&gt;=DATE(2026,4,1),B148&lt;=DATE(2026,6,30)),"Yes","No"))</f>
        <v/>
      </c>
      <c r="T148" s="72" t="str">
        <f aca="false">IF(OR(A148="",B148=""),"",CHOOSE(WEEKDAY(B148),"Sun","Mon","Tue","Wed","Thu","Fri","Sat"))</f>
        <v/>
      </c>
      <c r="U148" s="72" t="str">
        <f aca="false">IF(OR(Q148&lt;&gt;"Long",D148=""),"",IF(D148&lt;480,"Under 8 min",IF(D148&lt;900,"8–15 min",IF(D148&lt;1500,"15–25 min","25+ min"))))</f>
        <v/>
      </c>
      <c r="V148" s="74" t="str">
        <f aca="false">IF(OR(A148="",N(E148)=0),"",(N(K148)+N(L148))/E148*100)</f>
        <v/>
      </c>
      <c r="W148" s="73" t="str">
        <f aca="false">IF(OR(A148="",N(E148)=0),"",N(L148)/E148*1000)</f>
        <v/>
      </c>
      <c r="X148" s="75" t="str">
        <f aca="false">IF(A148="","",N(N148)-N(O148))</f>
        <v/>
      </c>
      <c r="Y148" s="73" t="str">
        <f aca="false">IF(OR(A148="",N(E148)=0),"",X148/E148*1000)</f>
        <v/>
      </c>
      <c r="Z148" s="72" t="str">
        <f aca="false">IF(OR(A148="",G148=""),"",IF(Q148="Short","n/a (Short)",IF(G148&gt;=Benchmarks!$E$5,"Elite",IF(G148&gt;=Benchmarks!$D$5,"Strong",IF(G148&gt;=Benchmarks!$C$5,"Average","Needs work")))))</f>
        <v/>
      </c>
      <c r="AA148" s="72" t="str">
        <f aca="false">IF(OR(A148="",I148=""),"",IF(Q148="Short",IF(I148&gt;=Benchmarks!$E$7,"Elite",IF(I148&gt;=Benchmarks!$D$7,"Strong",IF(I148&gt;=Benchmarks!$C$7,"Average","Needs work"))),IF(I148&gt;=Benchmarks!$E$6,"Elite",IF(I148&gt;=Benchmarks!$D$6,"Strong",IF(I148&gt;=Benchmarks!$C$6,"Average","Needs work")))))</f>
        <v/>
      </c>
      <c r="AB148" s="72" t="str">
        <f aca="false">IF(V148="","",IF(V148&gt;=Benchmarks!$E$8,"Elite",IF(V148&gt;=Benchmarks!$D$8,"Strong",IF(V148&gt;=Benchmarks!$C$8,"Average","Needs work"))))</f>
        <v/>
      </c>
      <c r="AC148" s="73" t="str">
        <f aca="false">IF(COUNT(AG148:AI148)=0,"",AVERAGE(AG148:AI148))</f>
        <v/>
      </c>
      <c r="AD148" s="37" t="str">
        <f aca="false">IF(A148="","",IF(Q148="Short",IF(AH148="","Add % viewed to diagnose",IF(AND(AH148&gt;=3,N(AI148)&gt;=3),"Winner Short — expand it into a long-form video",IF(AH148&lt;=1,"Hook problem — viewers swipe away in the first seconds",IF(AI148=1,"Watched but no reaction — end on a question or opinion","Solid Short — keep iterating")))),IF(OR(AG148="",AH148=""),"Add CTR &amp; % viewed to diagnose",IF(AND(AG148&gt;=3,AH148&gt;=3),"WINNER — make a sequel, series or Shorts from it",IF(AND(AG148&gt;=3,AH148&lt;=2),"Click but leave — intro too slow or title over-promises",IF(AND(AG148&lt;=2,AH148&gt;=3),"Great video, weak packaging — A/B test title + thumbnail",IF(AND(AG148=1,AH148=1),"Topic miss — don't repeat this angle","Average — sharpen the hook and the title")))))))</f>
        <v/>
      </c>
      <c r="AE148" s="76" t="str">
        <f aca="false">IF(OR(A148="",N(E148)=0),"",Q148&amp;"-"&amp;(COUNTIFS($Q$5:$Q$204,Q148,$E$5:$E$204,"&gt;"&amp;E148)+COUNTIFS($Q$5:Q148,Q148,$E$5:E148,E148)))</f>
        <v/>
      </c>
      <c r="AF148" s="77" t="str">
        <f aca="false">IF(AND(Q148="Long",N(F148)&gt;=Benchmarks!$C$15,G148&lt;&gt;""),G148,"")</f>
        <v/>
      </c>
      <c r="AG148" s="78" t="str">
        <f aca="false">IF(Z148="Elite",4,IF(Z148="Strong",3,IF(Z148="Average",2,IF(Z148="Needs work",1,""))))</f>
        <v/>
      </c>
      <c r="AH148" s="78" t="str">
        <f aca="false">IF(AA148="Elite",4,IF(AA148="Strong",3,IF(AA148="Average",2,IF(AA148="Needs work",1,""))))</f>
        <v/>
      </c>
      <c r="AI148" s="78" t="str">
        <f aca="false">IF(AB148="Elite",4,IF(AB148="Strong",3,IF(AB148="Average",2,IF(AB148="Needs work",1,""))))</f>
        <v/>
      </c>
    </row>
    <row r="149" customFormat="false" ht="15" hidden="false" customHeight="false" outlineLevel="0" collapsed="false">
      <c r="A149" s="64"/>
      <c r="B149" s="65"/>
      <c r="C149" s="66"/>
      <c r="D149" s="67"/>
      <c r="E149" s="67"/>
      <c r="F149" s="67"/>
      <c r="G149" s="68"/>
      <c r="H149" s="69"/>
      <c r="I149" s="68"/>
      <c r="J149" s="70"/>
      <c r="K149" s="67"/>
      <c r="L149" s="67"/>
      <c r="M149" s="67"/>
      <c r="N149" s="67"/>
      <c r="O149" s="67"/>
      <c r="P149" s="71"/>
      <c r="Q149" s="72" t="str">
        <f aca="false">IF(A149="","",IF(C149&lt;&gt;"",C149,IF(AND(D149&lt;&gt;"",D149&lt;=180),"Short","Long")))</f>
        <v/>
      </c>
      <c r="R149" s="73" t="str">
        <f aca="false">IF(OR(A149="",D149=""),"",D149/60)</f>
        <v/>
      </c>
      <c r="S149" s="72" t="str">
        <f aca="false">IF(OR(A149="",B149=""),"",IF(AND(B149&gt;=DATE(2026,4,1),B149&lt;=DATE(2026,6,30)),"Yes","No"))</f>
        <v/>
      </c>
      <c r="T149" s="72" t="str">
        <f aca="false">IF(OR(A149="",B149=""),"",CHOOSE(WEEKDAY(B149),"Sun","Mon","Tue","Wed","Thu","Fri","Sat"))</f>
        <v/>
      </c>
      <c r="U149" s="72" t="str">
        <f aca="false">IF(OR(Q149&lt;&gt;"Long",D149=""),"",IF(D149&lt;480,"Under 8 min",IF(D149&lt;900,"8–15 min",IF(D149&lt;1500,"15–25 min","25+ min"))))</f>
        <v/>
      </c>
      <c r="V149" s="74" t="str">
        <f aca="false">IF(OR(A149="",N(E149)=0),"",(N(K149)+N(L149))/E149*100)</f>
        <v/>
      </c>
      <c r="W149" s="73" t="str">
        <f aca="false">IF(OR(A149="",N(E149)=0),"",N(L149)/E149*1000)</f>
        <v/>
      </c>
      <c r="X149" s="75" t="str">
        <f aca="false">IF(A149="","",N(N149)-N(O149))</f>
        <v/>
      </c>
      <c r="Y149" s="73" t="str">
        <f aca="false">IF(OR(A149="",N(E149)=0),"",X149/E149*1000)</f>
        <v/>
      </c>
      <c r="Z149" s="72" t="str">
        <f aca="false">IF(OR(A149="",G149=""),"",IF(Q149="Short","n/a (Short)",IF(G149&gt;=Benchmarks!$E$5,"Elite",IF(G149&gt;=Benchmarks!$D$5,"Strong",IF(G149&gt;=Benchmarks!$C$5,"Average","Needs work")))))</f>
        <v/>
      </c>
      <c r="AA149" s="72" t="str">
        <f aca="false">IF(OR(A149="",I149=""),"",IF(Q149="Short",IF(I149&gt;=Benchmarks!$E$7,"Elite",IF(I149&gt;=Benchmarks!$D$7,"Strong",IF(I149&gt;=Benchmarks!$C$7,"Average","Needs work"))),IF(I149&gt;=Benchmarks!$E$6,"Elite",IF(I149&gt;=Benchmarks!$D$6,"Strong",IF(I149&gt;=Benchmarks!$C$6,"Average","Needs work")))))</f>
        <v/>
      </c>
      <c r="AB149" s="72" t="str">
        <f aca="false">IF(V149="","",IF(V149&gt;=Benchmarks!$E$8,"Elite",IF(V149&gt;=Benchmarks!$D$8,"Strong",IF(V149&gt;=Benchmarks!$C$8,"Average","Needs work"))))</f>
        <v/>
      </c>
      <c r="AC149" s="73" t="str">
        <f aca="false">IF(COUNT(AG149:AI149)=0,"",AVERAGE(AG149:AI149))</f>
        <v/>
      </c>
      <c r="AD149" s="37" t="str">
        <f aca="false">IF(A149="","",IF(Q149="Short",IF(AH149="","Add % viewed to diagnose",IF(AND(AH149&gt;=3,N(AI149)&gt;=3),"Winner Short — expand it into a long-form video",IF(AH149&lt;=1,"Hook problem — viewers swipe away in the first seconds",IF(AI149=1,"Watched but no reaction — end on a question or opinion","Solid Short — keep iterating")))),IF(OR(AG149="",AH149=""),"Add CTR &amp; % viewed to diagnose",IF(AND(AG149&gt;=3,AH149&gt;=3),"WINNER — make a sequel, series or Shorts from it",IF(AND(AG149&gt;=3,AH149&lt;=2),"Click but leave — intro too slow or title over-promises",IF(AND(AG149&lt;=2,AH149&gt;=3),"Great video, weak packaging — A/B test title + thumbnail",IF(AND(AG149=1,AH149=1),"Topic miss — don't repeat this angle","Average — sharpen the hook and the title")))))))</f>
        <v/>
      </c>
      <c r="AE149" s="76" t="str">
        <f aca="false">IF(OR(A149="",N(E149)=0),"",Q149&amp;"-"&amp;(COUNTIFS($Q$5:$Q$204,Q149,$E$5:$E$204,"&gt;"&amp;E149)+COUNTIFS($Q$5:Q149,Q149,$E$5:E149,E149)))</f>
        <v/>
      </c>
      <c r="AF149" s="77" t="str">
        <f aca="false">IF(AND(Q149="Long",N(F149)&gt;=Benchmarks!$C$15,G149&lt;&gt;""),G149,"")</f>
        <v/>
      </c>
      <c r="AG149" s="78" t="str">
        <f aca="false">IF(Z149="Elite",4,IF(Z149="Strong",3,IF(Z149="Average",2,IF(Z149="Needs work",1,""))))</f>
        <v/>
      </c>
      <c r="AH149" s="78" t="str">
        <f aca="false">IF(AA149="Elite",4,IF(AA149="Strong",3,IF(AA149="Average",2,IF(AA149="Needs work",1,""))))</f>
        <v/>
      </c>
      <c r="AI149" s="78" t="str">
        <f aca="false">IF(AB149="Elite",4,IF(AB149="Strong",3,IF(AB149="Average",2,IF(AB149="Needs work",1,""))))</f>
        <v/>
      </c>
    </row>
    <row r="150" customFormat="false" ht="15" hidden="false" customHeight="false" outlineLevel="0" collapsed="false">
      <c r="A150" s="64"/>
      <c r="B150" s="65"/>
      <c r="C150" s="66"/>
      <c r="D150" s="67"/>
      <c r="E150" s="67"/>
      <c r="F150" s="67"/>
      <c r="G150" s="68"/>
      <c r="H150" s="69"/>
      <c r="I150" s="68"/>
      <c r="J150" s="70"/>
      <c r="K150" s="67"/>
      <c r="L150" s="67"/>
      <c r="M150" s="67"/>
      <c r="N150" s="67"/>
      <c r="O150" s="67"/>
      <c r="P150" s="71"/>
      <c r="Q150" s="72" t="str">
        <f aca="false">IF(A150="","",IF(C150&lt;&gt;"",C150,IF(AND(D150&lt;&gt;"",D150&lt;=180),"Short","Long")))</f>
        <v/>
      </c>
      <c r="R150" s="73" t="str">
        <f aca="false">IF(OR(A150="",D150=""),"",D150/60)</f>
        <v/>
      </c>
      <c r="S150" s="72" t="str">
        <f aca="false">IF(OR(A150="",B150=""),"",IF(AND(B150&gt;=DATE(2026,4,1),B150&lt;=DATE(2026,6,30)),"Yes","No"))</f>
        <v/>
      </c>
      <c r="T150" s="72" t="str">
        <f aca="false">IF(OR(A150="",B150=""),"",CHOOSE(WEEKDAY(B150),"Sun","Mon","Tue","Wed","Thu","Fri","Sat"))</f>
        <v/>
      </c>
      <c r="U150" s="72" t="str">
        <f aca="false">IF(OR(Q150&lt;&gt;"Long",D150=""),"",IF(D150&lt;480,"Under 8 min",IF(D150&lt;900,"8–15 min",IF(D150&lt;1500,"15–25 min","25+ min"))))</f>
        <v/>
      </c>
      <c r="V150" s="74" t="str">
        <f aca="false">IF(OR(A150="",N(E150)=0),"",(N(K150)+N(L150))/E150*100)</f>
        <v/>
      </c>
      <c r="W150" s="73" t="str">
        <f aca="false">IF(OR(A150="",N(E150)=0),"",N(L150)/E150*1000)</f>
        <v/>
      </c>
      <c r="X150" s="75" t="str">
        <f aca="false">IF(A150="","",N(N150)-N(O150))</f>
        <v/>
      </c>
      <c r="Y150" s="73" t="str">
        <f aca="false">IF(OR(A150="",N(E150)=0),"",X150/E150*1000)</f>
        <v/>
      </c>
      <c r="Z150" s="72" t="str">
        <f aca="false">IF(OR(A150="",G150=""),"",IF(Q150="Short","n/a (Short)",IF(G150&gt;=Benchmarks!$E$5,"Elite",IF(G150&gt;=Benchmarks!$D$5,"Strong",IF(G150&gt;=Benchmarks!$C$5,"Average","Needs work")))))</f>
        <v/>
      </c>
      <c r="AA150" s="72" t="str">
        <f aca="false">IF(OR(A150="",I150=""),"",IF(Q150="Short",IF(I150&gt;=Benchmarks!$E$7,"Elite",IF(I150&gt;=Benchmarks!$D$7,"Strong",IF(I150&gt;=Benchmarks!$C$7,"Average","Needs work"))),IF(I150&gt;=Benchmarks!$E$6,"Elite",IF(I150&gt;=Benchmarks!$D$6,"Strong",IF(I150&gt;=Benchmarks!$C$6,"Average","Needs work")))))</f>
        <v/>
      </c>
      <c r="AB150" s="72" t="str">
        <f aca="false">IF(V150="","",IF(V150&gt;=Benchmarks!$E$8,"Elite",IF(V150&gt;=Benchmarks!$D$8,"Strong",IF(V150&gt;=Benchmarks!$C$8,"Average","Needs work"))))</f>
        <v/>
      </c>
      <c r="AC150" s="73" t="str">
        <f aca="false">IF(COUNT(AG150:AI150)=0,"",AVERAGE(AG150:AI150))</f>
        <v/>
      </c>
      <c r="AD150" s="37" t="str">
        <f aca="false">IF(A150="","",IF(Q150="Short",IF(AH150="","Add % viewed to diagnose",IF(AND(AH150&gt;=3,N(AI150)&gt;=3),"Winner Short — expand it into a long-form video",IF(AH150&lt;=1,"Hook problem — viewers swipe away in the first seconds",IF(AI150=1,"Watched but no reaction — end on a question or opinion","Solid Short — keep iterating")))),IF(OR(AG150="",AH150=""),"Add CTR &amp; % viewed to diagnose",IF(AND(AG150&gt;=3,AH150&gt;=3),"WINNER — make a sequel, series or Shorts from it",IF(AND(AG150&gt;=3,AH150&lt;=2),"Click but leave — intro too slow or title over-promises",IF(AND(AG150&lt;=2,AH150&gt;=3),"Great video, weak packaging — A/B test title + thumbnail",IF(AND(AG150=1,AH150=1),"Topic miss — don't repeat this angle","Average — sharpen the hook and the title")))))))</f>
        <v/>
      </c>
      <c r="AE150" s="76" t="str">
        <f aca="false">IF(OR(A150="",N(E150)=0),"",Q150&amp;"-"&amp;(COUNTIFS($Q$5:$Q$204,Q150,$E$5:$E$204,"&gt;"&amp;E150)+COUNTIFS($Q$5:Q150,Q150,$E$5:E150,E150)))</f>
        <v/>
      </c>
      <c r="AF150" s="77" t="str">
        <f aca="false">IF(AND(Q150="Long",N(F150)&gt;=Benchmarks!$C$15,G150&lt;&gt;""),G150,"")</f>
        <v/>
      </c>
      <c r="AG150" s="78" t="str">
        <f aca="false">IF(Z150="Elite",4,IF(Z150="Strong",3,IF(Z150="Average",2,IF(Z150="Needs work",1,""))))</f>
        <v/>
      </c>
      <c r="AH150" s="78" t="str">
        <f aca="false">IF(AA150="Elite",4,IF(AA150="Strong",3,IF(AA150="Average",2,IF(AA150="Needs work",1,""))))</f>
        <v/>
      </c>
      <c r="AI150" s="78" t="str">
        <f aca="false">IF(AB150="Elite",4,IF(AB150="Strong",3,IF(AB150="Average",2,IF(AB150="Needs work",1,""))))</f>
        <v/>
      </c>
    </row>
    <row r="151" customFormat="false" ht="15" hidden="false" customHeight="false" outlineLevel="0" collapsed="false">
      <c r="A151" s="64"/>
      <c r="B151" s="65"/>
      <c r="C151" s="66"/>
      <c r="D151" s="67"/>
      <c r="E151" s="67"/>
      <c r="F151" s="67"/>
      <c r="G151" s="68"/>
      <c r="H151" s="69"/>
      <c r="I151" s="68"/>
      <c r="J151" s="70"/>
      <c r="K151" s="67"/>
      <c r="L151" s="67"/>
      <c r="M151" s="67"/>
      <c r="N151" s="67"/>
      <c r="O151" s="67"/>
      <c r="P151" s="71"/>
      <c r="Q151" s="72" t="str">
        <f aca="false">IF(A151="","",IF(C151&lt;&gt;"",C151,IF(AND(D151&lt;&gt;"",D151&lt;=180),"Short","Long")))</f>
        <v/>
      </c>
      <c r="R151" s="73" t="str">
        <f aca="false">IF(OR(A151="",D151=""),"",D151/60)</f>
        <v/>
      </c>
      <c r="S151" s="72" t="str">
        <f aca="false">IF(OR(A151="",B151=""),"",IF(AND(B151&gt;=DATE(2026,4,1),B151&lt;=DATE(2026,6,30)),"Yes","No"))</f>
        <v/>
      </c>
      <c r="T151" s="72" t="str">
        <f aca="false">IF(OR(A151="",B151=""),"",CHOOSE(WEEKDAY(B151),"Sun","Mon","Tue","Wed","Thu","Fri","Sat"))</f>
        <v/>
      </c>
      <c r="U151" s="72" t="str">
        <f aca="false">IF(OR(Q151&lt;&gt;"Long",D151=""),"",IF(D151&lt;480,"Under 8 min",IF(D151&lt;900,"8–15 min",IF(D151&lt;1500,"15–25 min","25+ min"))))</f>
        <v/>
      </c>
      <c r="V151" s="74" t="str">
        <f aca="false">IF(OR(A151="",N(E151)=0),"",(N(K151)+N(L151))/E151*100)</f>
        <v/>
      </c>
      <c r="W151" s="73" t="str">
        <f aca="false">IF(OR(A151="",N(E151)=0),"",N(L151)/E151*1000)</f>
        <v/>
      </c>
      <c r="X151" s="75" t="str">
        <f aca="false">IF(A151="","",N(N151)-N(O151))</f>
        <v/>
      </c>
      <c r="Y151" s="73" t="str">
        <f aca="false">IF(OR(A151="",N(E151)=0),"",X151/E151*1000)</f>
        <v/>
      </c>
      <c r="Z151" s="72" t="str">
        <f aca="false">IF(OR(A151="",G151=""),"",IF(Q151="Short","n/a (Short)",IF(G151&gt;=Benchmarks!$E$5,"Elite",IF(G151&gt;=Benchmarks!$D$5,"Strong",IF(G151&gt;=Benchmarks!$C$5,"Average","Needs work")))))</f>
        <v/>
      </c>
      <c r="AA151" s="72" t="str">
        <f aca="false">IF(OR(A151="",I151=""),"",IF(Q151="Short",IF(I151&gt;=Benchmarks!$E$7,"Elite",IF(I151&gt;=Benchmarks!$D$7,"Strong",IF(I151&gt;=Benchmarks!$C$7,"Average","Needs work"))),IF(I151&gt;=Benchmarks!$E$6,"Elite",IF(I151&gt;=Benchmarks!$D$6,"Strong",IF(I151&gt;=Benchmarks!$C$6,"Average","Needs work")))))</f>
        <v/>
      </c>
      <c r="AB151" s="72" t="str">
        <f aca="false">IF(V151="","",IF(V151&gt;=Benchmarks!$E$8,"Elite",IF(V151&gt;=Benchmarks!$D$8,"Strong",IF(V151&gt;=Benchmarks!$C$8,"Average","Needs work"))))</f>
        <v/>
      </c>
      <c r="AC151" s="73" t="str">
        <f aca="false">IF(COUNT(AG151:AI151)=0,"",AVERAGE(AG151:AI151))</f>
        <v/>
      </c>
      <c r="AD151" s="37" t="str">
        <f aca="false">IF(A151="","",IF(Q151="Short",IF(AH151="","Add % viewed to diagnose",IF(AND(AH151&gt;=3,N(AI151)&gt;=3),"Winner Short — expand it into a long-form video",IF(AH151&lt;=1,"Hook problem — viewers swipe away in the first seconds",IF(AI151=1,"Watched but no reaction — end on a question or opinion","Solid Short — keep iterating")))),IF(OR(AG151="",AH151=""),"Add CTR &amp; % viewed to diagnose",IF(AND(AG151&gt;=3,AH151&gt;=3),"WINNER — make a sequel, series or Shorts from it",IF(AND(AG151&gt;=3,AH151&lt;=2),"Click but leave — intro too slow or title over-promises",IF(AND(AG151&lt;=2,AH151&gt;=3),"Great video, weak packaging — A/B test title + thumbnail",IF(AND(AG151=1,AH151=1),"Topic miss — don't repeat this angle","Average — sharpen the hook and the title")))))))</f>
        <v/>
      </c>
      <c r="AE151" s="76" t="str">
        <f aca="false">IF(OR(A151="",N(E151)=0),"",Q151&amp;"-"&amp;(COUNTIFS($Q$5:$Q$204,Q151,$E$5:$E$204,"&gt;"&amp;E151)+COUNTIFS($Q$5:Q151,Q151,$E$5:E151,E151)))</f>
        <v/>
      </c>
      <c r="AF151" s="77" t="str">
        <f aca="false">IF(AND(Q151="Long",N(F151)&gt;=Benchmarks!$C$15,G151&lt;&gt;""),G151,"")</f>
        <v/>
      </c>
      <c r="AG151" s="78" t="str">
        <f aca="false">IF(Z151="Elite",4,IF(Z151="Strong",3,IF(Z151="Average",2,IF(Z151="Needs work",1,""))))</f>
        <v/>
      </c>
      <c r="AH151" s="78" t="str">
        <f aca="false">IF(AA151="Elite",4,IF(AA151="Strong",3,IF(AA151="Average",2,IF(AA151="Needs work",1,""))))</f>
        <v/>
      </c>
      <c r="AI151" s="78" t="str">
        <f aca="false">IF(AB151="Elite",4,IF(AB151="Strong",3,IF(AB151="Average",2,IF(AB151="Needs work",1,""))))</f>
        <v/>
      </c>
    </row>
    <row r="152" customFormat="false" ht="15" hidden="false" customHeight="false" outlineLevel="0" collapsed="false">
      <c r="A152" s="64"/>
      <c r="B152" s="65"/>
      <c r="C152" s="66"/>
      <c r="D152" s="67"/>
      <c r="E152" s="67"/>
      <c r="F152" s="67"/>
      <c r="G152" s="68"/>
      <c r="H152" s="69"/>
      <c r="I152" s="68"/>
      <c r="J152" s="70"/>
      <c r="K152" s="67"/>
      <c r="L152" s="67"/>
      <c r="M152" s="67"/>
      <c r="N152" s="67"/>
      <c r="O152" s="67"/>
      <c r="P152" s="71"/>
      <c r="Q152" s="72" t="str">
        <f aca="false">IF(A152="","",IF(C152&lt;&gt;"",C152,IF(AND(D152&lt;&gt;"",D152&lt;=180),"Short","Long")))</f>
        <v/>
      </c>
      <c r="R152" s="73" t="str">
        <f aca="false">IF(OR(A152="",D152=""),"",D152/60)</f>
        <v/>
      </c>
      <c r="S152" s="72" t="str">
        <f aca="false">IF(OR(A152="",B152=""),"",IF(AND(B152&gt;=DATE(2026,4,1),B152&lt;=DATE(2026,6,30)),"Yes","No"))</f>
        <v/>
      </c>
      <c r="T152" s="72" t="str">
        <f aca="false">IF(OR(A152="",B152=""),"",CHOOSE(WEEKDAY(B152),"Sun","Mon","Tue","Wed","Thu","Fri","Sat"))</f>
        <v/>
      </c>
      <c r="U152" s="72" t="str">
        <f aca="false">IF(OR(Q152&lt;&gt;"Long",D152=""),"",IF(D152&lt;480,"Under 8 min",IF(D152&lt;900,"8–15 min",IF(D152&lt;1500,"15–25 min","25+ min"))))</f>
        <v/>
      </c>
      <c r="V152" s="74" t="str">
        <f aca="false">IF(OR(A152="",N(E152)=0),"",(N(K152)+N(L152))/E152*100)</f>
        <v/>
      </c>
      <c r="W152" s="73" t="str">
        <f aca="false">IF(OR(A152="",N(E152)=0),"",N(L152)/E152*1000)</f>
        <v/>
      </c>
      <c r="X152" s="75" t="str">
        <f aca="false">IF(A152="","",N(N152)-N(O152))</f>
        <v/>
      </c>
      <c r="Y152" s="73" t="str">
        <f aca="false">IF(OR(A152="",N(E152)=0),"",X152/E152*1000)</f>
        <v/>
      </c>
      <c r="Z152" s="72" t="str">
        <f aca="false">IF(OR(A152="",G152=""),"",IF(Q152="Short","n/a (Short)",IF(G152&gt;=Benchmarks!$E$5,"Elite",IF(G152&gt;=Benchmarks!$D$5,"Strong",IF(G152&gt;=Benchmarks!$C$5,"Average","Needs work")))))</f>
        <v/>
      </c>
      <c r="AA152" s="72" t="str">
        <f aca="false">IF(OR(A152="",I152=""),"",IF(Q152="Short",IF(I152&gt;=Benchmarks!$E$7,"Elite",IF(I152&gt;=Benchmarks!$D$7,"Strong",IF(I152&gt;=Benchmarks!$C$7,"Average","Needs work"))),IF(I152&gt;=Benchmarks!$E$6,"Elite",IF(I152&gt;=Benchmarks!$D$6,"Strong",IF(I152&gt;=Benchmarks!$C$6,"Average","Needs work")))))</f>
        <v/>
      </c>
      <c r="AB152" s="72" t="str">
        <f aca="false">IF(V152="","",IF(V152&gt;=Benchmarks!$E$8,"Elite",IF(V152&gt;=Benchmarks!$D$8,"Strong",IF(V152&gt;=Benchmarks!$C$8,"Average","Needs work"))))</f>
        <v/>
      </c>
      <c r="AC152" s="73" t="str">
        <f aca="false">IF(COUNT(AG152:AI152)=0,"",AVERAGE(AG152:AI152))</f>
        <v/>
      </c>
      <c r="AD152" s="37" t="str">
        <f aca="false">IF(A152="","",IF(Q152="Short",IF(AH152="","Add % viewed to diagnose",IF(AND(AH152&gt;=3,N(AI152)&gt;=3),"Winner Short — expand it into a long-form video",IF(AH152&lt;=1,"Hook problem — viewers swipe away in the first seconds",IF(AI152=1,"Watched but no reaction — end on a question or opinion","Solid Short — keep iterating")))),IF(OR(AG152="",AH152=""),"Add CTR &amp; % viewed to diagnose",IF(AND(AG152&gt;=3,AH152&gt;=3),"WINNER — make a sequel, series or Shorts from it",IF(AND(AG152&gt;=3,AH152&lt;=2),"Click but leave — intro too slow or title over-promises",IF(AND(AG152&lt;=2,AH152&gt;=3),"Great video, weak packaging — A/B test title + thumbnail",IF(AND(AG152=1,AH152=1),"Topic miss — don't repeat this angle","Average — sharpen the hook and the title")))))))</f>
        <v/>
      </c>
      <c r="AE152" s="76" t="str">
        <f aca="false">IF(OR(A152="",N(E152)=0),"",Q152&amp;"-"&amp;(COUNTIFS($Q$5:$Q$204,Q152,$E$5:$E$204,"&gt;"&amp;E152)+COUNTIFS($Q$5:Q152,Q152,$E$5:E152,E152)))</f>
        <v/>
      </c>
      <c r="AF152" s="77" t="str">
        <f aca="false">IF(AND(Q152="Long",N(F152)&gt;=Benchmarks!$C$15,G152&lt;&gt;""),G152,"")</f>
        <v/>
      </c>
      <c r="AG152" s="78" t="str">
        <f aca="false">IF(Z152="Elite",4,IF(Z152="Strong",3,IF(Z152="Average",2,IF(Z152="Needs work",1,""))))</f>
        <v/>
      </c>
      <c r="AH152" s="78" t="str">
        <f aca="false">IF(AA152="Elite",4,IF(AA152="Strong",3,IF(AA152="Average",2,IF(AA152="Needs work",1,""))))</f>
        <v/>
      </c>
      <c r="AI152" s="78" t="str">
        <f aca="false">IF(AB152="Elite",4,IF(AB152="Strong",3,IF(AB152="Average",2,IF(AB152="Needs work",1,""))))</f>
        <v/>
      </c>
    </row>
    <row r="153" customFormat="false" ht="15" hidden="false" customHeight="false" outlineLevel="0" collapsed="false">
      <c r="A153" s="64"/>
      <c r="B153" s="65"/>
      <c r="C153" s="66"/>
      <c r="D153" s="67"/>
      <c r="E153" s="67"/>
      <c r="F153" s="67"/>
      <c r="G153" s="68"/>
      <c r="H153" s="69"/>
      <c r="I153" s="68"/>
      <c r="J153" s="70"/>
      <c r="K153" s="67"/>
      <c r="L153" s="67"/>
      <c r="M153" s="67"/>
      <c r="N153" s="67"/>
      <c r="O153" s="67"/>
      <c r="P153" s="71"/>
      <c r="Q153" s="72" t="str">
        <f aca="false">IF(A153="","",IF(C153&lt;&gt;"",C153,IF(AND(D153&lt;&gt;"",D153&lt;=180),"Short","Long")))</f>
        <v/>
      </c>
      <c r="R153" s="73" t="str">
        <f aca="false">IF(OR(A153="",D153=""),"",D153/60)</f>
        <v/>
      </c>
      <c r="S153" s="72" t="str">
        <f aca="false">IF(OR(A153="",B153=""),"",IF(AND(B153&gt;=DATE(2026,4,1),B153&lt;=DATE(2026,6,30)),"Yes","No"))</f>
        <v/>
      </c>
      <c r="T153" s="72" t="str">
        <f aca="false">IF(OR(A153="",B153=""),"",CHOOSE(WEEKDAY(B153),"Sun","Mon","Tue","Wed","Thu","Fri","Sat"))</f>
        <v/>
      </c>
      <c r="U153" s="72" t="str">
        <f aca="false">IF(OR(Q153&lt;&gt;"Long",D153=""),"",IF(D153&lt;480,"Under 8 min",IF(D153&lt;900,"8–15 min",IF(D153&lt;1500,"15–25 min","25+ min"))))</f>
        <v/>
      </c>
      <c r="V153" s="74" t="str">
        <f aca="false">IF(OR(A153="",N(E153)=0),"",(N(K153)+N(L153))/E153*100)</f>
        <v/>
      </c>
      <c r="W153" s="73" t="str">
        <f aca="false">IF(OR(A153="",N(E153)=0),"",N(L153)/E153*1000)</f>
        <v/>
      </c>
      <c r="X153" s="75" t="str">
        <f aca="false">IF(A153="","",N(N153)-N(O153))</f>
        <v/>
      </c>
      <c r="Y153" s="73" t="str">
        <f aca="false">IF(OR(A153="",N(E153)=0),"",X153/E153*1000)</f>
        <v/>
      </c>
      <c r="Z153" s="72" t="str">
        <f aca="false">IF(OR(A153="",G153=""),"",IF(Q153="Short","n/a (Short)",IF(G153&gt;=Benchmarks!$E$5,"Elite",IF(G153&gt;=Benchmarks!$D$5,"Strong",IF(G153&gt;=Benchmarks!$C$5,"Average","Needs work")))))</f>
        <v/>
      </c>
      <c r="AA153" s="72" t="str">
        <f aca="false">IF(OR(A153="",I153=""),"",IF(Q153="Short",IF(I153&gt;=Benchmarks!$E$7,"Elite",IF(I153&gt;=Benchmarks!$D$7,"Strong",IF(I153&gt;=Benchmarks!$C$7,"Average","Needs work"))),IF(I153&gt;=Benchmarks!$E$6,"Elite",IF(I153&gt;=Benchmarks!$D$6,"Strong",IF(I153&gt;=Benchmarks!$C$6,"Average","Needs work")))))</f>
        <v/>
      </c>
      <c r="AB153" s="72" t="str">
        <f aca="false">IF(V153="","",IF(V153&gt;=Benchmarks!$E$8,"Elite",IF(V153&gt;=Benchmarks!$D$8,"Strong",IF(V153&gt;=Benchmarks!$C$8,"Average","Needs work"))))</f>
        <v/>
      </c>
      <c r="AC153" s="73" t="str">
        <f aca="false">IF(COUNT(AG153:AI153)=0,"",AVERAGE(AG153:AI153))</f>
        <v/>
      </c>
      <c r="AD153" s="37" t="str">
        <f aca="false">IF(A153="","",IF(Q153="Short",IF(AH153="","Add % viewed to diagnose",IF(AND(AH153&gt;=3,N(AI153)&gt;=3),"Winner Short — expand it into a long-form video",IF(AH153&lt;=1,"Hook problem — viewers swipe away in the first seconds",IF(AI153=1,"Watched but no reaction — end on a question or opinion","Solid Short — keep iterating")))),IF(OR(AG153="",AH153=""),"Add CTR &amp; % viewed to diagnose",IF(AND(AG153&gt;=3,AH153&gt;=3),"WINNER — make a sequel, series or Shorts from it",IF(AND(AG153&gt;=3,AH153&lt;=2),"Click but leave — intro too slow or title over-promises",IF(AND(AG153&lt;=2,AH153&gt;=3),"Great video, weak packaging — A/B test title + thumbnail",IF(AND(AG153=1,AH153=1),"Topic miss — don't repeat this angle","Average — sharpen the hook and the title")))))))</f>
        <v/>
      </c>
      <c r="AE153" s="76" t="str">
        <f aca="false">IF(OR(A153="",N(E153)=0),"",Q153&amp;"-"&amp;(COUNTIFS($Q$5:$Q$204,Q153,$E$5:$E$204,"&gt;"&amp;E153)+COUNTIFS($Q$5:Q153,Q153,$E$5:E153,E153)))</f>
        <v/>
      </c>
      <c r="AF153" s="77" t="str">
        <f aca="false">IF(AND(Q153="Long",N(F153)&gt;=Benchmarks!$C$15,G153&lt;&gt;""),G153,"")</f>
        <v/>
      </c>
      <c r="AG153" s="78" t="str">
        <f aca="false">IF(Z153="Elite",4,IF(Z153="Strong",3,IF(Z153="Average",2,IF(Z153="Needs work",1,""))))</f>
        <v/>
      </c>
      <c r="AH153" s="78" t="str">
        <f aca="false">IF(AA153="Elite",4,IF(AA153="Strong",3,IF(AA153="Average",2,IF(AA153="Needs work",1,""))))</f>
        <v/>
      </c>
      <c r="AI153" s="78" t="str">
        <f aca="false">IF(AB153="Elite",4,IF(AB153="Strong",3,IF(AB153="Average",2,IF(AB153="Needs work",1,""))))</f>
        <v/>
      </c>
    </row>
    <row r="154" customFormat="false" ht="15" hidden="false" customHeight="false" outlineLevel="0" collapsed="false">
      <c r="A154" s="64"/>
      <c r="B154" s="65"/>
      <c r="C154" s="66"/>
      <c r="D154" s="67"/>
      <c r="E154" s="67"/>
      <c r="F154" s="67"/>
      <c r="G154" s="68"/>
      <c r="H154" s="69"/>
      <c r="I154" s="68"/>
      <c r="J154" s="70"/>
      <c r="K154" s="67"/>
      <c r="L154" s="67"/>
      <c r="M154" s="67"/>
      <c r="N154" s="67"/>
      <c r="O154" s="67"/>
      <c r="P154" s="71"/>
      <c r="Q154" s="72" t="str">
        <f aca="false">IF(A154="","",IF(C154&lt;&gt;"",C154,IF(AND(D154&lt;&gt;"",D154&lt;=180),"Short","Long")))</f>
        <v/>
      </c>
      <c r="R154" s="73" t="str">
        <f aca="false">IF(OR(A154="",D154=""),"",D154/60)</f>
        <v/>
      </c>
      <c r="S154" s="72" t="str">
        <f aca="false">IF(OR(A154="",B154=""),"",IF(AND(B154&gt;=DATE(2026,4,1),B154&lt;=DATE(2026,6,30)),"Yes","No"))</f>
        <v/>
      </c>
      <c r="T154" s="72" t="str">
        <f aca="false">IF(OR(A154="",B154=""),"",CHOOSE(WEEKDAY(B154),"Sun","Mon","Tue","Wed","Thu","Fri","Sat"))</f>
        <v/>
      </c>
      <c r="U154" s="72" t="str">
        <f aca="false">IF(OR(Q154&lt;&gt;"Long",D154=""),"",IF(D154&lt;480,"Under 8 min",IF(D154&lt;900,"8–15 min",IF(D154&lt;1500,"15–25 min","25+ min"))))</f>
        <v/>
      </c>
      <c r="V154" s="74" t="str">
        <f aca="false">IF(OR(A154="",N(E154)=0),"",(N(K154)+N(L154))/E154*100)</f>
        <v/>
      </c>
      <c r="W154" s="73" t="str">
        <f aca="false">IF(OR(A154="",N(E154)=0),"",N(L154)/E154*1000)</f>
        <v/>
      </c>
      <c r="X154" s="75" t="str">
        <f aca="false">IF(A154="","",N(N154)-N(O154))</f>
        <v/>
      </c>
      <c r="Y154" s="73" t="str">
        <f aca="false">IF(OR(A154="",N(E154)=0),"",X154/E154*1000)</f>
        <v/>
      </c>
      <c r="Z154" s="72" t="str">
        <f aca="false">IF(OR(A154="",G154=""),"",IF(Q154="Short","n/a (Short)",IF(G154&gt;=Benchmarks!$E$5,"Elite",IF(G154&gt;=Benchmarks!$D$5,"Strong",IF(G154&gt;=Benchmarks!$C$5,"Average","Needs work")))))</f>
        <v/>
      </c>
      <c r="AA154" s="72" t="str">
        <f aca="false">IF(OR(A154="",I154=""),"",IF(Q154="Short",IF(I154&gt;=Benchmarks!$E$7,"Elite",IF(I154&gt;=Benchmarks!$D$7,"Strong",IF(I154&gt;=Benchmarks!$C$7,"Average","Needs work"))),IF(I154&gt;=Benchmarks!$E$6,"Elite",IF(I154&gt;=Benchmarks!$D$6,"Strong",IF(I154&gt;=Benchmarks!$C$6,"Average","Needs work")))))</f>
        <v/>
      </c>
      <c r="AB154" s="72" t="str">
        <f aca="false">IF(V154="","",IF(V154&gt;=Benchmarks!$E$8,"Elite",IF(V154&gt;=Benchmarks!$D$8,"Strong",IF(V154&gt;=Benchmarks!$C$8,"Average","Needs work"))))</f>
        <v/>
      </c>
      <c r="AC154" s="73" t="str">
        <f aca="false">IF(COUNT(AG154:AI154)=0,"",AVERAGE(AG154:AI154))</f>
        <v/>
      </c>
      <c r="AD154" s="37" t="str">
        <f aca="false">IF(A154="","",IF(Q154="Short",IF(AH154="","Add % viewed to diagnose",IF(AND(AH154&gt;=3,N(AI154)&gt;=3),"Winner Short — expand it into a long-form video",IF(AH154&lt;=1,"Hook problem — viewers swipe away in the first seconds",IF(AI154=1,"Watched but no reaction — end on a question or opinion","Solid Short — keep iterating")))),IF(OR(AG154="",AH154=""),"Add CTR &amp; % viewed to diagnose",IF(AND(AG154&gt;=3,AH154&gt;=3),"WINNER — make a sequel, series or Shorts from it",IF(AND(AG154&gt;=3,AH154&lt;=2),"Click but leave — intro too slow or title over-promises",IF(AND(AG154&lt;=2,AH154&gt;=3),"Great video, weak packaging — A/B test title + thumbnail",IF(AND(AG154=1,AH154=1),"Topic miss — don't repeat this angle","Average — sharpen the hook and the title")))))))</f>
        <v/>
      </c>
      <c r="AE154" s="76" t="str">
        <f aca="false">IF(OR(A154="",N(E154)=0),"",Q154&amp;"-"&amp;(COUNTIFS($Q$5:$Q$204,Q154,$E$5:$E$204,"&gt;"&amp;E154)+COUNTIFS($Q$5:Q154,Q154,$E$5:E154,E154)))</f>
        <v/>
      </c>
      <c r="AF154" s="77" t="str">
        <f aca="false">IF(AND(Q154="Long",N(F154)&gt;=Benchmarks!$C$15,G154&lt;&gt;""),G154,"")</f>
        <v/>
      </c>
      <c r="AG154" s="78" t="str">
        <f aca="false">IF(Z154="Elite",4,IF(Z154="Strong",3,IF(Z154="Average",2,IF(Z154="Needs work",1,""))))</f>
        <v/>
      </c>
      <c r="AH154" s="78" t="str">
        <f aca="false">IF(AA154="Elite",4,IF(AA154="Strong",3,IF(AA154="Average",2,IF(AA154="Needs work",1,""))))</f>
        <v/>
      </c>
      <c r="AI154" s="78" t="str">
        <f aca="false">IF(AB154="Elite",4,IF(AB154="Strong",3,IF(AB154="Average",2,IF(AB154="Needs work",1,""))))</f>
        <v/>
      </c>
    </row>
    <row r="155" customFormat="false" ht="15" hidden="false" customHeight="false" outlineLevel="0" collapsed="false">
      <c r="A155" s="64"/>
      <c r="B155" s="65"/>
      <c r="C155" s="66"/>
      <c r="D155" s="67"/>
      <c r="E155" s="67"/>
      <c r="F155" s="67"/>
      <c r="G155" s="68"/>
      <c r="H155" s="69"/>
      <c r="I155" s="68"/>
      <c r="J155" s="70"/>
      <c r="K155" s="67"/>
      <c r="L155" s="67"/>
      <c r="M155" s="67"/>
      <c r="N155" s="67"/>
      <c r="O155" s="67"/>
      <c r="P155" s="71"/>
      <c r="Q155" s="72" t="str">
        <f aca="false">IF(A155="","",IF(C155&lt;&gt;"",C155,IF(AND(D155&lt;&gt;"",D155&lt;=180),"Short","Long")))</f>
        <v/>
      </c>
      <c r="R155" s="73" t="str">
        <f aca="false">IF(OR(A155="",D155=""),"",D155/60)</f>
        <v/>
      </c>
      <c r="S155" s="72" t="str">
        <f aca="false">IF(OR(A155="",B155=""),"",IF(AND(B155&gt;=DATE(2026,4,1),B155&lt;=DATE(2026,6,30)),"Yes","No"))</f>
        <v/>
      </c>
      <c r="T155" s="72" t="str">
        <f aca="false">IF(OR(A155="",B155=""),"",CHOOSE(WEEKDAY(B155),"Sun","Mon","Tue","Wed","Thu","Fri","Sat"))</f>
        <v/>
      </c>
      <c r="U155" s="72" t="str">
        <f aca="false">IF(OR(Q155&lt;&gt;"Long",D155=""),"",IF(D155&lt;480,"Under 8 min",IF(D155&lt;900,"8–15 min",IF(D155&lt;1500,"15–25 min","25+ min"))))</f>
        <v/>
      </c>
      <c r="V155" s="74" t="str">
        <f aca="false">IF(OR(A155="",N(E155)=0),"",(N(K155)+N(L155))/E155*100)</f>
        <v/>
      </c>
      <c r="W155" s="73" t="str">
        <f aca="false">IF(OR(A155="",N(E155)=0),"",N(L155)/E155*1000)</f>
        <v/>
      </c>
      <c r="X155" s="75" t="str">
        <f aca="false">IF(A155="","",N(N155)-N(O155))</f>
        <v/>
      </c>
      <c r="Y155" s="73" t="str">
        <f aca="false">IF(OR(A155="",N(E155)=0),"",X155/E155*1000)</f>
        <v/>
      </c>
      <c r="Z155" s="72" t="str">
        <f aca="false">IF(OR(A155="",G155=""),"",IF(Q155="Short","n/a (Short)",IF(G155&gt;=Benchmarks!$E$5,"Elite",IF(G155&gt;=Benchmarks!$D$5,"Strong",IF(G155&gt;=Benchmarks!$C$5,"Average","Needs work")))))</f>
        <v/>
      </c>
      <c r="AA155" s="72" t="str">
        <f aca="false">IF(OR(A155="",I155=""),"",IF(Q155="Short",IF(I155&gt;=Benchmarks!$E$7,"Elite",IF(I155&gt;=Benchmarks!$D$7,"Strong",IF(I155&gt;=Benchmarks!$C$7,"Average","Needs work"))),IF(I155&gt;=Benchmarks!$E$6,"Elite",IF(I155&gt;=Benchmarks!$D$6,"Strong",IF(I155&gt;=Benchmarks!$C$6,"Average","Needs work")))))</f>
        <v/>
      </c>
      <c r="AB155" s="72" t="str">
        <f aca="false">IF(V155="","",IF(V155&gt;=Benchmarks!$E$8,"Elite",IF(V155&gt;=Benchmarks!$D$8,"Strong",IF(V155&gt;=Benchmarks!$C$8,"Average","Needs work"))))</f>
        <v/>
      </c>
      <c r="AC155" s="73" t="str">
        <f aca="false">IF(COUNT(AG155:AI155)=0,"",AVERAGE(AG155:AI155))</f>
        <v/>
      </c>
      <c r="AD155" s="37" t="str">
        <f aca="false">IF(A155="","",IF(Q155="Short",IF(AH155="","Add % viewed to diagnose",IF(AND(AH155&gt;=3,N(AI155)&gt;=3),"Winner Short — expand it into a long-form video",IF(AH155&lt;=1,"Hook problem — viewers swipe away in the first seconds",IF(AI155=1,"Watched but no reaction — end on a question or opinion","Solid Short — keep iterating")))),IF(OR(AG155="",AH155=""),"Add CTR &amp; % viewed to diagnose",IF(AND(AG155&gt;=3,AH155&gt;=3),"WINNER — make a sequel, series or Shorts from it",IF(AND(AG155&gt;=3,AH155&lt;=2),"Click but leave — intro too slow or title over-promises",IF(AND(AG155&lt;=2,AH155&gt;=3),"Great video, weak packaging — A/B test title + thumbnail",IF(AND(AG155=1,AH155=1),"Topic miss — don't repeat this angle","Average — sharpen the hook and the title")))))))</f>
        <v/>
      </c>
      <c r="AE155" s="76" t="str">
        <f aca="false">IF(OR(A155="",N(E155)=0),"",Q155&amp;"-"&amp;(COUNTIFS($Q$5:$Q$204,Q155,$E$5:$E$204,"&gt;"&amp;E155)+COUNTIFS($Q$5:Q155,Q155,$E$5:E155,E155)))</f>
        <v/>
      </c>
      <c r="AF155" s="77" t="str">
        <f aca="false">IF(AND(Q155="Long",N(F155)&gt;=Benchmarks!$C$15,G155&lt;&gt;""),G155,"")</f>
        <v/>
      </c>
      <c r="AG155" s="78" t="str">
        <f aca="false">IF(Z155="Elite",4,IF(Z155="Strong",3,IF(Z155="Average",2,IF(Z155="Needs work",1,""))))</f>
        <v/>
      </c>
      <c r="AH155" s="78" t="str">
        <f aca="false">IF(AA155="Elite",4,IF(AA155="Strong",3,IF(AA155="Average",2,IF(AA155="Needs work",1,""))))</f>
        <v/>
      </c>
      <c r="AI155" s="78" t="str">
        <f aca="false">IF(AB155="Elite",4,IF(AB155="Strong",3,IF(AB155="Average",2,IF(AB155="Needs work",1,""))))</f>
        <v/>
      </c>
    </row>
    <row r="156" customFormat="false" ht="15" hidden="false" customHeight="false" outlineLevel="0" collapsed="false">
      <c r="A156" s="64"/>
      <c r="B156" s="65"/>
      <c r="C156" s="66"/>
      <c r="D156" s="67"/>
      <c r="E156" s="67"/>
      <c r="F156" s="67"/>
      <c r="G156" s="68"/>
      <c r="H156" s="69"/>
      <c r="I156" s="68"/>
      <c r="J156" s="70"/>
      <c r="K156" s="67"/>
      <c r="L156" s="67"/>
      <c r="M156" s="67"/>
      <c r="N156" s="67"/>
      <c r="O156" s="67"/>
      <c r="P156" s="71"/>
      <c r="Q156" s="72" t="str">
        <f aca="false">IF(A156="","",IF(C156&lt;&gt;"",C156,IF(AND(D156&lt;&gt;"",D156&lt;=180),"Short","Long")))</f>
        <v/>
      </c>
      <c r="R156" s="73" t="str">
        <f aca="false">IF(OR(A156="",D156=""),"",D156/60)</f>
        <v/>
      </c>
      <c r="S156" s="72" t="str">
        <f aca="false">IF(OR(A156="",B156=""),"",IF(AND(B156&gt;=DATE(2026,4,1),B156&lt;=DATE(2026,6,30)),"Yes","No"))</f>
        <v/>
      </c>
      <c r="T156" s="72" t="str">
        <f aca="false">IF(OR(A156="",B156=""),"",CHOOSE(WEEKDAY(B156),"Sun","Mon","Tue","Wed","Thu","Fri","Sat"))</f>
        <v/>
      </c>
      <c r="U156" s="72" t="str">
        <f aca="false">IF(OR(Q156&lt;&gt;"Long",D156=""),"",IF(D156&lt;480,"Under 8 min",IF(D156&lt;900,"8–15 min",IF(D156&lt;1500,"15–25 min","25+ min"))))</f>
        <v/>
      </c>
      <c r="V156" s="74" t="str">
        <f aca="false">IF(OR(A156="",N(E156)=0),"",(N(K156)+N(L156))/E156*100)</f>
        <v/>
      </c>
      <c r="W156" s="73" t="str">
        <f aca="false">IF(OR(A156="",N(E156)=0),"",N(L156)/E156*1000)</f>
        <v/>
      </c>
      <c r="X156" s="75" t="str">
        <f aca="false">IF(A156="","",N(N156)-N(O156))</f>
        <v/>
      </c>
      <c r="Y156" s="73" t="str">
        <f aca="false">IF(OR(A156="",N(E156)=0),"",X156/E156*1000)</f>
        <v/>
      </c>
      <c r="Z156" s="72" t="str">
        <f aca="false">IF(OR(A156="",G156=""),"",IF(Q156="Short","n/a (Short)",IF(G156&gt;=Benchmarks!$E$5,"Elite",IF(G156&gt;=Benchmarks!$D$5,"Strong",IF(G156&gt;=Benchmarks!$C$5,"Average","Needs work")))))</f>
        <v/>
      </c>
      <c r="AA156" s="72" t="str">
        <f aca="false">IF(OR(A156="",I156=""),"",IF(Q156="Short",IF(I156&gt;=Benchmarks!$E$7,"Elite",IF(I156&gt;=Benchmarks!$D$7,"Strong",IF(I156&gt;=Benchmarks!$C$7,"Average","Needs work"))),IF(I156&gt;=Benchmarks!$E$6,"Elite",IF(I156&gt;=Benchmarks!$D$6,"Strong",IF(I156&gt;=Benchmarks!$C$6,"Average","Needs work")))))</f>
        <v/>
      </c>
      <c r="AB156" s="72" t="str">
        <f aca="false">IF(V156="","",IF(V156&gt;=Benchmarks!$E$8,"Elite",IF(V156&gt;=Benchmarks!$D$8,"Strong",IF(V156&gt;=Benchmarks!$C$8,"Average","Needs work"))))</f>
        <v/>
      </c>
      <c r="AC156" s="73" t="str">
        <f aca="false">IF(COUNT(AG156:AI156)=0,"",AVERAGE(AG156:AI156))</f>
        <v/>
      </c>
      <c r="AD156" s="37" t="str">
        <f aca="false">IF(A156="","",IF(Q156="Short",IF(AH156="","Add % viewed to diagnose",IF(AND(AH156&gt;=3,N(AI156)&gt;=3),"Winner Short — expand it into a long-form video",IF(AH156&lt;=1,"Hook problem — viewers swipe away in the first seconds",IF(AI156=1,"Watched but no reaction — end on a question or opinion","Solid Short — keep iterating")))),IF(OR(AG156="",AH156=""),"Add CTR &amp; % viewed to diagnose",IF(AND(AG156&gt;=3,AH156&gt;=3),"WINNER — make a sequel, series or Shorts from it",IF(AND(AG156&gt;=3,AH156&lt;=2),"Click but leave — intro too slow or title over-promises",IF(AND(AG156&lt;=2,AH156&gt;=3),"Great video, weak packaging — A/B test title + thumbnail",IF(AND(AG156=1,AH156=1),"Topic miss — don't repeat this angle","Average — sharpen the hook and the title")))))))</f>
        <v/>
      </c>
      <c r="AE156" s="76" t="str">
        <f aca="false">IF(OR(A156="",N(E156)=0),"",Q156&amp;"-"&amp;(COUNTIFS($Q$5:$Q$204,Q156,$E$5:$E$204,"&gt;"&amp;E156)+COUNTIFS($Q$5:Q156,Q156,$E$5:E156,E156)))</f>
        <v/>
      </c>
      <c r="AF156" s="77" t="str">
        <f aca="false">IF(AND(Q156="Long",N(F156)&gt;=Benchmarks!$C$15,G156&lt;&gt;""),G156,"")</f>
        <v/>
      </c>
      <c r="AG156" s="78" t="str">
        <f aca="false">IF(Z156="Elite",4,IF(Z156="Strong",3,IF(Z156="Average",2,IF(Z156="Needs work",1,""))))</f>
        <v/>
      </c>
      <c r="AH156" s="78" t="str">
        <f aca="false">IF(AA156="Elite",4,IF(AA156="Strong",3,IF(AA156="Average",2,IF(AA156="Needs work",1,""))))</f>
        <v/>
      </c>
      <c r="AI156" s="78" t="str">
        <f aca="false">IF(AB156="Elite",4,IF(AB156="Strong",3,IF(AB156="Average",2,IF(AB156="Needs work",1,""))))</f>
        <v/>
      </c>
    </row>
    <row r="157" customFormat="false" ht="15" hidden="false" customHeight="false" outlineLevel="0" collapsed="false">
      <c r="A157" s="64"/>
      <c r="B157" s="65"/>
      <c r="C157" s="66"/>
      <c r="D157" s="67"/>
      <c r="E157" s="67"/>
      <c r="F157" s="67"/>
      <c r="G157" s="68"/>
      <c r="H157" s="69"/>
      <c r="I157" s="68"/>
      <c r="J157" s="70"/>
      <c r="K157" s="67"/>
      <c r="L157" s="67"/>
      <c r="M157" s="67"/>
      <c r="N157" s="67"/>
      <c r="O157" s="67"/>
      <c r="P157" s="71"/>
      <c r="Q157" s="72" t="str">
        <f aca="false">IF(A157="","",IF(C157&lt;&gt;"",C157,IF(AND(D157&lt;&gt;"",D157&lt;=180),"Short","Long")))</f>
        <v/>
      </c>
      <c r="R157" s="73" t="str">
        <f aca="false">IF(OR(A157="",D157=""),"",D157/60)</f>
        <v/>
      </c>
      <c r="S157" s="72" t="str">
        <f aca="false">IF(OR(A157="",B157=""),"",IF(AND(B157&gt;=DATE(2026,4,1),B157&lt;=DATE(2026,6,30)),"Yes","No"))</f>
        <v/>
      </c>
      <c r="T157" s="72" t="str">
        <f aca="false">IF(OR(A157="",B157=""),"",CHOOSE(WEEKDAY(B157),"Sun","Mon","Tue","Wed","Thu","Fri","Sat"))</f>
        <v/>
      </c>
      <c r="U157" s="72" t="str">
        <f aca="false">IF(OR(Q157&lt;&gt;"Long",D157=""),"",IF(D157&lt;480,"Under 8 min",IF(D157&lt;900,"8–15 min",IF(D157&lt;1500,"15–25 min","25+ min"))))</f>
        <v/>
      </c>
      <c r="V157" s="74" t="str">
        <f aca="false">IF(OR(A157="",N(E157)=0),"",(N(K157)+N(L157))/E157*100)</f>
        <v/>
      </c>
      <c r="W157" s="73" t="str">
        <f aca="false">IF(OR(A157="",N(E157)=0),"",N(L157)/E157*1000)</f>
        <v/>
      </c>
      <c r="X157" s="75" t="str">
        <f aca="false">IF(A157="","",N(N157)-N(O157))</f>
        <v/>
      </c>
      <c r="Y157" s="73" t="str">
        <f aca="false">IF(OR(A157="",N(E157)=0),"",X157/E157*1000)</f>
        <v/>
      </c>
      <c r="Z157" s="72" t="str">
        <f aca="false">IF(OR(A157="",G157=""),"",IF(Q157="Short","n/a (Short)",IF(G157&gt;=Benchmarks!$E$5,"Elite",IF(G157&gt;=Benchmarks!$D$5,"Strong",IF(G157&gt;=Benchmarks!$C$5,"Average","Needs work")))))</f>
        <v/>
      </c>
      <c r="AA157" s="72" t="str">
        <f aca="false">IF(OR(A157="",I157=""),"",IF(Q157="Short",IF(I157&gt;=Benchmarks!$E$7,"Elite",IF(I157&gt;=Benchmarks!$D$7,"Strong",IF(I157&gt;=Benchmarks!$C$7,"Average","Needs work"))),IF(I157&gt;=Benchmarks!$E$6,"Elite",IF(I157&gt;=Benchmarks!$D$6,"Strong",IF(I157&gt;=Benchmarks!$C$6,"Average","Needs work")))))</f>
        <v/>
      </c>
      <c r="AB157" s="72" t="str">
        <f aca="false">IF(V157="","",IF(V157&gt;=Benchmarks!$E$8,"Elite",IF(V157&gt;=Benchmarks!$D$8,"Strong",IF(V157&gt;=Benchmarks!$C$8,"Average","Needs work"))))</f>
        <v/>
      </c>
      <c r="AC157" s="73" t="str">
        <f aca="false">IF(COUNT(AG157:AI157)=0,"",AVERAGE(AG157:AI157))</f>
        <v/>
      </c>
      <c r="AD157" s="37" t="str">
        <f aca="false">IF(A157="","",IF(Q157="Short",IF(AH157="","Add % viewed to diagnose",IF(AND(AH157&gt;=3,N(AI157)&gt;=3),"Winner Short — expand it into a long-form video",IF(AH157&lt;=1,"Hook problem — viewers swipe away in the first seconds",IF(AI157=1,"Watched but no reaction — end on a question or opinion","Solid Short — keep iterating")))),IF(OR(AG157="",AH157=""),"Add CTR &amp; % viewed to diagnose",IF(AND(AG157&gt;=3,AH157&gt;=3),"WINNER — make a sequel, series or Shorts from it",IF(AND(AG157&gt;=3,AH157&lt;=2),"Click but leave — intro too slow or title over-promises",IF(AND(AG157&lt;=2,AH157&gt;=3),"Great video, weak packaging — A/B test title + thumbnail",IF(AND(AG157=1,AH157=1),"Topic miss — don't repeat this angle","Average — sharpen the hook and the title")))))))</f>
        <v/>
      </c>
      <c r="AE157" s="76" t="str">
        <f aca="false">IF(OR(A157="",N(E157)=0),"",Q157&amp;"-"&amp;(COUNTIFS($Q$5:$Q$204,Q157,$E$5:$E$204,"&gt;"&amp;E157)+COUNTIFS($Q$5:Q157,Q157,$E$5:E157,E157)))</f>
        <v/>
      </c>
      <c r="AF157" s="77" t="str">
        <f aca="false">IF(AND(Q157="Long",N(F157)&gt;=Benchmarks!$C$15,G157&lt;&gt;""),G157,"")</f>
        <v/>
      </c>
      <c r="AG157" s="78" t="str">
        <f aca="false">IF(Z157="Elite",4,IF(Z157="Strong",3,IF(Z157="Average",2,IF(Z157="Needs work",1,""))))</f>
        <v/>
      </c>
      <c r="AH157" s="78" t="str">
        <f aca="false">IF(AA157="Elite",4,IF(AA157="Strong",3,IF(AA157="Average",2,IF(AA157="Needs work",1,""))))</f>
        <v/>
      </c>
      <c r="AI157" s="78" t="str">
        <f aca="false">IF(AB157="Elite",4,IF(AB157="Strong",3,IF(AB157="Average",2,IF(AB157="Needs work",1,""))))</f>
        <v/>
      </c>
    </row>
    <row r="158" customFormat="false" ht="15" hidden="false" customHeight="false" outlineLevel="0" collapsed="false">
      <c r="A158" s="64"/>
      <c r="B158" s="65"/>
      <c r="C158" s="66"/>
      <c r="D158" s="67"/>
      <c r="E158" s="67"/>
      <c r="F158" s="67"/>
      <c r="G158" s="68"/>
      <c r="H158" s="69"/>
      <c r="I158" s="68"/>
      <c r="J158" s="70"/>
      <c r="K158" s="67"/>
      <c r="L158" s="67"/>
      <c r="M158" s="67"/>
      <c r="N158" s="67"/>
      <c r="O158" s="67"/>
      <c r="P158" s="71"/>
      <c r="Q158" s="72" t="str">
        <f aca="false">IF(A158="","",IF(C158&lt;&gt;"",C158,IF(AND(D158&lt;&gt;"",D158&lt;=180),"Short","Long")))</f>
        <v/>
      </c>
      <c r="R158" s="73" t="str">
        <f aca="false">IF(OR(A158="",D158=""),"",D158/60)</f>
        <v/>
      </c>
      <c r="S158" s="72" t="str">
        <f aca="false">IF(OR(A158="",B158=""),"",IF(AND(B158&gt;=DATE(2026,4,1),B158&lt;=DATE(2026,6,30)),"Yes","No"))</f>
        <v/>
      </c>
      <c r="T158" s="72" t="str">
        <f aca="false">IF(OR(A158="",B158=""),"",CHOOSE(WEEKDAY(B158),"Sun","Mon","Tue","Wed","Thu","Fri","Sat"))</f>
        <v/>
      </c>
      <c r="U158" s="72" t="str">
        <f aca="false">IF(OR(Q158&lt;&gt;"Long",D158=""),"",IF(D158&lt;480,"Under 8 min",IF(D158&lt;900,"8–15 min",IF(D158&lt;1500,"15–25 min","25+ min"))))</f>
        <v/>
      </c>
      <c r="V158" s="74" t="str">
        <f aca="false">IF(OR(A158="",N(E158)=0),"",(N(K158)+N(L158))/E158*100)</f>
        <v/>
      </c>
      <c r="W158" s="73" t="str">
        <f aca="false">IF(OR(A158="",N(E158)=0),"",N(L158)/E158*1000)</f>
        <v/>
      </c>
      <c r="X158" s="75" t="str">
        <f aca="false">IF(A158="","",N(N158)-N(O158))</f>
        <v/>
      </c>
      <c r="Y158" s="73" t="str">
        <f aca="false">IF(OR(A158="",N(E158)=0),"",X158/E158*1000)</f>
        <v/>
      </c>
      <c r="Z158" s="72" t="str">
        <f aca="false">IF(OR(A158="",G158=""),"",IF(Q158="Short","n/a (Short)",IF(G158&gt;=Benchmarks!$E$5,"Elite",IF(G158&gt;=Benchmarks!$D$5,"Strong",IF(G158&gt;=Benchmarks!$C$5,"Average","Needs work")))))</f>
        <v/>
      </c>
      <c r="AA158" s="72" t="str">
        <f aca="false">IF(OR(A158="",I158=""),"",IF(Q158="Short",IF(I158&gt;=Benchmarks!$E$7,"Elite",IF(I158&gt;=Benchmarks!$D$7,"Strong",IF(I158&gt;=Benchmarks!$C$7,"Average","Needs work"))),IF(I158&gt;=Benchmarks!$E$6,"Elite",IF(I158&gt;=Benchmarks!$D$6,"Strong",IF(I158&gt;=Benchmarks!$C$6,"Average","Needs work")))))</f>
        <v/>
      </c>
      <c r="AB158" s="72" t="str">
        <f aca="false">IF(V158="","",IF(V158&gt;=Benchmarks!$E$8,"Elite",IF(V158&gt;=Benchmarks!$D$8,"Strong",IF(V158&gt;=Benchmarks!$C$8,"Average","Needs work"))))</f>
        <v/>
      </c>
      <c r="AC158" s="73" t="str">
        <f aca="false">IF(COUNT(AG158:AI158)=0,"",AVERAGE(AG158:AI158))</f>
        <v/>
      </c>
      <c r="AD158" s="37" t="str">
        <f aca="false">IF(A158="","",IF(Q158="Short",IF(AH158="","Add % viewed to diagnose",IF(AND(AH158&gt;=3,N(AI158)&gt;=3),"Winner Short — expand it into a long-form video",IF(AH158&lt;=1,"Hook problem — viewers swipe away in the first seconds",IF(AI158=1,"Watched but no reaction — end on a question or opinion","Solid Short — keep iterating")))),IF(OR(AG158="",AH158=""),"Add CTR &amp; % viewed to diagnose",IF(AND(AG158&gt;=3,AH158&gt;=3),"WINNER — make a sequel, series or Shorts from it",IF(AND(AG158&gt;=3,AH158&lt;=2),"Click but leave — intro too slow or title over-promises",IF(AND(AG158&lt;=2,AH158&gt;=3),"Great video, weak packaging — A/B test title + thumbnail",IF(AND(AG158=1,AH158=1),"Topic miss — don't repeat this angle","Average — sharpen the hook and the title")))))))</f>
        <v/>
      </c>
      <c r="AE158" s="76" t="str">
        <f aca="false">IF(OR(A158="",N(E158)=0),"",Q158&amp;"-"&amp;(COUNTIFS($Q$5:$Q$204,Q158,$E$5:$E$204,"&gt;"&amp;E158)+COUNTIFS($Q$5:Q158,Q158,$E$5:E158,E158)))</f>
        <v/>
      </c>
      <c r="AF158" s="77" t="str">
        <f aca="false">IF(AND(Q158="Long",N(F158)&gt;=Benchmarks!$C$15,G158&lt;&gt;""),G158,"")</f>
        <v/>
      </c>
      <c r="AG158" s="78" t="str">
        <f aca="false">IF(Z158="Elite",4,IF(Z158="Strong",3,IF(Z158="Average",2,IF(Z158="Needs work",1,""))))</f>
        <v/>
      </c>
      <c r="AH158" s="78" t="str">
        <f aca="false">IF(AA158="Elite",4,IF(AA158="Strong",3,IF(AA158="Average",2,IF(AA158="Needs work",1,""))))</f>
        <v/>
      </c>
      <c r="AI158" s="78" t="str">
        <f aca="false">IF(AB158="Elite",4,IF(AB158="Strong",3,IF(AB158="Average",2,IF(AB158="Needs work",1,""))))</f>
        <v/>
      </c>
    </row>
    <row r="159" customFormat="false" ht="15" hidden="false" customHeight="false" outlineLevel="0" collapsed="false">
      <c r="A159" s="64"/>
      <c r="B159" s="65"/>
      <c r="C159" s="66"/>
      <c r="D159" s="67"/>
      <c r="E159" s="67"/>
      <c r="F159" s="67"/>
      <c r="G159" s="68"/>
      <c r="H159" s="69"/>
      <c r="I159" s="68"/>
      <c r="J159" s="70"/>
      <c r="K159" s="67"/>
      <c r="L159" s="67"/>
      <c r="M159" s="67"/>
      <c r="N159" s="67"/>
      <c r="O159" s="67"/>
      <c r="P159" s="71"/>
      <c r="Q159" s="72" t="str">
        <f aca="false">IF(A159="","",IF(C159&lt;&gt;"",C159,IF(AND(D159&lt;&gt;"",D159&lt;=180),"Short","Long")))</f>
        <v/>
      </c>
      <c r="R159" s="73" t="str">
        <f aca="false">IF(OR(A159="",D159=""),"",D159/60)</f>
        <v/>
      </c>
      <c r="S159" s="72" t="str">
        <f aca="false">IF(OR(A159="",B159=""),"",IF(AND(B159&gt;=DATE(2026,4,1),B159&lt;=DATE(2026,6,30)),"Yes","No"))</f>
        <v/>
      </c>
      <c r="T159" s="72" t="str">
        <f aca="false">IF(OR(A159="",B159=""),"",CHOOSE(WEEKDAY(B159),"Sun","Mon","Tue","Wed","Thu","Fri","Sat"))</f>
        <v/>
      </c>
      <c r="U159" s="72" t="str">
        <f aca="false">IF(OR(Q159&lt;&gt;"Long",D159=""),"",IF(D159&lt;480,"Under 8 min",IF(D159&lt;900,"8–15 min",IF(D159&lt;1500,"15–25 min","25+ min"))))</f>
        <v/>
      </c>
      <c r="V159" s="74" t="str">
        <f aca="false">IF(OR(A159="",N(E159)=0),"",(N(K159)+N(L159))/E159*100)</f>
        <v/>
      </c>
      <c r="W159" s="73" t="str">
        <f aca="false">IF(OR(A159="",N(E159)=0),"",N(L159)/E159*1000)</f>
        <v/>
      </c>
      <c r="X159" s="75" t="str">
        <f aca="false">IF(A159="","",N(N159)-N(O159))</f>
        <v/>
      </c>
      <c r="Y159" s="73" t="str">
        <f aca="false">IF(OR(A159="",N(E159)=0),"",X159/E159*1000)</f>
        <v/>
      </c>
      <c r="Z159" s="72" t="str">
        <f aca="false">IF(OR(A159="",G159=""),"",IF(Q159="Short","n/a (Short)",IF(G159&gt;=Benchmarks!$E$5,"Elite",IF(G159&gt;=Benchmarks!$D$5,"Strong",IF(G159&gt;=Benchmarks!$C$5,"Average","Needs work")))))</f>
        <v/>
      </c>
      <c r="AA159" s="72" t="str">
        <f aca="false">IF(OR(A159="",I159=""),"",IF(Q159="Short",IF(I159&gt;=Benchmarks!$E$7,"Elite",IF(I159&gt;=Benchmarks!$D$7,"Strong",IF(I159&gt;=Benchmarks!$C$7,"Average","Needs work"))),IF(I159&gt;=Benchmarks!$E$6,"Elite",IF(I159&gt;=Benchmarks!$D$6,"Strong",IF(I159&gt;=Benchmarks!$C$6,"Average","Needs work")))))</f>
        <v/>
      </c>
      <c r="AB159" s="72" t="str">
        <f aca="false">IF(V159="","",IF(V159&gt;=Benchmarks!$E$8,"Elite",IF(V159&gt;=Benchmarks!$D$8,"Strong",IF(V159&gt;=Benchmarks!$C$8,"Average","Needs work"))))</f>
        <v/>
      </c>
      <c r="AC159" s="73" t="str">
        <f aca="false">IF(COUNT(AG159:AI159)=0,"",AVERAGE(AG159:AI159))</f>
        <v/>
      </c>
      <c r="AD159" s="37" t="str">
        <f aca="false">IF(A159="","",IF(Q159="Short",IF(AH159="","Add % viewed to diagnose",IF(AND(AH159&gt;=3,N(AI159)&gt;=3),"Winner Short — expand it into a long-form video",IF(AH159&lt;=1,"Hook problem — viewers swipe away in the first seconds",IF(AI159=1,"Watched but no reaction — end on a question or opinion","Solid Short — keep iterating")))),IF(OR(AG159="",AH159=""),"Add CTR &amp; % viewed to diagnose",IF(AND(AG159&gt;=3,AH159&gt;=3),"WINNER — make a sequel, series or Shorts from it",IF(AND(AG159&gt;=3,AH159&lt;=2),"Click but leave — intro too slow or title over-promises",IF(AND(AG159&lt;=2,AH159&gt;=3),"Great video, weak packaging — A/B test title + thumbnail",IF(AND(AG159=1,AH159=1),"Topic miss — don't repeat this angle","Average — sharpen the hook and the title")))))))</f>
        <v/>
      </c>
      <c r="AE159" s="76" t="str">
        <f aca="false">IF(OR(A159="",N(E159)=0),"",Q159&amp;"-"&amp;(COUNTIFS($Q$5:$Q$204,Q159,$E$5:$E$204,"&gt;"&amp;E159)+COUNTIFS($Q$5:Q159,Q159,$E$5:E159,E159)))</f>
        <v/>
      </c>
      <c r="AF159" s="77" t="str">
        <f aca="false">IF(AND(Q159="Long",N(F159)&gt;=Benchmarks!$C$15,G159&lt;&gt;""),G159,"")</f>
        <v/>
      </c>
      <c r="AG159" s="78" t="str">
        <f aca="false">IF(Z159="Elite",4,IF(Z159="Strong",3,IF(Z159="Average",2,IF(Z159="Needs work",1,""))))</f>
        <v/>
      </c>
      <c r="AH159" s="78" t="str">
        <f aca="false">IF(AA159="Elite",4,IF(AA159="Strong",3,IF(AA159="Average",2,IF(AA159="Needs work",1,""))))</f>
        <v/>
      </c>
      <c r="AI159" s="78" t="str">
        <f aca="false">IF(AB159="Elite",4,IF(AB159="Strong",3,IF(AB159="Average",2,IF(AB159="Needs work",1,""))))</f>
        <v/>
      </c>
    </row>
    <row r="160" customFormat="false" ht="15" hidden="false" customHeight="false" outlineLevel="0" collapsed="false">
      <c r="A160" s="64"/>
      <c r="B160" s="65"/>
      <c r="C160" s="66"/>
      <c r="D160" s="67"/>
      <c r="E160" s="67"/>
      <c r="F160" s="67"/>
      <c r="G160" s="68"/>
      <c r="H160" s="69"/>
      <c r="I160" s="68"/>
      <c r="J160" s="70"/>
      <c r="K160" s="67"/>
      <c r="L160" s="67"/>
      <c r="M160" s="67"/>
      <c r="N160" s="67"/>
      <c r="O160" s="67"/>
      <c r="P160" s="71"/>
      <c r="Q160" s="72" t="str">
        <f aca="false">IF(A160="","",IF(C160&lt;&gt;"",C160,IF(AND(D160&lt;&gt;"",D160&lt;=180),"Short","Long")))</f>
        <v/>
      </c>
      <c r="R160" s="73" t="str">
        <f aca="false">IF(OR(A160="",D160=""),"",D160/60)</f>
        <v/>
      </c>
      <c r="S160" s="72" t="str">
        <f aca="false">IF(OR(A160="",B160=""),"",IF(AND(B160&gt;=DATE(2026,4,1),B160&lt;=DATE(2026,6,30)),"Yes","No"))</f>
        <v/>
      </c>
      <c r="T160" s="72" t="str">
        <f aca="false">IF(OR(A160="",B160=""),"",CHOOSE(WEEKDAY(B160),"Sun","Mon","Tue","Wed","Thu","Fri","Sat"))</f>
        <v/>
      </c>
      <c r="U160" s="72" t="str">
        <f aca="false">IF(OR(Q160&lt;&gt;"Long",D160=""),"",IF(D160&lt;480,"Under 8 min",IF(D160&lt;900,"8–15 min",IF(D160&lt;1500,"15–25 min","25+ min"))))</f>
        <v/>
      </c>
      <c r="V160" s="74" t="str">
        <f aca="false">IF(OR(A160="",N(E160)=0),"",(N(K160)+N(L160))/E160*100)</f>
        <v/>
      </c>
      <c r="W160" s="73" t="str">
        <f aca="false">IF(OR(A160="",N(E160)=0),"",N(L160)/E160*1000)</f>
        <v/>
      </c>
      <c r="X160" s="75" t="str">
        <f aca="false">IF(A160="","",N(N160)-N(O160))</f>
        <v/>
      </c>
      <c r="Y160" s="73" t="str">
        <f aca="false">IF(OR(A160="",N(E160)=0),"",X160/E160*1000)</f>
        <v/>
      </c>
      <c r="Z160" s="72" t="str">
        <f aca="false">IF(OR(A160="",G160=""),"",IF(Q160="Short","n/a (Short)",IF(G160&gt;=Benchmarks!$E$5,"Elite",IF(G160&gt;=Benchmarks!$D$5,"Strong",IF(G160&gt;=Benchmarks!$C$5,"Average","Needs work")))))</f>
        <v/>
      </c>
      <c r="AA160" s="72" t="str">
        <f aca="false">IF(OR(A160="",I160=""),"",IF(Q160="Short",IF(I160&gt;=Benchmarks!$E$7,"Elite",IF(I160&gt;=Benchmarks!$D$7,"Strong",IF(I160&gt;=Benchmarks!$C$7,"Average","Needs work"))),IF(I160&gt;=Benchmarks!$E$6,"Elite",IF(I160&gt;=Benchmarks!$D$6,"Strong",IF(I160&gt;=Benchmarks!$C$6,"Average","Needs work")))))</f>
        <v/>
      </c>
      <c r="AB160" s="72" t="str">
        <f aca="false">IF(V160="","",IF(V160&gt;=Benchmarks!$E$8,"Elite",IF(V160&gt;=Benchmarks!$D$8,"Strong",IF(V160&gt;=Benchmarks!$C$8,"Average","Needs work"))))</f>
        <v/>
      </c>
      <c r="AC160" s="73" t="str">
        <f aca="false">IF(COUNT(AG160:AI160)=0,"",AVERAGE(AG160:AI160))</f>
        <v/>
      </c>
      <c r="AD160" s="37" t="str">
        <f aca="false">IF(A160="","",IF(Q160="Short",IF(AH160="","Add % viewed to diagnose",IF(AND(AH160&gt;=3,N(AI160)&gt;=3),"Winner Short — expand it into a long-form video",IF(AH160&lt;=1,"Hook problem — viewers swipe away in the first seconds",IF(AI160=1,"Watched but no reaction — end on a question or opinion","Solid Short — keep iterating")))),IF(OR(AG160="",AH160=""),"Add CTR &amp; % viewed to diagnose",IF(AND(AG160&gt;=3,AH160&gt;=3),"WINNER — make a sequel, series or Shorts from it",IF(AND(AG160&gt;=3,AH160&lt;=2),"Click but leave — intro too slow or title over-promises",IF(AND(AG160&lt;=2,AH160&gt;=3),"Great video, weak packaging — A/B test title + thumbnail",IF(AND(AG160=1,AH160=1),"Topic miss — don't repeat this angle","Average — sharpen the hook and the title")))))))</f>
        <v/>
      </c>
      <c r="AE160" s="76" t="str">
        <f aca="false">IF(OR(A160="",N(E160)=0),"",Q160&amp;"-"&amp;(COUNTIFS($Q$5:$Q$204,Q160,$E$5:$E$204,"&gt;"&amp;E160)+COUNTIFS($Q$5:Q160,Q160,$E$5:E160,E160)))</f>
        <v/>
      </c>
      <c r="AF160" s="77" t="str">
        <f aca="false">IF(AND(Q160="Long",N(F160)&gt;=Benchmarks!$C$15,G160&lt;&gt;""),G160,"")</f>
        <v/>
      </c>
      <c r="AG160" s="78" t="str">
        <f aca="false">IF(Z160="Elite",4,IF(Z160="Strong",3,IF(Z160="Average",2,IF(Z160="Needs work",1,""))))</f>
        <v/>
      </c>
      <c r="AH160" s="78" t="str">
        <f aca="false">IF(AA160="Elite",4,IF(AA160="Strong",3,IF(AA160="Average",2,IF(AA160="Needs work",1,""))))</f>
        <v/>
      </c>
      <c r="AI160" s="78" t="str">
        <f aca="false">IF(AB160="Elite",4,IF(AB160="Strong",3,IF(AB160="Average",2,IF(AB160="Needs work",1,""))))</f>
        <v/>
      </c>
    </row>
    <row r="161" customFormat="false" ht="15" hidden="false" customHeight="false" outlineLevel="0" collapsed="false">
      <c r="A161" s="64"/>
      <c r="B161" s="65"/>
      <c r="C161" s="66"/>
      <c r="D161" s="67"/>
      <c r="E161" s="67"/>
      <c r="F161" s="67"/>
      <c r="G161" s="68"/>
      <c r="H161" s="69"/>
      <c r="I161" s="68"/>
      <c r="J161" s="70"/>
      <c r="K161" s="67"/>
      <c r="L161" s="67"/>
      <c r="M161" s="67"/>
      <c r="N161" s="67"/>
      <c r="O161" s="67"/>
      <c r="P161" s="71"/>
      <c r="Q161" s="72" t="str">
        <f aca="false">IF(A161="","",IF(C161&lt;&gt;"",C161,IF(AND(D161&lt;&gt;"",D161&lt;=180),"Short","Long")))</f>
        <v/>
      </c>
      <c r="R161" s="73" t="str">
        <f aca="false">IF(OR(A161="",D161=""),"",D161/60)</f>
        <v/>
      </c>
      <c r="S161" s="72" t="str">
        <f aca="false">IF(OR(A161="",B161=""),"",IF(AND(B161&gt;=DATE(2026,4,1),B161&lt;=DATE(2026,6,30)),"Yes","No"))</f>
        <v/>
      </c>
      <c r="T161" s="72" t="str">
        <f aca="false">IF(OR(A161="",B161=""),"",CHOOSE(WEEKDAY(B161),"Sun","Mon","Tue","Wed","Thu","Fri","Sat"))</f>
        <v/>
      </c>
      <c r="U161" s="72" t="str">
        <f aca="false">IF(OR(Q161&lt;&gt;"Long",D161=""),"",IF(D161&lt;480,"Under 8 min",IF(D161&lt;900,"8–15 min",IF(D161&lt;1500,"15–25 min","25+ min"))))</f>
        <v/>
      </c>
      <c r="V161" s="74" t="str">
        <f aca="false">IF(OR(A161="",N(E161)=0),"",(N(K161)+N(L161))/E161*100)</f>
        <v/>
      </c>
      <c r="W161" s="73" t="str">
        <f aca="false">IF(OR(A161="",N(E161)=0),"",N(L161)/E161*1000)</f>
        <v/>
      </c>
      <c r="X161" s="75" t="str">
        <f aca="false">IF(A161="","",N(N161)-N(O161))</f>
        <v/>
      </c>
      <c r="Y161" s="73" t="str">
        <f aca="false">IF(OR(A161="",N(E161)=0),"",X161/E161*1000)</f>
        <v/>
      </c>
      <c r="Z161" s="72" t="str">
        <f aca="false">IF(OR(A161="",G161=""),"",IF(Q161="Short","n/a (Short)",IF(G161&gt;=Benchmarks!$E$5,"Elite",IF(G161&gt;=Benchmarks!$D$5,"Strong",IF(G161&gt;=Benchmarks!$C$5,"Average","Needs work")))))</f>
        <v/>
      </c>
      <c r="AA161" s="72" t="str">
        <f aca="false">IF(OR(A161="",I161=""),"",IF(Q161="Short",IF(I161&gt;=Benchmarks!$E$7,"Elite",IF(I161&gt;=Benchmarks!$D$7,"Strong",IF(I161&gt;=Benchmarks!$C$7,"Average","Needs work"))),IF(I161&gt;=Benchmarks!$E$6,"Elite",IF(I161&gt;=Benchmarks!$D$6,"Strong",IF(I161&gt;=Benchmarks!$C$6,"Average","Needs work")))))</f>
        <v/>
      </c>
      <c r="AB161" s="72" t="str">
        <f aca="false">IF(V161="","",IF(V161&gt;=Benchmarks!$E$8,"Elite",IF(V161&gt;=Benchmarks!$D$8,"Strong",IF(V161&gt;=Benchmarks!$C$8,"Average","Needs work"))))</f>
        <v/>
      </c>
      <c r="AC161" s="73" t="str">
        <f aca="false">IF(COUNT(AG161:AI161)=0,"",AVERAGE(AG161:AI161))</f>
        <v/>
      </c>
      <c r="AD161" s="37" t="str">
        <f aca="false">IF(A161="","",IF(Q161="Short",IF(AH161="","Add % viewed to diagnose",IF(AND(AH161&gt;=3,N(AI161)&gt;=3),"Winner Short — expand it into a long-form video",IF(AH161&lt;=1,"Hook problem — viewers swipe away in the first seconds",IF(AI161=1,"Watched but no reaction — end on a question or opinion","Solid Short — keep iterating")))),IF(OR(AG161="",AH161=""),"Add CTR &amp; % viewed to diagnose",IF(AND(AG161&gt;=3,AH161&gt;=3),"WINNER — make a sequel, series or Shorts from it",IF(AND(AG161&gt;=3,AH161&lt;=2),"Click but leave — intro too slow or title over-promises",IF(AND(AG161&lt;=2,AH161&gt;=3),"Great video, weak packaging — A/B test title + thumbnail",IF(AND(AG161=1,AH161=1),"Topic miss — don't repeat this angle","Average — sharpen the hook and the title")))))))</f>
        <v/>
      </c>
      <c r="AE161" s="76" t="str">
        <f aca="false">IF(OR(A161="",N(E161)=0),"",Q161&amp;"-"&amp;(COUNTIFS($Q$5:$Q$204,Q161,$E$5:$E$204,"&gt;"&amp;E161)+COUNTIFS($Q$5:Q161,Q161,$E$5:E161,E161)))</f>
        <v/>
      </c>
      <c r="AF161" s="77" t="str">
        <f aca="false">IF(AND(Q161="Long",N(F161)&gt;=Benchmarks!$C$15,G161&lt;&gt;""),G161,"")</f>
        <v/>
      </c>
      <c r="AG161" s="78" t="str">
        <f aca="false">IF(Z161="Elite",4,IF(Z161="Strong",3,IF(Z161="Average",2,IF(Z161="Needs work",1,""))))</f>
        <v/>
      </c>
      <c r="AH161" s="78" t="str">
        <f aca="false">IF(AA161="Elite",4,IF(AA161="Strong",3,IF(AA161="Average",2,IF(AA161="Needs work",1,""))))</f>
        <v/>
      </c>
      <c r="AI161" s="78" t="str">
        <f aca="false">IF(AB161="Elite",4,IF(AB161="Strong",3,IF(AB161="Average",2,IF(AB161="Needs work",1,""))))</f>
        <v/>
      </c>
    </row>
    <row r="162" customFormat="false" ht="15" hidden="false" customHeight="false" outlineLevel="0" collapsed="false">
      <c r="A162" s="64"/>
      <c r="B162" s="65"/>
      <c r="C162" s="66"/>
      <c r="D162" s="67"/>
      <c r="E162" s="67"/>
      <c r="F162" s="67"/>
      <c r="G162" s="68"/>
      <c r="H162" s="69"/>
      <c r="I162" s="68"/>
      <c r="J162" s="70"/>
      <c r="K162" s="67"/>
      <c r="L162" s="67"/>
      <c r="M162" s="67"/>
      <c r="N162" s="67"/>
      <c r="O162" s="67"/>
      <c r="P162" s="71"/>
      <c r="Q162" s="72" t="str">
        <f aca="false">IF(A162="","",IF(C162&lt;&gt;"",C162,IF(AND(D162&lt;&gt;"",D162&lt;=180),"Short","Long")))</f>
        <v/>
      </c>
      <c r="R162" s="73" t="str">
        <f aca="false">IF(OR(A162="",D162=""),"",D162/60)</f>
        <v/>
      </c>
      <c r="S162" s="72" t="str">
        <f aca="false">IF(OR(A162="",B162=""),"",IF(AND(B162&gt;=DATE(2026,4,1),B162&lt;=DATE(2026,6,30)),"Yes","No"))</f>
        <v/>
      </c>
      <c r="T162" s="72" t="str">
        <f aca="false">IF(OR(A162="",B162=""),"",CHOOSE(WEEKDAY(B162),"Sun","Mon","Tue","Wed","Thu","Fri","Sat"))</f>
        <v/>
      </c>
      <c r="U162" s="72" t="str">
        <f aca="false">IF(OR(Q162&lt;&gt;"Long",D162=""),"",IF(D162&lt;480,"Under 8 min",IF(D162&lt;900,"8–15 min",IF(D162&lt;1500,"15–25 min","25+ min"))))</f>
        <v/>
      </c>
      <c r="V162" s="74" t="str">
        <f aca="false">IF(OR(A162="",N(E162)=0),"",(N(K162)+N(L162))/E162*100)</f>
        <v/>
      </c>
      <c r="W162" s="73" t="str">
        <f aca="false">IF(OR(A162="",N(E162)=0),"",N(L162)/E162*1000)</f>
        <v/>
      </c>
      <c r="X162" s="75" t="str">
        <f aca="false">IF(A162="","",N(N162)-N(O162))</f>
        <v/>
      </c>
      <c r="Y162" s="73" t="str">
        <f aca="false">IF(OR(A162="",N(E162)=0),"",X162/E162*1000)</f>
        <v/>
      </c>
      <c r="Z162" s="72" t="str">
        <f aca="false">IF(OR(A162="",G162=""),"",IF(Q162="Short","n/a (Short)",IF(G162&gt;=Benchmarks!$E$5,"Elite",IF(G162&gt;=Benchmarks!$D$5,"Strong",IF(G162&gt;=Benchmarks!$C$5,"Average","Needs work")))))</f>
        <v/>
      </c>
      <c r="AA162" s="72" t="str">
        <f aca="false">IF(OR(A162="",I162=""),"",IF(Q162="Short",IF(I162&gt;=Benchmarks!$E$7,"Elite",IF(I162&gt;=Benchmarks!$D$7,"Strong",IF(I162&gt;=Benchmarks!$C$7,"Average","Needs work"))),IF(I162&gt;=Benchmarks!$E$6,"Elite",IF(I162&gt;=Benchmarks!$D$6,"Strong",IF(I162&gt;=Benchmarks!$C$6,"Average","Needs work")))))</f>
        <v/>
      </c>
      <c r="AB162" s="72" t="str">
        <f aca="false">IF(V162="","",IF(V162&gt;=Benchmarks!$E$8,"Elite",IF(V162&gt;=Benchmarks!$D$8,"Strong",IF(V162&gt;=Benchmarks!$C$8,"Average","Needs work"))))</f>
        <v/>
      </c>
      <c r="AC162" s="73" t="str">
        <f aca="false">IF(COUNT(AG162:AI162)=0,"",AVERAGE(AG162:AI162))</f>
        <v/>
      </c>
      <c r="AD162" s="37" t="str">
        <f aca="false">IF(A162="","",IF(Q162="Short",IF(AH162="","Add % viewed to diagnose",IF(AND(AH162&gt;=3,N(AI162)&gt;=3),"Winner Short — expand it into a long-form video",IF(AH162&lt;=1,"Hook problem — viewers swipe away in the first seconds",IF(AI162=1,"Watched but no reaction — end on a question or opinion","Solid Short — keep iterating")))),IF(OR(AG162="",AH162=""),"Add CTR &amp; % viewed to diagnose",IF(AND(AG162&gt;=3,AH162&gt;=3),"WINNER — make a sequel, series or Shorts from it",IF(AND(AG162&gt;=3,AH162&lt;=2),"Click but leave — intro too slow or title over-promises",IF(AND(AG162&lt;=2,AH162&gt;=3),"Great video, weak packaging — A/B test title + thumbnail",IF(AND(AG162=1,AH162=1),"Topic miss — don't repeat this angle","Average — sharpen the hook and the title")))))))</f>
        <v/>
      </c>
      <c r="AE162" s="76" t="str">
        <f aca="false">IF(OR(A162="",N(E162)=0),"",Q162&amp;"-"&amp;(COUNTIFS($Q$5:$Q$204,Q162,$E$5:$E$204,"&gt;"&amp;E162)+COUNTIFS($Q$5:Q162,Q162,$E$5:E162,E162)))</f>
        <v/>
      </c>
      <c r="AF162" s="77" t="str">
        <f aca="false">IF(AND(Q162="Long",N(F162)&gt;=Benchmarks!$C$15,G162&lt;&gt;""),G162,"")</f>
        <v/>
      </c>
      <c r="AG162" s="78" t="str">
        <f aca="false">IF(Z162="Elite",4,IF(Z162="Strong",3,IF(Z162="Average",2,IF(Z162="Needs work",1,""))))</f>
        <v/>
      </c>
      <c r="AH162" s="78" t="str">
        <f aca="false">IF(AA162="Elite",4,IF(AA162="Strong",3,IF(AA162="Average",2,IF(AA162="Needs work",1,""))))</f>
        <v/>
      </c>
      <c r="AI162" s="78" t="str">
        <f aca="false">IF(AB162="Elite",4,IF(AB162="Strong",3,IF(AB162="Average",2,IF(AB162="Needs work",1,""))))</f>
        <v/>
      </c>
    </row>
    <row r="163" customFormat="false" ht="15" hidden="false" customHeight="false" outlineLevel="0" collapsed="false">
      <c r="A163" s="64"/>
      <c r="B163" s="65"/>
      <c r="C163" s="66"/>
      <c r="D163" s="67"/>
      <c r="E163" s="67"/>
      <c r="F163" s="67"/>
      <c r="G163" s="68"/>
      <c r="H163" s="69"/>
      <c r="I163" s="68"/>
      <c r="J163" s="70"/>
      <c r="K163" s="67"/>
      <c r="L163" s="67"/>
      <c r="M163" s="67"/>
      <c r="N163" s="67"/>
      <c r="O163" s="67"/>
      <c r="P163" s="71"/>
      <c r="Q163" s="72" t="str">
        <f aca="false">IF(A163="","",IF(C163&lt;&gt;"",C163,IF(AND(D163&lt;&gt;"",D163&lt;=180),"Short","Long")))</f>
        <v/>
      </c>
      <c r="R163" s="73" t="str">
        <f aca="false">IF(OR(A163="",D163=""),"",D163/60)</f>
        <v/>
      </c>
      <c r="S163" s="72" t="str">
        <f aca="false">IF(OR(A163="",B163=""),"",IF(AND(B163&gt;=DATE(2026,4,1),B163&lt;=DATE(2026,6,30)),"Yes","No"))</f>
        <v/>
      </c>
      <c r="T163" s="72" t="str">
        <f aca="false">IF(OR(A163="",B163=""),"",CHOOSE(WEEKDAY(B163),"Sun","Mon","Tue","Wed","Thu","Fri","Sat"))</f>
        <v/>
      </c>
      <c r="U163" s="72" t="str">
        <f aca="false">IF(OR(Q163&lt;&gt;"Long",D163=""),"",IF(D163&lt;480,"Under 8 min",IF(D163&lt;900,"8–15 min",IF(D163&lt;1500,"15–25 min","25+ min"))))</f>
        <v/>
      </c>
      <c r="V163" s="74" t="str">
        <f aca="false">IF(OR(A163="",N(E163)=0),"",(N(K163)+N(L163))/E163*100)</f>
        <v/>
      </c>
      <c r="W163" s="73" t="str">
        <f aca="false">IF(OR(A163="",N(E163)=0),"",N(L163)/E163*1000)</f>
        <v/>
      </c>
      <c r="X163" s="75" t="str">
        <f aca="false">IF(A163="","",N(N163)-N(O163))</f>
        <v/>
      </c>
      <c r="Y163" s="73" t="str">
        <f aca="false">IF(OR(A163="",N(E163)=0),"",X163/E163*1000)</f>
        <v/>
      </c>
      <c r="Z163" s="72" t="str">
        <f aca="false">IF(OR(A163="",G163=""),"",IF(Q163="Short","n/a (Short)",IF(G163&gt;=Benchmarks!$E$5,"Elite",IF(G163&gt;=Benchmarks!$D$5,"Strong",IF(G163&gt;=Benchmarks!$C$5,"Average","Needs work")))))</f>
        <v/>
      </c>
      <c r="AA163" s="72" t="str">
        <f aca="false">IF(OR(A163="",I163=""),"",IF(Q163="Short",IF(I163&gt;=Benchmarks!$E$7,"Elite",IF(I163&gt;=Benchmarks!$D$7,"Strong",IF(I163&gt;=Benchmarks!$C$7,"Average","Needs work"))),IF(I163&gt;=Benchmarks!$E$6,"Elite",IF(I163&gt;=Benchmarks!$D$6,"Strong",IF(I163&gt;=Benchmarks!$C$6,"Average","Needs work")))))</f>
        <v/>
      </c>
      <c r="AB163" s="72" t="str">
        <f aca="false">IF(V163="","",IF(V163&gt;=Benchmarks!$E$8,"Elite",IF(V163&gt;=Benchmarks!$D$8,"Strong",IF(V163&gt;=Benchmarks!$C$8,"Average","Needs work"))))</f>
        <v/>
      </c>
      <c r="AC163" s="73" t="str">
        <f aca="false">IF(COUNT(AG163:AI163)=0,"",AVERAGE(AG163:AI163))</f>
        <v/>
      </c>
      <c r="AD163" s="37" t="str">
        <f aca="false">IF(A163="","",IF(Q163="Short",IF(AH163="","Add % viewed to diagnose",IF(AND(AH163&gt;=3,N(AI163)&gt;=3),"Winner Short — expand it into a long-form video",IF(AH163&lt;=1,"Hook problem — viewers swipe away in the first seconds",IF(AI163=1,"Watched but no reaction — end on a question or opinion","Solid Short — keep iterating")))),IF(OR(AG163="",AH163=""),"Add CTR &amp; % viewed to diagnose",IF(AND(AG163&gt;=3,AH163&gt;=3),"WINNER — make a sequel, series or Shorts from it",IF(AND(AG163&gt;=3,AH163&lt;=2),"Click but leave — intro too slow or title over-promises",IF(AND(AG163&lt;=2,AH163&gt;=3),"Great video, weak packaging — A/B test title + thumbnail",IF(AND(AG163=1,AH163=1),"Topic miss — don't repeat this angle","Average — sharpen the hook and the title")))))))</f>
        <v/>
      </c>
      <c r="AE163" s="76" t="str">
        <f aca="false">IF(OR(A163="",N(E163)=0),"",Q163&amp;"-"&amp;(COUNTIFS($Q$5:$Q$204,Q163,$E$5:$E$204,"&gt;"&amp;E163)+COUNTIFS($Q$5:Q163,Q163,$E$5:E163,E163)))</f>
        <v/>
      </c>
      <c r="AF163" s="77" t="str">
        <f aca="false">IF(AND(Q163="Long",N(F163)&gt;=Benchmarks!$C$15,G163&lt;&gt;""),G163,"")</f>
        <v/>
      </c>
      <c r="AG163" s="78" t="str">
        <f aca="false">IF(Z163="Elite",4,IF(Z163="Strong",3,IF(Z163="Average",2,IF(Z163="Needs work",1,""))))</f>
        <v/>
      </c>
      <c r="AH163" s="78" t="str">
        <f aca="false">IF(AA163="Elite",4,IF(AA163="Strong",3,IF(AA163="Average",2,IF(AA163="Needs work",1,""))))</f>
        <v/>
      </c>
      <c r="AI163" s="78" t="str">
        <f aca="false">IF(AB163="Elite",4,IF(AB163="Strong",3,IF(AB163="Average",2,IF(AB163="Needs work",1,""))))</f>
        <v/>
      </c>
    </row>
    <row r="164" customFormat="false" ht="15" hidden="false" customHeight="false" outlineLevel="0" collapsed="false">
      <c r="A164" s="64"/>
      <c r="B164" s="65"/>
      <c r="C164" s="66"/>
      <c r="D164" s="67"/>
      <c r="E164" s="67"/>
      <c r="F164" s="67"/>
      <c r="G164" s="68"/>
      <c r="H164" s="69"/>
      <c r="I164" s="68"/>
      <c r="J164" s="70"/>
      <c r="K164" s="67"/>
      <c r="L164" s="67"/>
      <c r="M164" s="67"/>
      <c r="N164" s="67"/>
      <c r="O164" s="67"/>
      <c r="P164" s="71"/>
      <c r="Q164" s="72" t="str">
        <f aca="false">IF(A164="","",IF(C164&lt;&gt;"",C164,IF(AND(D164&lt;&gt;"",D164&lt;=180),"Short","Long")))</f>
        <v/>
      </c>
      <c r="R164" s="73" t="str">
        <f aca="false">IF(OR(A164="",D164=""),"",D164/60)</f>
        <v/>
      </c>
      <c r="S164" s="72" t="str">
        <f aca="false">IF(OR(A164="",B164=""),"",IF(AND(B164&gt;=DATE(2026,4,1),B164&lt;=DATE(2026,6,30)),"Yes","No"))</f>
        <v/>
      </c>
      <c r="T164" s="72" t="str">
        <f aca="false">IF(OR(A164="",B164=""),"",CHOOSE(WEEKDAY(B164),"Sun","Mon","Tue","Wed","Thu","Fri","Sat"))</f>
        <v/>
      </c>
      <c r="U164" s="72" t="str">
        <f aca="false">IF(OR(Q164&lt;&gt;"Long",D164=""),"",IF(D164&lt;480,"Under 8 min",IF(D164&lt;900,"8–15 min",IF(D164&lt;1500,"15–25 min","25+ min"))))</f>
        <v/>
      </c>
      <c r="V164" s="74" t="str">
        <f aca="false">IF(OR(A164="",N(E164)=0),"",(N(K164)+N(L164))/E164*100)</f>
        <v/>
      </c>
      <c r="W164" s="73" t="str">
        <f aca="false">IF(OR(A164="",N(E164)=0),"",N(L164)/E164*1000)</f>
        <v/>
      </c>
      <c r="X164" s="75" t="str">
        <f aca="false">IF(A164="","",N(N164)-N(O164))</f>
        <v/>
      </c>
      <c r="Y164" s="73" t="str">
        <f aca="false">IF(OR(A164="",N(E164)=0),"",X164/E164*1000)</f>
        <v/>
      </c>
      <c r="Z164" s="72" t="str">
        <f aca="false">IF(OR(A164="",G164=""),"",IF(Q164="Short","n/a (Short)",IF(G164&gt;=Benchmarks!$E$5,"Elite",IF(G164&gt;=Benchmarks!$D$5,"Strong",IF(G164&gt;=Benchmarks!$C$5,"Average","Needs work")))))</f>
        <v/>
      </c>
      <c r="AA164" s="72" t="str">
        <f aca="false">IF(OR(A164="",I164=""),"",IF(Q164="Short",IF(I164&gt;=Benchmarks!$E$7,"Elite",IF(I164&gt;=Benchmarks!$D$7,"Strong",IF(I164&gt;=Benchmarks!$C$7,"Average","Needs work"))),IF(I164&gt;=Benchmarks!$E$6,"Elite",IF(I164&gt;=Benchmarks!$D$6,"Strong",IF(I164&gt;=Benchmarks!$C$6,"Average","Needs work")))))</f>
        <v/>
      </c>
      <c r="AB164" s="72" t="str">
        <f aca="false">IF(V164="","",IF(V164&gt;=Benchmarks!$E$8,"Elite",IF(V164&gt;=Benchmarks!$D$8,"Strong",IF(V164&gt;=Benchmarks!$C$8,"Average","Needs work"))))</f>
        <v/>
      </c>
      <c r="AC164" s="73" t="str">
        <f aca="false">IF(COUNT(AG164:AI164)=0,"",AVERAGE(AG164:AI164))</f>
        <v/>
      </c>
      <c r="AD164" s="37" t="str">
        <f aca="false">IF(A164="","",IF(Q164="Short",IF(AH164="","Add % viewed to diagnose",IF(AND(AH164&gt;=3,N(AI164)&gt;=3),"Winner Short — expand it into a long-form video",IF(AH164&lt;=1,"Hook problem — viewers swipe away in the first seconds",IF(AI164=1,"Watched but no reaction — end on a question or opinion","Solid Short — keep iterating")))),IF(OR(AG164="",AH164=""),"Add CTR &amp; % viewed to diagnose",IF(AND(AG164&gt;=3,AH164&gt;=3),"WINNER — make a sequel, series or Shorts from it",IF(AND(AG164&gt;=3,AH164&lt;=2),"Click but leave — intro too slow or title over-promises",IF(AND(AG164&lt;=2,AH164&gt;=3),"Great video, weak packaging — A/B test title + thumbnail",IF(AND(AG164=1,AH164=1),"Topic miss — don't repeat this angle","Average — sharpen the hook and the title")))))))</f>
        <v/>
      </c>
      <c r="AE164" s="76" t="str">
        <f aca="false">IF(OR(A164="",N(E164)=0),"",Q164&amp;"-"&amp;(COUNTIFS($Q$5:$Q$204,Q164,$E$5:$E$204,"&gt;"&amp;E164)+COUNTIFS($Q$5:Q164,Q164,$E$5:E164,E164)))</f>
        <v/>
      </c>
      <c r="AF164" s="77" t="str">
        <f aca="false">IF(AND(Q164="Long",N(F164)&gt;=Benchmarks!$C$15,G164&lt;&gt;""),G164,"")</f>
        <v/>
      </c>
      <c r="AG164" s="78" t="str">
        <f aca="false">IF(Z164="Elite",4,IF(Z164="Strong",3,IF(Z164="Average",2,IF(Z164="Needs work",1,""))))</f>
        <v/>
      </c>
      <c r="AH164" s="78" t="str">
        <f aca="false">IF(AA164="Elite",4,IF(AA164="Strong",3,IF(AA164="Average",2,IF(AA164="Needs work",1,""))))</f>
        <v/>
      </c>
      <c r="AI164" s="78" t="str">
        <f aca="false">IF(AB164="Elite",4,IF(AB164="Strong",3,IF(AB164="Average",2,IF(AB164="Needs work",1,""))))</f>
        <v/>
      </c>
    </row>
    <row r="165" customFormat="false" ht="15" hidden="false" customHeight="false" outlineLevel="0" collapsed="false">
      <c r="A165" s="64"/>
      <c r="B165" s="65"/>
      <c r="C165" s="66"/>
      <c r="D165" s="67"/>
      <c r="E165" s="67"/>
      <c r="F165" s="67"/>
      <c r="G165" s="68"/>
      <c r="H165" s="69"/>
      <c r="I165" s="68"/>
      <c r="J165" s="70"/>
      <c r="K165" s="67"/>
      <c r="L165" s="67"/>
      <c r="M165" s="67"/>
      <c r="N165" s="67"/>
      <c r="O165" s="67"/>
      <c r="P165" s="71"/>
      <c r="Q165" s="72" t="str">
        <f aca="false">IF(A165="","",IF(C165&lt;&gt;"",C165,IF(AND(D165&lt;&gt;"",D165&lt;=180),"Short","Long")))</f>
        <v/>
      </c>
      <c r="R165" s="73" t="str">
        <f aca="false">IF(OR(A165="",D165=""),"",D165/60)</f>
        <v/>
      </c>
      <c r="S165" s="72" t="str">
        <f aca="false">IF(OR(A165="",B165=""),"",IF(AND(B165&gt;=DATE(2026,4,1),B165&lt;=DATE(2026,6,30)),"Yes","No"))</f>
        <v/>
      </c>
      <c r="T165" s="72" t="str">
        <f aca="false">IF(OR(A165="",B165=""),"",CHOOSE(WEEKDAY(B165),"Sun","Mon","Tue","Wed","Thu","Fri","Sat"))</f>
        <v/>
      </c>
      <c r="U165" s="72" t="str">
        <f aca="false">IF(OR(Q165&lt;&gt;"Long",D165=""),"",IF(D165&lt;480,"Under 8 min",IF(D165&lt;900,"8–15 min",IF(D165&lt;1500,"15–25 min","25+ min"))))</f>
        <v/>
      </c>
      <c r="V165" s="74" t="str">
        <f aca="false">IF(OR(A165="",N(E165)=0),"",(N(K165)+N(L165))/E165*100)</f>
        <v/>
      </c>
      <c r="W165" s="73" t="str">
        <f aca="false">IF(OR(A165="",N(E165)=0),"",N(L165)/E165*1000)</f>
        <v/>
      </c>
      <c r="X165" s="75" t="str">
        <f aca="false">IF(A165="","",N(N165)-N(O165))</f>
        <v/>
      </c>
      <c r="Y165" s="73" t="str">
        <f aca="false">IF(OR(A165="",N(E165)=0),"",X165/E165*1000)</f>
        <v/>
      </c>
      <c r="Z165" s="72" t="str">
        <f aca="false">IF(OR(A165="",G165=""),"",IF(Q165="Short","n/a (Short)",IF(G165&gt;=Benchmarks!$E$5,"Elite",IF(G165&gt;=Benchmarks!$D$5,"Strong",IF(G165&gt;=Benchmarks!$C$5,"Average","Needs work")))))</f>
        <v/>
      </c>
      <c r="AA165" s="72" t="str">
        <f aca="false">IF(OR(A165="",I165=""),"",IF(Q165="Short",IF(I165&gt;=Benchmarks!$E$7,"Elite",IF(I165&gt;=Benchmarks!$D$7,"Strong",IF(I165&gt;=Benchmarks!$C$7,"Average","Needs work"))),IF(I165&gt;=Benchmarks!$E$6,"Elite",IF(I165&gt;=Benchmarks!$D$6,"Strong",IF(I165&gt;=Benchmarks!$C$6,"Average","Needs work")))))</f>
        <v/>
      </c>
      <c r="AB165" s="72" t="str">
        <f aca="false">IF(V165="","",IF(V165&gt;=Benchmarks!$E$8,"Elite",IF(V165&gt;=Benchmarks!$D$8,"Strong",IF(V165&gt;=Benchmarks!$C$8,"Average","Needs work"))))</f>
        <v/>
      </c>
      <c r="AC165" s="73" t="str">
        <f aca="false">IF(COUNT(AG165:AI165)=0,"",AVERAGE(AG165:AI165))</f>
        <v/>
      </c>
      <c r="AD165" s="37" t="str">
        <f aca="false">IF(A165="","",IF(Q165="Short",IF(AH165="","Add % viewed to diagnose",IF(AND(AH165&gt;=3,N(AI165)&gt;=3),"Winner Short — expand it into a long-form video",IF(AH165&lt;=1,"Hook problem — viewers swipe away in the first seconds",IF(AI165=1,"Watched but no reaction — end on a question or opinion","Solid Short — keep iterating")))),IF(OR(AG165="",AH165=""),"Add CTR &amp; % viewed to diagnose",IF(AND(AG165&gt;=3,AH165&gt;=3),"WINNER — make a sequel, series or Shorts from it",IF(AND(AG165&gt;=3,AH165&lt;=2),"Click but leave — intro too slow or title over-promises",IF(AND(AG165&lt;=2,AH165&gt;=3),"Great video, weak packaging — A/B test title + thumbnail",IF(AND(AG165=1,AH165=1),"Topic miss — don't repeat this angle","Average — sharpen the hook and the title")))))))</f>
        <v/>
      </c>
      <c r="AE165" s="76" t="str">
        <f aca="false">IF(OR(A165="",N(E165)=0),"",Q165&amp;"-"&amp;(COUNTIFS($Q$5:$Q$204,Q165,$E$5:$E$204,"&gt;"&amp;E165)+COUNTIFS($Q$5:Q165,Q165,$E$5:E165,E165)))</f>
        <v/>
      </c>
      <c r="AF165" s="77" t="str">
        <f aca="false">IF(AND(Q165="Long",N(F165)&gt;=Benchmarks!$C$15,G165&lt;&gt;""),G165,"")</f>
        <v/>
      </c>
      <c r="AG165" s="78" t="str">
        <f aca="false">IF(Z165="Elite",4,IF(Z165="Strong",3,IF(Z165="Average",2,IF(Z165="Needs work",1,""))))</f>
        <v/>
      </c>
      <c r="AH165" s="78" t="str">
        <f aca="false">IF(AA165="Elite",4,IF(AA165="Strong",3,IF(AA165="Average",2,IF(AA165="Needs work",1,""))))</f>
        <v/>
      </c>
      <c r="AI165" s="78" t="str">
        <f aca="false">IF(AB165="Elite",4,IF(AB165="Strong",3,IF(AB165="Average",2,IF(AB165="Needs work",1,""))))</f>
        <v/>
      </c>
    </row>
    <row r="166" customFormat="false" ht="15" hidden="false" customHeight="false" outlineLevel="0" collapsed="false">
      <c r="A166" s="64"/>
      <c r="B166" s="65"/>
      <c r="C166" s="66"/>
      <c r="D166" s="67"/>
      <c r="E166" s="67"/>
      <c r="F166" s="67"/>
      <c r="G166" s="68"/>
      <c r="H166" s="69"/>
      <c r="I166" s="68"/>
      <c r="J166" s="70"/>
      <c r="K166" s="67"/>
      <c r="L166" s="67"/>
      <c r="M166" s="67"/>
      <c r="N166" s="67"/>
      <c r="O166" s="67"/>
      <c r="P166" s="71"/>
      <c r="Q166" s="72" t="str">
        <f aca="false">IF(A166="","",IF(C166&lt;&gt;"",C166,IF(AND(D166&lt;&gt;"",D166&lt;=180),"Short","Long")))</f>
        <v/>
      </c>
      <c r="R166" s="73" t="str">
        <f aca="false">IF(OR(A166="",D166=""),"",D166/60)</f>
        <v/>
      </c>
      <c r="S166" s="72" t="str">
        <f aca="false">IF(OR(A166="",B166=""),"",IF(AND(B166&gt;=DATE(2026,4,1),B166&lt;=DATE(2026,6,30)),"Yes","No"))</f>
        <v/>
      </c>
      <c r="T166" s="72" t="str">
        <f aca="false">IF(OR(A166="",B166=""),"",CHOOSE(WEEKDAY(B166),"Sun","Mon","Tue","Wed","Thu","Fri","Sat"))</f>
        <v/>
      </c>
      <c r="U166" s="72" t="str">
        <f aca="false">IF(OR(Q166&lt;&gt;"Long",D166=""),"",IF(D166&lt;480,"Under 8 min",IF(D166&lt;900,"8–15 min",IF(D166&lt;1500,"15–25 min","25+ min"))))</f>
        <v/>
      </c>
      <c r="V166" s="74" t="str">
        <f aca="false">IF(OR(A166="",N(E166)=0),"",(N(K166)+N(L166))/E166*100)</f>
        <v/>
      </c>
      <c r="W166" s="73" t="str">
        <f aca="false">IF(OR(A166="",N(E166)=0),"",N(L166)/E166*1000)</f>
        <v/>
      </c>
      <c r="X166" s="75" t="str">
        <f aca="false">IF(A166="","",N(N166)-N(O166))</f>
        <v/>
      </c>
      <c r="Y166" s="73" t="str">
        <f aca="false">IF(OR(A166="",N(E166)=0),"",X166/E166*1000)</f>
        <v/>
      </c>
      <c r="Z166" s="72" t="str">
        <f aca="false">IF(OR(A166="",G166=""),"",IF(Q166="Short","n/a (Short)",IF(G166&gt;=Benchmarks!$E$5,"Elite",IF(G166&gt;=Benchmarks!$D$5,"Strong",IF(G166&gt;=Benchmarks!$C$5,"Average","Needs work")))))</f>
        <v/>
      </c>
      <c r="AA166" s="72" t="str">
        <f aca="false">IF(OR(A166="",I166=""),"",IF(Q166="Short",IF(I166&gt;=Benchmarks!$E$7,"Elite",IF(I166&gt;=Benchmarks!$D$7,"Strong",IF(I166&gt;=Benchmarks!$C$7,"Average","Needs work"))),IF(I166&gt;=Benchmarks!$E$6,"Elite",IF(I166&gt;=Benchmarks!$D$6,"Strong",IF(I166&gt;=Benchmarks!$C$6,"Average","Needs work")))))</f>
        <v/>
      </c>
      <c r="AB166" s="72" t="str">
        <f aca="false">IF(V166="","",IF(V166&gt;=Benchmarks!$E$8,"Elite",IF(V166&gt;=Benchmarks!$D$8,"Strong",IF(V166&gt;=Benchmarks!$C$8,"Average","Needs work"))))</f>
        <v/>
      </c>
      <c r="AC166" s="73" t="str">
        <f aca="false">IF(COUNT(AG166:AI166)=0,"",AVERAGE(AG166:AI166))</f>
        <v/>
      </c>
      <c r="AD166" s="37" t="str">
        <f aca="false">IF(A166="","",IF(Q166="Short",IF(AH166="","Add % viewed to diagnose",IF(AND(AH166&gt;=3,N(AI166)&gt;=3),"Winner Short — expand it into a long-form video",IF(AH166&lt;=1,"Hook problem — viewers swipe away in the first seconds",IF(AI166=1,"Watched but no reaction — end on a question or opinion","Solid Short — keep iterating")))),IF(OR(AG166="",AH166=""),"Add CTR &amp; % viewed to diagnose",IF(AND(AG166&gt;=3,AH166&gt;=3),"WINNER — make a sequel, series or Shorts from it",IF(AND(AG166&gt;=3,AH166&lt;=2),"Click but leave — intro too slow or title over-promises",IF(AND(AG166&lt;=2,AH166&gt;=3),"Great video, weak packaging — A/B test title + thumbnail",IF(AND(AG166=1,AH166=1),"Topic miss — don't repeat this angle","Average — sharpen the hook and the title")))))))</f>
        <v/>
      </c>
      <c r="AE166" s="76" t="str">
        <f aca="false">IF(OR(A166="",N(E166)=0),"",Q166&amp;"-"&amp;(COUNTIFS($Q$5:$Q$204,Q166,$E$5:$E$204,"&gt;"&amp;E166)+COUNTIFS($Q$5:Q166,Q166,$E$5:E166,E166)))</f>
        <v/>
      </c>
      <c r="AF166" s="77" t="str">
        <f aca="false">IF(AND(Q166="Long",N(F166)&gt;=Benchmarks!$C$15,G166&lt;&gt;""),G166,"")</f>
        <v/>
      </c>
      <c r="AG166" s="78" t="str">
        <f aca="false">IF(Z166="Elite",4,IF(Z166="Strong",3,IF(Z166="Average",2,IF(Z166="Needs work",1,""))))</f>
        <v/>
      </c>
      <c r="AH166" s="78" t="str">
        <f aca="false">IF(AA166="Elite",4,IF(AA166="Strong",3,IF(AA166="Average",2,IF(AA166="Needs work",1,""))))</f>
        <v/>
      </c>
      <c r="AI166" s="78" t="str">
        <f aca="false">IF(AB166="Elite",4,IF(AB166="Strong",3,IF(AB166="Average",2,IF(AB166="Needs work",1,""))))</f>
        <v/>
      </c>
    </row>
    <row r="167" customFormat="false" ht="15" hidden="false" customHeight="false" outlineLevel="0" collapsed="false">
      <c r="A167" s="64"/>
      <c r="B167" s="65"/>
      <c r="C167" s="66"/>
      <c r="D167" s="67"/>
      <c r="E167" s="67"/>
      <c r="F167" s="67"/>
      <c r="G167" s="68"/>
      <c r="H167" s="69"/>
      <c r="I167" s="68"/>
      <c r="J167" s="70"/>
      <c r="K167" s="67"/>
      <c r="L167" s="67"/>
      <c r="M167" s="67"/>
      <c r="N167" s="67"/>
      <c r="O167" s="67"/>
      <c r="P167" s="71"/>
      <c r="Q167" s="72" t="str">
        <f aca="false">IF(A167="","",IF(C167&lt;&gt;"",C167,IF(AND(D167&lt;&gt;"",D167&lt;=180),"Short","Long")))</f>
        <v/>
      </c>
      <c r="R167" s="73" t="str">
        <f aca="false">IF(OR(A167="",D167=""),"",D167/60)</f>
        <v/>
      </c>
      <c r="S167" s="72" t="str">
        <f aca="false">IF(OR(A167="",B167=""),"",IF(AND(B167&gt;=DATE(2026,4,1),B167&lt;=DATE(2026,6,30)),"Yes","No"))</f>
        <v/>
      </c>
      <c r="T167" s="72" t="str">
        <f aca="false">IF(OR(A167="",B167=""),"",CHOOSE(WEEKDAY(B167),"Sun","Mon","Tue","Wed","Thu","Fri","Sat"))</f>
        <v/>
      </c>
      <c r="U167" s="72" t="str">
        <f aca="false">IF(OR(Q167&lt;&gt;"Long",D167=""),"",IF(D167&lt;480,"Under 8 min",IF(D167&lt;900,"8–15 min",IF(D167&lt;1500,"15–25 min","25+ min"))))</f>
        <v/>
      </c>
      <c r="V167" s="74" t="str">
        <f aca="false">IF(OR(A167="",N(E167)=0),"",(N(K167)+N(L167))/E167*100)</f>
        <v/>
      </c>
      <c r="W167" s="73" t="str">
        <f aca="false">IF(OR(A167="",N(E167)=0),"",N(L167)/E167*1000)</f>
        <v/>
      </c>
      <c r="X167" s="75" t="str">
        <f aca="false">IF(A167="","",N(N167)-N(O167))</f>
        <v/>
      </c>
      <c r="Y167" s="73" t="str">
        <f aca="false">IF(OR(A167="",N(E167)=0),"",X167/E167*1000)</f>
        <v/>
      </c>
      <c r="Z167" s="72" t="str">
        <f aca="false">IF(OR(A167="",G167=""),"",IF(Q167="Short","n/a (Short)",IF(G167&gt;=Benchmarks!$E$5,"Elite",IF(G167&gt;=Benchmarks!$D$5,"Strong",IF(G167&gt;=Benchmarks!$C$5,"Average","Needs work")))))</f>
        <v/>
      </c>
      <c r="AA167" s="72" t="str">
        <f aca="false">IF(OR(A167="",I167=""),"",IF(Q167="Short",IF(I167&gt;=Benchmarks!$E$7,"Elite",IF(I167&gt;=Benchmarks!$D$7,"Strong",IF(I167&gt;=Benchmarks!$C$7,"Average","Needs work"))),IF(I167&gt;=Benchmarks!$E$6,"Elite",IF(I167&gt;=Benchmarks!$D$6,"Strong",IF(I167&gt;=Benchmarks!$C$6,"Average","Needs work")))))</f>
        <v/>
      </c>
      <c r="AB167" s="72" t="str">
        <f aca="false">IF(V167="","",IF(V167&gt;=Benchmarks!$E$8,"Elite",IF(V167&gt;=Benchmarks!$D$8,"Strong",IF(V167&gt;=Benchmarks!$C$8,"Average","Needs work"))))</f>
        <v/>
      </c>
      <c r="AC167" s="73" t="str">
        <f aca="false">IF(COUNT(AG167:AI167)=0,"",AVERAGE(AG167:AI167))</f>
        <v/>
      </c>
      <c r="AD167" s="37" t="str">
        <f aca="false">IF(A167="","",IF(Q167="Short",IF(AH167="","Add % viewed to diagnose",IF(AND(AH167&gt;=3,N(AI167)&gt;=3),"Winner Short — expand it into a long-form video",IF(AH167&lt;=1,"Hook problem — viewers swipe away in the first seconds",IF(AI167=1,"Watched but no reaction — end on a question or opinion","Solid Short — keep iterating")))),IF(OR(AG167="",AH167=""),"Add CTR &amp; % viewed to diagnose",IF(AND(AG167&gt;=3,AH167&gt;=3),"WINNER — make a sequel, series or Shorts from it",IF(AND(AG167&gt;=3,AH167&lt;=2),"Click but leave — intro too slow or title over-promises",IF(AND(AG167&lt;=2,AH167&gt;=3),"Great video, weak packaging — A/B test title + thumbnail",IF(AND(AG167=1,AH167=1),"Topic miss — don't repeat this angle","Average — sharpen the hook and the title")))))))</f>
        <v/>
      </c>
      <c r="AE167" s="76" t="str">
        <f aca="false">IF(OR(A167="",N(E167)=0),"",Q167&amp;"-"&amp;(COUNTIFS($Q$5:$Q$204,Q167,$E$5:$E$204,"&gt;"&amp;E167)+COUNTIFS($Q$5:Q167,Q167,$E$5:E167,E167)))</f>
        <v/>
      </c>
      <c r="AF167" s="77" t="str">
        <f aca="false">IF(AND(Q167="Long",N(F167)&gt;=Benchmarks!$C$15,G167&lt;&gt;""),G167,"")</f>
        <v/>
      </c>
      <c r="AG167" s="78" t="str">
        <f aca="false">IF(Z167="Elite",4,IF(Z167="Strong",3,IF(Z167="Average",2,IF(Z167="Needs work",1,""))))</f>
        <v/>
      </c>
      <c r="AH167" s="78" t="str">
        <f aca="false">IF(AA167="Elite",4,IF(AA167="Strong",3,IF(AA167="Average",2,IF(AA167="Needs work",1,""))))</f>
        <v/>
      </c>
      <c r="AI167" s="78" t="str">
        <f aca="false">IF(AB167="Elite",4,IF(AB167="Strong",3,IF(AB167="Average",2,IF(AB167="Needs work",1,""))))</f>
        <v/>
      </c>
    </row>
    <row r="168" customFormat="false" ht="15" hidden="false" customHeight="false" outlineLevel="0" collapsed="false">
      <c r="A168" s="64"/>
      <c r="B168" s="65"/>
      <c r="C168" s="66"/>
      <c r="D168" s="67"/>
      <c r="E168" s="67"/>
      <c r="F168" s="67"/>
      <c r="G168" s="68"/>
      <c r="H168" s="69"/>
      <c r="I168" s="68"/>
      <c r="J168" s="70"/>
      <c r="K168" s="67"/>
      <c r="L168" s="67"/>
      <c r="M168" s="67"/>
      <c r="N168" s="67"/>
      <c r="O168" s="67"/>
      <c r="P168" s="71"/>
      <c r="Q168" s="72" t="str">
        <f aca="false">IF(A168="","",IF(C168&lt;&gt;"",C168,IF(AND(D168&lt;&gt;"",D168&lt;=180),"Short","Long")))</f>
        <v/>
      </c>
      <c r="R168" s="73" t="str">
        <f aca="false">IF(OR(A168="",D168=""),"",D168/60)</f>
        <v/>
      </c>
      <c r="S168" s="72" t="str">
        <f aca="false">IF(OR(A168="",B168=""),"",IF(AND(B168&gt;=DATE(2026,4,1),B168&lt;=DATE(2026,6,30)),"Yes","No"))</f>
        <v/>
      </c>
      <c r="T168" s="72" t="str">
        <f aca="false">IF(OR(A168="",B168=""),"",CHOOSE(WEEKDAY(B168),"Sun","Mon","Tue","Wed","Thu","Fri","Sat"))</f>
        <v/>
      </c>
      <c r="U168" s="72" t="str">
        <f aca="false">IF(OR(Q168&lt;&gt;"Long",D168=""),"",IF(D168&lt;480,"Under 8 min",IF(D168&lt;900,"8–15 min",IF(D168&lt;1500,"15–25 min","25+ min"))))</f>
        <v/>
      </c>
      <c r="V168" s="74" t="str">
        <f aca="false">IF(OR(A168="",N(E168)=0),"",(N(K168)+N(L168))/E168*100)</f>
        <v/>
      </c>
      <c r="W168" s="73" t="str">
        <f aca="false">IF(OR(A168="",N(E168)=0),"",N(L168)/E168*1000)</f>
        <v/>
      </c>
      <c r="X168" s="75" t="str">
        <f aca="false">IF(A168="","",N(N168)-N(O168))</f>
        <v/>
      </c>
      <c r="Y168" s="73" t="str">
        <f aca="false">IF(OR(A168="",N(E168)=0),"",X168/E168*1000)</f>
        <v/>
      </c>
      <c r="Z168" s="72" t="str">
        <f aca="false">IF(OR(A168="",G168=""),"",IF(Q168="Short","n/a (Short)",IF(G168&gt;=Benchmarks!$E$5,"Elite",IF(G168&gt;=Benchmarks!$D$5,"Strong",IF(G168&gt;=Benchmarks!$C$5,"Average","Needs work")))))</f>
        <v/>
      </c>
      <c r="AA168" s="72" t="str">
        <f aca="false">IF(OR(A168="",I168=""),"",IF(Q168="Short",IF(I168&gt;=Benchmarks!$E$7,"Elite",IF(I168&gt;=Benchmarks!$D$7,"Strong",IF(I168&gt;=Benchmarks!$C$7,"Average","Needs work"))),IF(I168&gt;=Benchmarks!$E$6,"Elite",IF(I168&gt;=Benchmarks!$D$6,"Strong",IF(I168&gt;=Benchmarks!$C$6,"Average","Needs work")))))</f>
        <v/>
      </c>
      <c r="AB168" s="72" t="str">
        <f aca="false">IF(V168="","",IF(V168&gt;=Benchmarks!$E$8,"Elite",IF(V168&gt;=Benchmarks!$D$8,"Strong",IF(V168&gt;=Benchmarks!$C$8,"Average","Needs work"))))</f>
        <v/>
      </c>
      <c r="AC168" s="73" t="str">
        <f aca="false">IF(COUNT(AG168:AI168)=0,"",AVERAGE(AG168:AI168))</f>
        <v/>
      </c>
      <c r="AD168" s="37" t="str">
        <f aca="false">IF(A168="","",IF(Q168="Short",IF(AH168="","Add % viewed to diagnose",IF(AND(AH168&gt;=3,N(AI168)&gt;=3),"Winner Short — expand it into a long-form video",IF(AH168&lt;=1,"Hook problem — viewers swipe away in the first seconds",IF(AI168=1,"Watched but no reaction — end on a question or opinion","Solid Short — keep iterating")))),IF(OR(AG168="",AH168=""),"Add CTR &amp; % viewed to diagnose",IF(AND(AG168&gt;=3,AH168&gt;=3),"WINNER — make a sequel, series or Shorts from it",IF(AND(AG168&gt;=3,AH168&lt;=2),"Click but leave — intro too slow or title over-promises",IF(AND(AG168&lt;=2,AH168&gt;=3),"Great video, weak packaging — A/B test title + thumbnail",IF(AND(AG168=1,AH168=1),"Topic miss — don't repeat this angle","Average — sharpen the hook and the title")))))))</f>
        <v/>
      </c>
      <c r="AE168" s="76" t="str">
        <f aca="false">IF(OR(A168="",N(E168)=0),"",Q168&amp;"-"&amp;(COUNTIFS($Q$5:$Q$204,Q168,$E$5:$E$204,"&gt;"&amp;E168)+COUNTIFS($Q$5:Q168,Q168,$E$5:E168,E168)))</f>
        <v/>
      </c>
      <c r="AF168" s="77" t="str">
        <f aca="false">IF(AND(Q168="Long",N(F168)&gt;=Benchmarks!$C$15,G168&lt;&gt;""),G168,"")</f>
        <v/>
      </c>
      <c r="AG168" s="78" t="str">
        <f aca="false">IF(Z168="Elite",4,IF(Z168="Strong",3,IF(Z168="Average",2,IF(Z168="Needs work",1,""))))</f>
        <v/>
      </c>
      <c r="AH168" s="78" t="str">
        <f aca="false">IF(AA168="Elite",4,IF(AA168="Strong",3,IF(AA168="Average",2,IF(AA168="Needs work",1,""))))</f>
        <v/>
      </c>
      <c r="AI168" s="78" t="str">
        <f aca="false">IF(AB168="Elite",4,IF(AB168="Strong",3,IF(AB168="Average",2,IF(AB168="Needs work",1,""))))</f>
        <v/>
      </c>
    </row>
    <row r="169" customFormat="false" ht="15" hidden="false" customHeight="false" outlineLevel="0" collapsed="false">
      <c r="A169" s="64"/>
      <c r="B169" s="65"/>
      <c r="C169" s="66"/>
      <c r="D169" s="67"/>
      <c r="E169" s="67"/>
      <c r="F169" s="67"/>
      <c r="G169" s="68"/>
      <c r="H169" s="69"/>
      <c r="I169" s="68"/>
      <c r="J169" s="70"/>
      <c r="K169" s="67"/>
      <c r="L169" s="67"/>
      <c r="M169" s="67"/>
      <c r="N169" s="67"/>
      <c r="O169" s="67"/>
      <c r="P169" s="71"/>
      <c r="Q169" s="72" t="str">
        <f aca="false">IF(A169="","",IF(C169&lt;&gt;"",C169,IF(AND(D169&lt;&gt;"",D169&lt;=180),"Short","Long")))</f>
        <v/>
      </c>
      <c r="R169" s="73" t="str">
        <f aca="false">IF(OR(A169="",D169=""),"",D169/60)</f>
        <v/>
      </c>
      <c r="S169" s="72" t="str">
        <f aca="false">IF(OR(A169="",B169=""),"",IF(AND(B169&gt;=DATE(2026,4,1),B169&lt;=DATE(2026,6,30)),"Yes","No"))</f>
        <v/>
      </c>
      <c r="T169" s="72" t="str">
        <f aca="false">IF(OR(A169="",B169=""),"",CHOOSE(WEEKDAY(B169),"Sun","Mon","Tue","Wed","Thu","Fri","Sat"))</f>
        <v/>
      </c>
      <c r="U169" s="72" t="str">
        <f aca="false">IF(OR(Q169&lt;&gt;"Long",D169=""),"",IF(D169&lt;480,"Under 8 min",IF(D169&lt;900,"8–15 min",IF(D169&lt;1500,"15–25 min","25+ min"))))</f>
        <v/>
      </c>
      <c r="V169" s="74" t="str">
        <f aca="false">IF(OR(A169="",N(E169)=0),"",(N(K169)+N(L169))/E169*100)</f>
        <v/>
      </c>
      <c r="W169" s="73" t="str">
        <f aca="false">IF(OR(A169="",N(E169)=0),"",N(L169)/E169*1000)</f>
        <v/>
      </c>
      <c r="X169" s="75" t="str">
        <f aca="false">IF(A169="","",N(N169)-N(O169))</f>
        <v/>
      </c>
      <c r="Y169" s="73" t="str">
        <f aca="false">IF(OR(A169="",N(E169)=0),"",X169/E169*1000)</f>
        <v/>
      </c>
      <c r="Z169" s="72" t="str">
        <f aca="false">IF(OR(A169="",G169=""),"",IF(Q169="Short","n/a (Short)",IF(G169&gt;=Benchmarks!$E$5,"Elite",IF(G169&gt;=Benchmarks!$D$5,"Strong",IF(G169&gt;=Benchmarks!$C$5,"Average","Needs work")))))</f>
        <v/>
      </c>
      <c r="AA169" s="72" t="str">
        <f aca="false">IF(OR(A169="",I169=""),"",IF(Q169="Short",IF(I169&gt;=Benchmarks!$E$7,"Elite",IF(I169&gt;=Benchmarks!$D$7,"Strong",IF(I169&gt;=Benchmarks!$C$7,"Average","Needs work"))),IF(I169&gt;=Benchmarks!$E$6,"Elite",IF(I169&gt;=Benchmarks!$D$6,"Strong",IF(I169&gt;=Benchmarks!$C$6,"Average","Needs work")))))</f>
        <v/>
      </c>
      <c r="AB169" s="72" t="str">
        <f aca="false">IF(V169="","",IF(V169&gt;=Benchmarks!$E$8,"Elite",IF(V169&gt;=Benchmarks!$D$8,"Strong",IF(V169&gt;=Benchmarks!$C$8,"Average","Needs work"))))</f>
        <v/>
      </c>
      <c r="AC169" s="73" t="str">
        <f aca="false">IF(COUNT(AG169:AI169)=0,"",AVERAGE(AG169:AI169))</f>
        <v/>
      </c>
      <c r="AD169" s="37" t="str">
        <f aca="false">IF(A169="","",IF(Q169="Short",IF(AH169="","Add % viewed to diagnose",IF(AND(AH169&gt;=3,N(AI169)&gt;=3),"Winner Short — expand it into a long-form video",IF(AH169&lt;=1,"Hook problem — viewers swipe away in the first seconds",IF(AI169=1,"Watched but no reaction — end on a question or opinion","Solid Short — keep iterating")))),IF(OR(AG169="",AH169=""),"Add CTR &amp; % viewed to diagnose",IF(AND(AG169&gt;=3,AH169&gt;=3),"WINNER — make a sequel, series or Shorts from it",IF(AND(AG169&gt;=3,AH169&lt;=2),"Click but leave — intro too slow or title over-promises",IF(AND(AG169&lt;=2,AH169&gt;=3),"Great video, weak packaging — A/B test title + thumbnail",IF(AND(AG169=1,AH169=1),"Topic miss — don't repeat this angle","Average — sharpen the hook and the title")))))))</f>
        <v/>
      </c>
      <c r="AE169" s="76" t="str">
        <f aca="false">IF(OR(A169="",N(E169)=0),"",Q169&amp;"-"&amp;(COUNTIFS($Q$5:$Q$204,Q169,$E$5:$E$204,"&gt;"&amp;E169)+COUNTIFS($Q$5:Q169,Q169,$E$5:E169,E169)))</f>
        <v/>
      </c>
      <c r="AF169" s="77" t="str">
        <f aca="false">IF(AND(Q169="Long",N(F169)&gt;=Benchmarks!$C$15,G169&lt;&gt;""),G169,"")</f>
        <v/>
      </c>
      <c r="AG169" s="78" t="str">
        <f aca="false">IF(Z169="Elite",4,IF(Z169="Strong",3,IF(Z169="Average",2,IF(Z169="Needs work",1,""))))</f>
        <v/>
      </c>
      <c r="AH169" s="78" t="str">
        <f aca="false">IF(AA169="Elite",4,IF(AA169="Strong",3,IF(AA169="Average",2,IF(AA169="Needs work",1,""))))</f>
        <v/>
      </c>
      <c r="AI169" s="78" t="str">
        <f aca="false">IF(AB169="Elite",4,IF(AB169="Strong",3,IF(AB169="Average",2,IF(AB169="Needs work",1,""))))</f>
        <v/>
      </c>
    </row>
    <row r="170" customFormat="false" ht="15" hidden="false" customHeight="false" outlineLevel="0" collapsed="false">
      <c r="A170" s="64"/>
      <c r="B170" s="65"/>
      <c r="C170" s="66"/>
      <c r="D170" s="67"/>
      <c r="E170" s="67"/>
      <c r="F170" s="67"/>
      <c r="G170" s="68"/>
      <c r="H170" s="69"/>
      <c r="I170" s="68"/>
      <c r="J170" s="70"/>
      <c r="K170" s="67"/>
      <c r="L170" s="67"/>
      <c r="M170" s="67"/>
      <c r="N170" s="67"/>
      <c r="O170" s="67"/>
      <c r="P170" s="71"/>
      <c r="Q170" s="72" t="str">
        <f aca="false">IF(A170="","",IF(C170&lt;&gt;"",C170,IF(AND(D170&lt;&gt;"",D170&lt;=180),"Short","Long")))</f>
        <v/>
      </c>
      <c r="R170" s="73" t="str">
        <f aca="false">IF(OR(A170="",D170=""),"",D170/60)</f>
        <v/>
      </c>
      <c r="S170" s="72" t="str">
        <f aca="false">IF(OR(A170="",B170=""),"",IF(AND(B170&gt;=DATE(2026,4,1),B170&lt;=DATE(2026,6,30)),"Yes","No"))</f>
        <v/>
      </c>
      <c r="T170" s="72" t="str">
        <f aca="false">IF(OR(A170="",B170=""),"",CHOOSE(WEEKDAY(B170),"Sun","Mon","Tue","Wed","Thu","Fri","Sat"))</f>
        <v/>
      </c>
      <c r="U170" s="72" t="str">
        <f aca="false">IF(OR(Q170&lt;&gt;"Long",D170=""),"",IF(D170&lt;480,"Under 8 min",IF(D170&lt;900,"8–15 min",IF(D170&lt;1500,"15–25 min","25+ min"))))</f>
        <v/>
      </c>
      <c r="V170" s="74" t="str">
        <f aca="false">IF(OR(A170="",N(E170)=0),"",(N(K170)+N(L170))/E170*100)</f>
        <v/>
      </c>
      <c r="W170" s="73" t="str">
        <f aca="false">IF(OR(A170="",N(E170)=0),"",N(L170)/E170*1000)</f>
        <v/>
      </c>
      <c r="X170" s="75" t="str">
        <f aca="false">IF(A170="","",N(N170)-N(O170))</f>
        <v/>
      </c>
      <c r="Y170" s="73" t="str">
        <f aca="false">IF(OR(A170="",N(E170)=0),"",X170/E170*1000)</f>
        <v/>
      </c>
      <c r="Z170" s="72" t="str">
        <f aca="false">IF(OR(A170="",G170=""),"",IF(Q170="Short","n/a (Short)",IF(G170&gt;=Benchmarks!$E$5,"Elite",IF(G170&gt;=Benchmarks!$D$5,"Strong",IF(G170&gt;=Benchmarks!$C$5,"Average","Needs work")))))</f>
        <v/>
      </c>
      <c r="AA170" s="72" t="str">
        <f aca="false">IF(OR(A170="",I170=""),"",IF(Q170="Short",IF(I170&gt;=Benchmarks!$E$7,"Elite",IF(I170&gt;=Benchmarks!$D$7,"Strong",IF(I170&gt;=Benchmarks!$C$7,"Average","Needs work"))),IF(I170&gt;=Benchmarks!$E$6,"Elite",IF(I170&gt;=Benchmarks!$D$6,"Strong",IF(I170&gt;=Benchmarks!$C$6,"Average","Needs work")))))</f>
        <v/>
      </c>
      <c r="AB170" s="72" t="str">
        <f aca="false">IF(V170="","",IF(V170&gt;=Benchmarks!$E$8,"Elite",IF(V170&gt;=Benchmarks!$D$8,"Strong",IF(V170&gt;=Benchmarks!$C$8,"Average","Needs work"))))</f>
        <v/>
      </c>
      <c r="AC170" s="73" t="str">
        <f aca="false">IF(COUNT(AG170:AI170)=0,"",AVERAGE(AG170:AI170))</f>
        <v/>
      </c>
      <c r="AD170" s="37" t="str">
        <f aca="false">IF(A170="","",IF(Q170="Short",IF(AH170="","Add % viewed to diagnose",IF(AND(AH170&gt;=3,N(AI170)&gt;=3),"Winner Short — expand it into a long-form video",IF(AH170&lt;=1,"Hook problem — viewers swipe away in the first seconds",IF(AI170=1,"Watched but no reaction — end on a question or opinion","Solid Short — keep iterating")))),IF(OR(AG170="",AH170=""),"Add CTR &amp; % viewed to diagnose",IF(AND(AG170&gt;=3,AH170&gt;=3),"WINNER — make a sequel, series or Shorts from it",IF(AND(AG170&gt;=3,AH170&lt;=2),"Click but leave — intro too slow or title over-promises",IF(AND(AG170&lt;=2,AH170&gt;=3),"Great video, weak packaging — A/B test title + thumbnail",IF(AND(AG170=1,AH170=1),"Topic miss — don't repeat this angle","Average — sharpen the hook and the title")))))))</f>
        <v/>
      </c>
      <c r="AE170" s="76" t="str">
        <f aca="false">IF(OR(A170="",N(E170)=0),"",Q170&amp;"-"&amp;(COUNTIFS($Q$5:$Q$204,Q170,$E$5:$E$204,"&gt;"&amp;E170)+COUNTIFS($Q$5:Q170,Q170,$E$5:E170,E170)))</f>
        <v/>
      </c>
      <c r="AF170" s="77" t="str">
        <f aca="false">IF(AND(Q170="Long",N(F170)&gt;=Benchmarks!$C$15,G170&lt;&gt;""),G170,"")</f>
        <v/>
      </c>
      <c r="AG170" s="78" t="str">
        <f aca="false">IF(Z170="Elite",4,IF(Z170="Strong",3,IF(Z170="Average",2,IF(Z170="Needs work",1,""))))</f>
        <v/>
      </c>
      <c r="AH170" s="78" t="str">
        <f aca="false">IF(AA170="Elite",4,IF(AA170="Strong",3,IF(AA170="Average",2,IF(AA170="Needs work",1,""))))</f>
        <v/>
      </c>
      <c r="AI170" s="78" t="str">
        <f aca="false">IF(AB170="Elite",4,IF(AB170="Strong",3,IF(AB170="Average",2,IF(AB170="Needs work",1,""))))</f>
        <v/>
      </c>
    </row>
    <row r="171" customFormat="false" ht="15" hidden="false" customHeight="false" outlineLevel="0" collapsed="false">
      <c r="A171" s="64"/>
      <c r="B171" s="65"/>
      <c r="C171" s="66"/>
      <c r="D171" s="67"/>
      <c r="E171" s="67"/>
      <c r="F171" s="67"/>
      <c r="G171" s="68"/>
      <c r="H171" s="69"/>
      <c r="I171" s="68"/>
      <c r="J171" s="70"/>
      <c r="K171" s="67"/>
      <c r="L171" s="67"/>
      <c r="M171" s="67"/>
      <c r="N171" s="67"/>
      <c r="O171" s="67"/>
      <c r="P171" s="71"/>
      <c r="Q171" s="72" t="str">
        <f aca="false">IF(A171="","",IF(C171&lt;&gt;"",C171,IF(AND(D171&lt;&gt;"",D171&lt;=180),"Short","Long")))</f>
        <v/>
      </c>
      <c r="R171" s="73" t="str">
        <f aca="false">IF(OR(A171="",D171=""),"",D171/60)</f>
        <v/>
      </c>
      <c r="S171" s="72" t="str">
        <f aca="false">IF(OR(A171="",B171=""),"",IF(AND(B171&gt;=DATE(2026,4,1),B171&lt;=DATE(2026,6,30)),"Yes","No"))</f>
        <v/>
      </c>
      <c r="T171" s="72" t="str">
        <f aca="false">IF(OR(A171="",B171=""),"",CHOOSE(WEEKDAY(B171),"Sun","Mon","Tue","Wed","Thu","Fri","Sat"))</f>
        <v/>
      </c>
      <c r="U171" s="72" t="str">
        <f aca="false">IF(OR(Q171&lt;&gt;"Long",D171=""),"",IF(D171&lt;480,"Under 8 min",IF(D171&lt;900,"8–15 min",IF(D171&lt;1500,"15–25 min","25+ min"))))</f>
        <v/>
      </c>
      <c r="V171" s="74" t="str">
        <f aca="false">IF(OR(A171="",N(E171)=0),"",(N(K171)+N(L171))/E171*100)</f>
        <v/>
      </c>
      <c r="W171" s="73" t="str">
        <f aca="false">IF(OR(A171="",N(E171)=0),"",N(L171)/E171*1000)</f>
        <v/>
      </c>
      <c r="X171" s="75" t="str">
        <f aca="false">IF(A171="","",N(N171)-N(O171))</f>
        <v/>
      </c>
      <c r="Y171" s="73" t="str">
        <f aca="false">IF(OR(A171="",N(E171)=0),"",X171/E171*1000)</f>
        <v/>
      </c>
      <c r="Z171" s="72" t="str">
        <f aca="false">IF(OR(A171="",G171=""),"",IF(Q171="Short","n/a (Short)",IF(G171&gt;=Benchmarks!$E$5,"Elite",IF(G171&gt;=Benchmarks!$D$5,"Strong",IF(G171&gt;=Benchmarks!$C$5,"Average","Needs work")))))</f>
        <v/>
      </c>
      <c r="AA171" s="72" t="str">
        <f aca="false">IF(OR(A171="",I171=""),"",IF(Q171="Short",IF(I171&gt;=Benchmarks!$E$7,"Elite",IF(I171&gt;=Benchmarks!$D$7,"Strong",IF(I171&gt;=Benchmarks!$C$7,"Average","Needs work"))),IF(I171&gt;=Benchmarks!$E$6,"Elite",IF(I171&gt;=Benchmarks!$D$6,"Strong",IF(I171&gt;=Benchmarks!$C$6,"Average","Needs work")))))</f>
        <v/>
      </c>
      <c r="AB171" s="72" t="str">
        <f aca="false">IF(V171="","",IF(V171&gt;=Benchmarks!$E$8,"Elite",IF(V171&gt;=Benchmarks!$D$8,"Strong",IF(V171&gt;=Benchmarks!$C$8,"Average","Needs work"))))</f>
        <v/>
      </c>
      <c r="AC171" s="73" t="str">
        <f aca="false">IF(COUNT(AG171:AI171)=0,"",AVERAGE(AG171:AI171))</f>
        <v/>
      </c>
      <c r="AD171" s="37" t="str">
        <f aca="false">IF(A171="","",IF(Q171="Short",IF(AH171="","Add % viewed to diagnose",IF(AND(AH171&gt;=3,N(AI171)&gt;=3),"Winner Short — expand it into a long-form video",IF(AH171&lt;=1,"Hook problem — viewers swipe away in the first seconds",IF(AI171=1,"Watched but no reaction — end on a question or opinion","Solid Short — keep iterating")))),IF(OR(AG171="",AH171=""),"Add CTR &amp; % viewed to diagnose",IF(AND(AG171&gt;=3,AH171&gt;=3),"WINNER — make a sequel, series or Shorts from it",IF(AND(AG171&gt;=3,AH171&lt;=2),"Click but leave — intro too slow or title over-promises",IF(AND(AG171&lt;=2,AH171&gt;=3),"Great video, weak packaging — A/B test title + thumbnail",IF(AND(AG171=1,AH171=1),"Topic miss — don't repeat this angle","Average — sharpen the hook and the title")))))))</f>
        <v/>
      </c>
      <c r="AE171" s="76" t="str">
        <f aca="false">IF(OR(A171="",N(E171)=0),"",Q171&amp;"-"&amp;(COUNTIFS($Q$5:$Q$204,Q171,$E$5:$E$204,"&gt;"&amp;E171)+COUNTIFS($Q$5:Q171,Q171,$E$5:E171,E171)))</f>
        <v/>
      </c>
      <c r="AF171" s="77" t="str">
        <f aca="false">IF(AND(Q171="Long",N(F171)&gt;=Benchmarks!$C$15,G171&lt;&gt;""),G171,"")</f>
        <v/>
      </c>
      <c r="AG171" s="78" t="str">
        <f aca="false">IF(Z171="Elite",4,IF(Z171="Strong",3,IF(Z171="Average",2,IF(Z171="Needs work",1,""))))</f>
        <v/>
      </c>
      <c r="AH171" s="78" t="str">
        <f aca="false">IF(AA171="Elite",4,IF(AA171="Strong",3,IF(AA171="Average",2,IF(AA171="Needs work",1,""))))</f>
        <v/>
      </c>
      <c r="AI171" s="78" t="str">
        <f aca="false">IF(AB171="Elite",4,IF(AB171="Strong",3,IF(AB171="Average",2,IF(AB171="Needs work",1,""))))</f>
        <v/>
      </c>
    </row>
    <row r="172" customFormat="false" ht="15" hidden="false" customHeight="false" outlineLevel="0" collapsed="false">
      <c r="A172" s="64"/>
      <c r="B172" s="65"/>
      <c r="C172" s="66"/>
      <c r="D172" s="67"/>
      <c r="E172" s="67"/>
      <c r="F172" s="67"/>
      <c r="G172" s="68"/>
      <c r="H172" s="69"/>
      <c r="I172" s="68"/>
      <c r="J172" s="70"/>
      <c r="K172" s="67"/>
      <c r="L172" s="67"/>
      <c r="M172" s="67"/>
      <c r="N172" s="67"/>
      <c r="O172" s="67"/>
      <c r="P172" s="71"/>
      <c r="Q172" s="72" t="str">
        <f aca="false">IF(A172="","",IF(C172&lt;&gt;"",C172,IF(AND(D172&lt;&gt;"",D172&lt;=180),"Short","Long")))</f>
        <v/>
      </c>
      <c r="R172" s="73" t="str">
        <f aca="false">IF(OR(A172="",D172=""),"",D172/60)</f>
        <v/>
      </c>
      <c r="S172" s="72" t="str">
        <f aca="false">IF(OR(A172="",B172=""),"",IF(AND(B172&gt;=DATE(2026,4,1),B172&lt;=DATE(2026,6,30)),"Yes","No"))</f>
        <v/>
      </c>
      <c r="T172" s="72" t="str">
        <f aca="false">IF(OR(A172="",B172=""),"",CHOOSE(WEEKDAY(B172),"Sun","Mon","Tue","Wed","Thu","Fri","Sat"))</f>
        <v/>
      </c>
      <c r="U172" s="72" t="str">
        <f aca="false">IF(OR(Q172&lt;&gt;"Long",D172=""),"",IF(D172&lt;480,"Under 8 min",IF(D172&lt;900,"8–15 min",IF(D172&lt;1500,"15–25 min","25+ min"))))</f>
        <v/>
      </c>
      <c r="V172" s="74" t="str">
        <f aca="false">IF(OR(A172="",N(E172)=0),"",(N(K172)+N(L172))/E172*100)</f>
        <v/>
      </c>
      <c r="W172" s="73" t="str">
        <f aca="false">IF(OR(A172="",N(E172)=0),"",N(L172)/E172*1000)</f>
        <v/>
      </c>
      <c r="X172" s="75" t="str">
        <f aca="false">IF(A172="","",N(N172)-N(O172))</f>
        <v/>
      </c>
      <c r="Y172" s="73" t="str">
        <f aca="false">IF(OR(A172="",N(E172)=0),"",X172/E172*1000)</f>
        <v/>
      </c>
      <c r="Z172" s="72" t="str">
        <f aca="false">IF(OR(A172="",G172=""),"",IF(Q172="Short","n/a (Short)",IF(G172&gt;=Benchmarks!$E$5,"Elite",IF(G172&gt;=Benchmarks!$D$5,"Strong",IF(G172&gt;=Benchmarks!$C$5,"Average","Needs work")))))</f>
        <v/>
      </c>
      <c r="AA172" s="72" t="str">
        <f aca="false">IF(OR(A172="",I172=""),"",IF(Q172="Short",IF(I172&gt;=Benchmarks!$E$7,"Elite",IF(I172&gt;=Benchmarks!$D$7,"Strong",IF(I172&gt;=Benchmarks!$C$7,"Average","Needs work"))),IF(I172&gt;=Benchmarks!$E$6,"Elite",IF(I172&gt;=Benchmarks!$D$6,"Strong",IF(I172&gt;=Benchmarks!$C$6,"Average","Needs work")))))</f>
        <v/>
      </c>
      <c r="AB172" s="72" t="str">
        <f aca="false">IF(V172="","",IF(V172&gt;=Benchmarks!$E$8,"Elite",IF(V172&gt;=Benchmarks!$D$8,"Strong",IF(V172&gt;=Benchmarks!$C$8,"Average","Needs work"))))</f>
        <v/>
      </c>
      <c r="AC172" s="73" t="str">
        <f aca="false">IF(COUNT(AG172:AI172)=0,"",AVERAGE(AG172:AI172))</f>
        <v/>
      </c>
      <c r="AD172" s="37" t="str">
        <f aca="false">IF(A172="","",IF(Q172="Short",IF(AH172="","Add % viewed to diagnose",IF(AND(AH172&gt;=3,N(AI172)&gt;=3),"Winner Short — expand it into a long-form video",IF(AH172&lt;=1,"Hook problem — viewers swipe away in the first seconds",IF(AI172=1,"Watched but no reaction — end on a question or opinion","Solid Short — keep iterating")))),IF(OR(AG172="",AH172=""),"Add CTR &amp; % viewed to diagnose",IF(AND(AG172&gt;=3,AH172&gt;=3),"WINNER — make a sequel, series or Shorts from it",IF(AND(AG172&gt;=3,AH172&lt;=2),"Click but leave — intro too slow or title over-promises",IF(AND(AG172&lt;=2,AH172&gt;=3),"Great video, weak packaging — A/B test title + thumbnail",IF(AND(AG172=1,AH172=1),"Topic miss — don't repeat this angle","Average — sharpen the hook and the title")))))))</f>
        <v/>
      </c>
      <c r="AE172" s="76" t="str">
        <f aca="false">IF(OR(A172="",N(E172)=0),"",Q172&amp;"-"&amp;(COUNTIFS($Q$5:$Q$204,Q172,$E$5:$E$204,"&gt;"&amp;E172)+COUNTIFS($Q$5:Q172,Q172,$E$5:E172,E172)))</f>
        <v/>
      </c>
      <c r="AF172" s="77" t="str">
        <f aca="false">IF(AND(Q172="Long",N(F172)&gt;=Benchmarks!$C$15,G172&lt;&gt;""),G172,"")</f>
        <v/>
      </c>
      <c r="AG172" s="78" t="str">
        <f aca="false">IF(Z172="Elite",4,IF(Z172="Strong",3,IF(Z172="Average",2,IF(Z172="Needs work",1,""))))</f>
        <v/>
      </c>
      <c r="AH172" s="78" t="str">
        <f aca="false">IF(AA172="Elite",4,IF(AA172="Strong",3,IF(AA172="Average",2,IF(AA172="Needs work",1,""))))</f>
        <v/>
      </c>
      <c r="AI172" s="78" t="str">
        <f aca="false">IF(AB172="Elite",4,IF(AB172="Strong",3,IF(AB172="Average",2,IF(AB172="Needs work",1,""))))</f>
        <v/>
      </c>
    </row>
    <row r="173" customFormat="false" ht="15" hidden="false" customHeight="false" outlineLevel="0" collapsed="false">
      <c r="A173" s="64"/>
      <c r="B173" s="65"/>
      <c r="C173" s="66"/>
      <c r="D173" s="67"/>
      <c r="E173" s="67"/>
      <c r="F173" s="67"/>
      <c r="G173" s="68"/>
      <c r="H173" s="69"/>
      <c r="I173" s="68"/>
      <c r="J173" s="70"/>
      <c r="K173" s="67"/>
      <c r="L173" s="67"/>
      <c r="M173" s="67"/>
      <c r="N173" s="67"/>
      <c r="O173" s="67"/>
      <c r="P173" s="71"/>
      <c r="Q173" s="72" t="str">
        <f aca="false">IF(A173="","",IF(C173&lt;&gt;"",C173,IF(AND(D173&lt;&gt;"",D173&lt;=180),"Short","Long")))</f>
        <v/>
      </c>
      <c r="R173" s="73" t="str">
        <f aca="false">IF(OR(A173="",D173=""),"",D173/60)</f>
        <v/>
      </c>
      <c r="S173" s="72" t="str">
        <f aca="false">IF(OR(A173="",B173=""),"",IF(AND(B173&gt;=DATE(2026,4,1),B173&lt;=DATE(2026,6,30)),"Yes","No"))</f>
        <v/>
      </c>
      <c r="T173" s="72" t="str">
        <f aca="false">IF(OR(A173="",B173=""),"",CHOOSE(WEEKDAY(B173),"Sun","Mon","Tue","Wed","Thu","Fri","Sat"))</f>
        <v/>
      </c>
      <c r="U173" s="72" t="str">
        <f aca="false">IF(OR(Q173&lt;&gt;"Long",D173=""),"",IF(D173&lt;480,"Under 8 min",IF(D173&lt;900,"8–15 min",IF(D173&lt;1500,"15–25 min","25+ min"))))</f>
        <v/>
      </c>
      <c r="V173" s="74" t="str">
        <f aca="false">IF(OR(A173="",N(E173)=0),"",(N(K173)+N(L173))/E173*100)</f>
        <v/>
      </c>
      <c r="W173" s="73" t="str">
        <f aca="false">IF(OR(A173="",N(E173)=0),"",N(L173)/E173*1000)</f>
        <v/>
      </c>
      <c r="X173" s="75" t="str">
        <f aca="false">IF(A173="","",N(N173)-N(O173))</f>
        <v/>
      </c>
      <c r="Y173" s="73" t="str">
        <f aca="false">IF(OR(A173="",N(E173)=0),"",X173/E173*1000)</f>
        <v/>
      </c>
      <c r="Z173" s="72" t="str">
        <f aca="false">IF(OR(A173="",G173=""),"",IF(Q173="Short","n/a (Short)",IF(G173&gt;=Benchmarks!$E$5,"Elite",IF(G173&gt;=Benchmarks!$D$5,"Strong",IF(G173&gt;=Benchmarks!$C$5,"Average","Needs work")))))</f>
        <v/>
      </c>
      <c r="AA173" s="72" t="str">
        <f aca="false">IF(OR(A173="",I173=""),"",IF(Q173="Short",IF(I173&gt;=Benchmarks!$E$7,"Elite",IF(I173&gt;=Benchmarks!$D$7,"Strong",IF(I173&gt;=Benchmarks!$C$7,"Average","Needs work"))),IF(I173&gt;=Benchmarks!$E$6,"Elite",IF(I173&gt;=Benchmarks!$D$6,"Strong",IF(I173&gt;=Benchmarks!$C$6,"Average","Needs work")))))</f>
        <v/>
      </c>
      <c r="AB173" s="72" t="str">
        <f aca="false">IF(V173="","",IF(V173&gt;=Benchmarks!$E$8,"Elite",IF(V173&gt;=Benchmarks!$D$8,"Strong",IF(V173&gt;=Benchmarks!$C$8,"Average","Needs work"))))</f>
        <v/>
      </c>
      <c r="AC173" s="73" t="str">
        <f aca="false">IF(COUNT(AG173:AI173)=0,"",AVERAGE(AG173:AI173))</f>
        <v/>
      </c>
      <c r="AD173" s="37" t="str">
        <f aca="false">IF(A173="","",IF(Q173="Short",IF(AH173="","Add % viewed to diagnose",IF(AND(AH173&gt;=3,N(AI173)&gt;=3),"Winner Short — expand it into a long-form video",IF(AH173&lt;=1,"Hook problem — viewers swipe away in the first seconds",IF(AI173=1,"Watched but no reaction — end on a question or opinion","Solid Short — keep iterating")))),IF(OR(AG173="",AH173=""),"Add CTR &amp; % viewed to diagnose",IF(AND(AG173&gt;=3,AH173&gt;=3),"WINNER — make a sequel, series or Shorts from it",IF(AND(AG173&gt;=3,AH173&lt;=2),"Click but leave — intro too slow or title over-promises",IF(AND(AG173&lt;=2,AH173&gt;=3),"Great video, weak packaging — A/B test title + thumbnail",IF(AND(AG173=1,AH173=1),"Topic miss — don't repeat this angle","Average — sharpen the hook and the title")))))))</f>
        <v/>
      </c>
      <c r="AE173" s="76" t="str">
        <f aca="false">IF(OR(A173="",N(E173)=0),"",Q173&amp;"-"&amp;(COUNTIFS($Q$5:$Q$204,Q173,$E$5:$E$204,"&gt;"&amp;E173)+COUNTIFS($Q$5:Q173,Q173,$E$5:E173,E173)))</f>
        <v/>
      </c>
      <c r="AF173" s="77" t="str">
        <f aca="false">IF(AND(Q173="Long",N(F173)&gt;=Benchmarks!$C$15,G173&lt;&gt;""),G173,"")</f>
        <v/>
      </c>
      <c r="AG173" s="78" t="str">
        <f aca="false">IF(Z173="Elite",4,IF(Z173="Strong",3,IF(Z173="Average",2,IF(Z173="Needs work",1,""))))</f>
        <v/>
      </c>
      <c r="AH173" s="78" t="str">
        <f aca="false">IF(AA173="Elite",4,IF(AA173="Strong",3,IF(AA173="Average",2,IF(AA173="Needs work",1,""))))</f>
        <v/>
      </c>
      <c r="AI173" s="78" t="str">
        <f aca="false">IF(AB173="Elite",4,IF(AB173="Strong",3,IF(AB173="Average",2,IF(AB173="Needs work",1,""))))</f>
        <v/>
      </c>
    </row>
    <row r="174" customFormat="false" ht="15" hidden="false" customHeight="false" outlineLevel="0" collapsed="false">
      <c r="A174" s="64"/>
      <c r="B174" s="65"/>
      <c r="C174" s="66"/>
      <c r="D174" s="67"/>
      <c r="E174" s="67"/>
      <c r="F174" s="67"/>
      <c r="G174" s="68"/>
      <c r="H174" s="69"/>
      <c r="I174" s="68"/>
      <c r="J174" s="70"/>
      <c r="K174" s="67"/>
      <c r="L174" s="67"/>
      <c r="M174" s="67"/>
      <c r="N174" s="67"/>
      <c r="O174" s="67"/>
      <c r="P174" s="71"/>
      <c r="Q174" s="72" t="str">
        <f aca="false">IF(A174="","",IF(C174&lt;&gt;"",C174,IF(AND(D174&lt;&gt;"",D174&lt;=180),"Short","Long")))</f>
        <v/>
      </c>
      <c r="R174" s="73" t="str">
        <f aca="false">IF(OR(A174="",D174=""),"",D174/60)</f>
        <v/>
      </c>
      <c r="S174" s="72" t="str">
        <f aca="false">IF(OR(A174="",B174=""),"",IF(AND(B174&gt;=DATE(2026,4,1),B174&lt;=DATE(2026,6,30)),"Yes","No"))</f>
        <v/>
      </c>
      <c r="T174" s="72" t="str">
        <f aca="false">IF(OR(A174="",B174=""),"",CHOOSE(WEEKDAY(B174),"Sun","Mon","Tue","Wed","Thu","Fri","Sat"))</f>
        <v/>
      </c>
      <c r="U174" s="72" t="str">
        <f aca="false">IF(OR(Q174&lt;&gt;"Long",D174=""),"",IF(D174&lt;480,"Under 8 min",IF(D174&lt;900,"8–15 min",IF(D174&lt;1500,"15–25 min","25+ min"))))</f>
        <v/>
      </c>
      <c r="V174" s="74" t="str">
        <f aca="false">IF(OR(A174="",N(E174)=0),"",(N(K174)+N(L174))/E174*100)</f>
        <v/>
      </c>
      <c r="W174" s="73" t="str">
        <f aca="false">IF(OR(A174="",N(E174)=0),"",N(L174)/E174*1000)</f>
        <v/>
      </c>
      <c r="X174" s="75" t="str">
        <f aca="false">IF(A174="","",N(N174)-N(O174))</f>
        <v/>
      </c>
      <c r="Y174" s="73" t="str">
        <f aca="false">IF(OR(A174="",N(E174)=0),"",X174/E174*1000)</f>
        <v/>
      </c>
      <c r="Z174" s="72" t="str">
        <f aca="false">IF(OR(A174="",G174=""),"",IF(Q174="Short","n/a (Short)",IF(G174&gt;=Benchmarks!$E$5,"Elite",IF(G174&gt;=Benchmarks!$D$5,"Strong",IF(G174&gt;=Benchmarks!$C$5,"Average","Needs work")))))</f>
        <v/>
      </c>
      <c r="AA174" s="72" t="str">
        <f aca="false">IF(OR(A174="",I174=""),"",IF(Q174="Short",IF(I174&gt;=Benchmarks!$E$7,"Elite",IF(I174&gt;=Benchmarks!$D$7,"Strong",IF(I174&gt;=Benchmarks!$C$7,"Average","Needs work"))),IF(I174&gt;=Benchmarks!$E$6,"Elite",IF(I174&gt;=Benchmarks!$D$6,"Strong",IF(I174&gt;=Benchmarks!$C$6,"Average","Needs work")))))</f>
        <v/>
      </c>
      <c r="AB174" s="72" t="str">
        <f aca="false">IF(V174="","",IF(V174&gt;=Benchmarks!$E$8,"Elite",IF(V174&gt;=Benchmarks!$D$8,"Strong",IF(V174&gt;=Benchmarks!$C$8,"Average","Needs work"))))</f>
        <v/>
      </c>
      <c r="AC174" s="73" t="str">
        <f aca="false">IF(COUNT(AG174:AI174)=0,"",AVERAGE(AG174:AI174))</f>
        <v/>
      </c>
      <c r="AD174" s="37" t="str">
        <f aca="false">IF(A174="","",IF(Q174="Short",IF(AH174="","Add % viewed to diagnose",IF(AND(AH174&gt;=3,N(AI174)&gt;=3),"Winner Short — expand it into a long-form video",IF(AH174&lt;=1,"Hook problem — viewers swipe away in the first seconds",IF(AI174=1,"Watched but no reaction — end on a question or opinion","Solid Short — keep iterating")))),IF(OR(AG174="",AH174=""),"Add CTR &amp; % viewed to diagnose",IF(AND(AG174&gt;=3,AH174&gt;=3),"WINNER — make a sequel, series or Shorts from it",IF(AND(AG174&gt;=3,AH174&lt;=2),"Click but leave — intro too slow or title over-promises",IF(AND(AG174&lt;=2,AH174&gt;=3),"Great video, weak packaging — A/B test title + thumbnail",IF(AND(AG174=1,AH174=1),"Topic miss — don't repeat this angle","Average — sharpen the hook and the title")))))))</f>
        <v/>
      </c>
      <c r="AE174" s="76" t="str">
        <f aca="false">IF(OR(A174="",N(E174)=0),"",Q174&amp;"-"&amp;(COUNTIFS($Q$5:$Q$204,Q174,$E$5:$E$204,"&gt;"&amp;E174)+COUNTIFS($Q$5:Q174,Q174,$E$5:E174,E174)))</f>
        <v/>
      </c>
      <c r="AF174" s="77" t="str">
        <f aca="false">IF(AND(Q174="Long",N(F174)&gt;=Benchmarks!$C$15,G174&lt;&gt;""),G174,"")</f>
        <v/>
      </c>
      <c r="AG174" s="78" t="str">
        <f aca="false">IF(Z174="Elite",4,IF(Z174="Strong",3,IF(Z174="Average",2,IF(Z174="Needs work",1,""))))</f>
        <v/>
      </c>
      <c r="AH174" s="78" t="str">
        <f aca="false">IF(AA174="Elite",4,IF(AA174="Strong",3,IF(AA174="Average",2,IF(AA174="Needs work",1,""))))</f>
        <v/>
      </c>
      <c r="AI174" s="78" t="str">
        <f aca="false">IF(AB174="Elite",4,IF(AB174="Strong",3,IF(AB174="Average",2,IF(AB174="Needs work",1,""))))</f>
        <v/>
      </c>
    </row>
    <row r="175" customFormat="false" ht="15" hidden="false" customHeight="false" outlineLevel="0" collapsed="false">
      <c r="A175" s="64"/>
      <c r="B175" s="65"/>
      <c r="C175" s="66"/>
      <c r="D175" s="67"/>
      <c r="E175" s="67"/>
      <c r="F175" s="67"/>
      <c r="G175" s="68"/>
      <c r="H175" s="69"/>
      <c r="I175" s="68"/>
      <c r="J175" s="70"/>
      <c r="K175" s="67"/>
      <c r="L175" s="67"/>
      <c r="M175" s="67"/>
      <c r="N175" s="67"/>
      <c r="O175" s="67"/>
      <c r="P175" s="71"/>
      <c r="Q175" s="72" t="str">
        <f aca="false">IF(A175="","",IF(C175&lt;&gt;"",C175,IF(AND(D175&lt;&gt;"",D175&lt;=180),"Short","Long")))</f>
        <v/>
      </c>
      <c r="R175" s="73" t="str">
        <f aca="false">IF(OR(A175="",D175=""),"",D175/60)</f>
        <v/>
      </c>
      <c r="S175" s="72" t="str">
        <f aca="false">IF(OR(A175="",B175=""),"",IF(AND(B175&gt;=DATE(2026,4,1),B175&lt;=DATE(2026,6,30)),"Yes","No"))</f>
        <v/>
      </c>
      <c r="T175" s="72" t="str">
        <f aca="false">IF(OR(A175="",B175=""),"",CHOOSE(WEEKDAY(B175),"Sun","Mon","Tue","Wed","Thu","Fri","Sat"))</f>
        <v/>
      </c>
      <c r="U175" s="72" t="str">
        <f aca="false">IF(OR(Q175&lt;&gt;"Long",D175=""),"",IF(D175&lt;480,"Under 8 min",IF(D175&lt;900,"8–15 min",IF(D175&lt;1500,"15–25 min","25+ min"))))</f>
        <v/>
      </c>
      <c r="V175" s="74" t="str">
        <f aca="false">IF(OR(A175="",N(E175)=0),"",(N(K175)+N(L175))/E175*100)</f>
        <v/>
      </c>
      <c r="W175" s="73" t="str">
        <f aca="false">IF(OR(A175="",N(E175)=0),"",N(L175)/E175*1000)</f>
        <v/>
      </c>
      <c r="X175" s="75" t="str">
        <f aca="false">IF(A175="","",N(N175)-N(O175))</f>
        <v/>
      </c>
      <c r="Y175" s="73" t="str">
        <f aca="false">IF(OR(A175="",N(E175)=0),"",X175/E175*1000)</f>
        <v/>
      </c>
      <c r="Z175" s="72" t="str">
        <f aca="false">IF(OR(A175="",G175=""),"",IF(Q175="Short","n/a (Short)",IF(G175&gt;=Benchmarks!$E$5,"Elite",IF(G175&gt;=Benchmarks!$D$5,"Strong",IF(G175&gt;=Benchmarks!$C$5,"Average","Needs work")))))</f>
        <v/>
      </c>
      <c r="AA175" s="72" t="str">
        <f aca="false">IF(OR(A175="",I175=""),"",IF(Q175="Short",IF(I175&gt;=Benchmarks!$E$7,"Elite",IF(I175&gt;=Benchmarks!$D$7,"Strong",IF(I175&gt;=Benchmarks!$C$7,"Average","Needs work"))),IF(I175&gt;=Benchmarks!$E$6,"Elite",IF(I175&gt;=Benchmarks!$D$6,"Strong",IF(I175&gt;=Benchmarks!$C$6,"Average","Needs work")))))</f>
        <v/>
      </c>
      <c r="AB175" s="72" t="str">
        <f aca="false">IF(V175="","",IF(V175&gt;=Benchmarks!$E$8,"Elite",IF(V175&gt;=Benchmarks!$D$8,"Strong",IF(V175&gt;=Benchmarks!$C$8,"Average","Needs work"))))</f>
        <v/>
      </c>
      <c r="AC175" s="73" t="str">
        <f aca="false">IF(COUNT(AG175:AI175)=0,"",AVERAGE(AG175:AI175))</f>
        <v/>
      </c>
      <c r="AD175" s="37" t="str">
        <f aca="false">IF(A175="","",IF(Q175="Short",IF(AH175="","Add % viewed to diagnose",IF(AND(AH175&gt;=3,N(AI175)&gt;=3),"Winner Short — expand it into a long-form video",IF(AH175&lt;=1,"Hook problem — viewers swipe away in the first seconds",IF(AI175=1,"Watched but no reaction — end on a question or opinion","Solid Short — keep iterating")))),IF(OR(AG175="",AH175=""),"Add CTR &amp; % viewed to diagnose",IF(AND(AG175&gt;=3,AH175&gt;=3),"WINNER — make a sequel, series or Shorts from it",IF(AND(AG175&gt;=3,AH175&lt;=2),"Click but leave — intro too slow or title over-promises",IF(AND(AG175&lt;=2,AH175&gt;=3),"Great video, weak packaging — A/B test title + thumbnail",IF(AND(AG175=1,AH175=1),"Topic miss — don't repeat this angle","Average — sharpen the hook and the title")))))))</f>
        <v/>
      </c>
      <c r="AE175" s="76" t="str">
        <f aca="false">IF(OR(A175="",N(E175)=0),"",Q175&amp;"-"&amp;(COUNTIFS($Q$5:$Q$204,Q175,$E$5:$E$204,"&gt;"&amp;E175)+COUNTIFS($Q$5:Q175,Q175,$E$5:E175,E175)))</f>
        <v/>
      </c>
      <c r="AF175" s="77" t="str">
        <f aca="false">IF(AND(Q175="Long",N(F175)&gt;=Benchmarks!$C$15,G175&lt;&gt;""),G175,"")</f>
        <v/>
      </c>
      <c r="AG175" s="78" t="str">
        <f aca="false">IF(Z175="Elite",4,IF(Z175="Strong",3,IF(Z175="Average",2,IF(Z175="Needs work",1,""))))</f>
        <v/>
      </c>
      <c r="AH175" s="78" t="str">
        <f aca="false">IF(AA175="Elite",4,IF(AA175="Strong",3,IF(AA175="Average",2,IF(AA175="Needs work",1,""))))</f>
        <v/>
      </c>
      <c r="AI175" s="78" t="str">
        <f aca="false">IF(AB175="Elite",4,IF(AB175="Strong",3,IF(AB175="Average",2,IF(AB175="Needs work",1,""))))</f>
        <v/>
      </c>
    </row>
    <row r="176" customFormat="false" ht="15" hidden="false" customHeight="false" outlineLevel="0" collapsed="false">
      <c r="A176" s="64"/>
      <c r="B176" s="65"/>
      <c r="C176" s="66"/>
      <c r="D176" s="67"/>
      <c r="E176" s="67"/>
      <c r="F176" s="67"/>
      <c r="G176" s="68"/>
      <c r="H176" s="69"/>
      <c r="I176" s="68"/>
      <c r="J176" s="70"/>
      <c r="K176" s="67"/>
      <c r="L176" s="67"/>
      <c r="M176" s="67"/>
      <c r="N176" s="67"/>
      <c r="O176" s="67"/>
      <c r="P176" s="71"/>
      <c r="Q176" s="72" t="str">
        <f aca="false">IF(A176="","",IF(C176&lt;&gt;"",C176,IF(AND(D176&lt;&gt;"",D176&lt;=180),"Short","Long")))</f>
        <v/>
      </c>
      <c r="R176" s="73" t="str">
        <f aca="false">IF(OR(A176="",D176=""),"",D176/60)</f>
        <v/>
      </c>
      <c r="S176" s="72" t="str">
        <f aca="false">IF(OR(A176="",B176=""),"",IF(AND(B176&gt;=DATE(2026,4,1),B176&lt;=DATE(2026,6,30)),"Yes","No"))</f>
        <v/>
      </c>
      <c r="T176" s="72" t="str">
        <f aca="false">IF(OR(A176="",B176=""),"",CHOOSE(WEEKDAY(B176),"Sun","Mon","Tue","Wed","Thu","Fri","Sat"))</f>
        <v/>
      </c>
      <c r="U176" s="72" t="str">
        <f aca="false">IF(OR(Q176&lt;&gt;"Long",D176=""),"",IF(D176&lt;480,"Under 8 min",IF(D176&lt;900,"8–15 min",IF(D176&lt;1500,"15–25 min","25+ min"))))</f>
        <v/>
      </c>
      <c r="V176" s="74" t="str">
        <f aca="false">IF(OR(A176="",N(E176)=0),"",(N(K176)+N(L176))/E176*100)</f>
        <v/>
      </c>
      <c r="W176" s="73" t="str">
        <f aca="false">IF(OR(A176="",N(E176)=0),"",N(L176)/E176*1000)</f>
        <v/>
      </c>
      <c r="X176" s="75" t="str">
        <f aca="false">IF(A176="","",N(N176)-N(O176))</f>
        <v/>
      </c>
      <c r="Y176" s="73" t="str">
        <f aca="false">IF(OR(A176="",N(E176)=0),"",X176/E176*1000)</f>
        <v/>
      </c>
      <c r="Z176" s="72" t="str">
        <f aca="false">IF(OR(A176="",G176=""),"",IF(Q176="Short","n/a (Short)",IF(G176&gt;=Benchmarks!$E$5,"Elite",IF(G176&gt;=Benchmarks!$D$5,"Strong",IF(G176&gt;=Benchmarks!$C$5,"Average","Needs work")))))</f>
        <v/>
      </c>
      <c r="AA176" s="72" t="str">
        <f aca="false">IF(OR(A176="",I176=""),"",IF(Q176="Short",IF(I176&gt;=Benchmarks!$E$7,"Elite",IF(I176&gt;=Benchmarks!$D$7,"Strong",IF(I176&gt;=Benchmarks!$C$7,"Average","Needs work"))),IF(I176&gt;=Benchmarks!$E$6,"Elite",IF(I176&gt;=Benchmarks!$D$6,"Strong",IF(I176&gt;=Benchmarks!$C$6,"Average","Needs work")))))</f>
        <v/>
      </c>
      <c r="AB176" s="72" t="str">
        <f aca="false">IF(V176="","",IF(V176&gt;=Benchmarks!$E$8,"Elite",IF(V176&gt;=Benchmarks!$D$8,"Strong",IF(V176&gt;=Benchmarks!$C$8,"Average","Needs work"))))</f>
        <v/>
      </c>
      <c r="AC176" s="73" t="str">
        <f aca="false">IF(COUNT(AG176:AI176)=0,"",AVERAGE(AG176:AI176))</f>
        <v/>
      </c>
      <c r="AD176" s="37" t="str">
        <f aca="false">IF(A176="","",IF(Q176="Short",IF(AH176="","Add % viewed to diagnose",IF(AND(AH176&gt;=3,N(AI176)&gt;=3),"Winner Short — expand it into a long-form video",IF(AH176&lt;=1,"Hook problem — viewers swipe away in the first seconds",IF(AI176=1,"Watched but no reaction — end on a question or opinion","Solid Short — keep iterating")))),IF(OR(AG176="",AH176=""),"Add CTR &amp; % viewed to diagnose",IF(AND(AG176&gt;=3,AH176&gt;=3),"WINNER — make a sequel, series or Shorts from it",IF(AND(AG176&gt;=3,AH176&lt;=2),"Click but leave — intro too slow or title over-promises",IF(AND(AG176&lt;=2,AH176&gt;=3),"Great video, weak packaging — A/B test title + thumbnail",IF(AND(AG176=1,AH176=1),"Topic miss — don't repeat this angle","Average — sharpen the hook and the title")))))))</f>
        <v/>
      </c>
      <c r="AE176" s="76" t="str">
        <f aca="false">IF(OR(A176="",N(E176)=0),"",Q176&amp;"-"&amp;(COUNTIFS($Q$5:$Q$204,Q176,$E$5:$E$204,"&gt;"&amp;E176)+COUNTIFS($Q$5:Q176,Q176,$E$5:E176,E176)))</f>
        <v/>
      </c>
      <c r="AF176" s="77" t="str">
        <f aca="false">IF(AND(Q176="Long",N(F176)&gt;=Benchmarks!$C$15,G176&lt;&gt;""),G176,"")</f>
        <v/>
      </c>
      <c r="AG176" s="78" t="str">
        <f aca="false">IF(Z176="Elite",4,IF(Z176="Strong",3,IF(Z176="Average",2,IF(Z176="Needs work",1,""))))</f>
        <v/>
      </c>
      <c r="AH176" s="78" t="str">
        <f aca="false">IF(AA176="Elite",4,IF(AA176="Strong",3,IF(AA176="Average",2,IF(AA176="Needs work",1,""))))</f>
        <v/>
      </c>
      <c r="AI176" s="78" t="str">
        <f aca="false">IF(AB176="Elite",4,IF(AB176="Strong",3,IF(AB176="Average",2,IF(AB176="Needs work",1,""))))</f>
        <v/>
      </c>
    </row>
    <row r="177" customFormat="false" ht="15" hidden="false" customHeight="false" outlineLevel="0" collapsed="false">
      <c r="A177" s="64"/>
      <c r="B177" s="65"/>
      <c r="C177" s="66"/>
      <c r="D177" s="67"/>
      <c r="E177" s="67"/>
      <c r="F177" s="67"/>
      <c r="G177" s="68"/>
      <c r="H177" s="69"/>
      <c r="I177" s="68"/>
      <c r="J177" s="70"/>
      <c r="K177" s="67"/>
      <c r="L177" s="67"/>
      <c r="M177" s="67"/>
      <c r="N177" s="67"/>
      <c r="O177" s="67"/>
      <c r="P177" s="71"/>
      <c r="Q177" s="72" t="str">
        <f aca="false">IF(A177="","",IF(C177&lt;&gt;"",C177,IF(AND(D177&lt;&gt;"",D177&lt;=180),"Short","Long")))</f>
        <v/>
      </c>
      <c r="R177" s="73" t="str">
        <f aca="false">IF(OR(A177="",D177=""),"",D177/60)</f>
        <v/>
      </c>
      <c r="S177" s="72" t="str">
        <f aca="false">IF(OR(A177="",B177=""),"",IF(AND(B177&gt;=DATE(2026,4,1),B177&lt;=DATE(2026,6,30)),"Yes","No"))</f>
        <v/>
      </c>
      <c r="T177" s="72" t="str">
        <f aca="false">IF(OR(A177="",B177=""),"",CHOOSE(WEEKDAY(B177),"Sun","Mon","Tue","Wed","Thu","Fri","Sat"))</f>
        <v/>
      </c>
      <c r="U177" s="72" t="str">
        <f aca="false">IF(OR(Q177&lt;&gt;"Long",D177=""),"",IF(D177&lt;480,"Under 8 min",IF(D177&lt;900,"8–15 min",IF(D177&lt;1500,"15–25 min","25+ min"))))</f>
        <v/>
      </c>
      <c r="V177" s="74" t="str">
        <f aca="false">IF(OR(A177="",N(E177)=0),"",(N(K177)+N(L177))/E177*100)</f>
        <v/>
      </c>
      <c r="W177" s="73" t="str">
        <f aca="false">IF(OR(A177="",N(E177)=0),"",N(L177)/E177*1000)</f>
        <v/>
      </c>
      <c r="X177" s="75" t="str">
        <f aca="false">IF(A177="","",N(N177)-N(O177))</f>
        <v/>
      </c>
      <c r="Y177" s="73" t="str">
        <f aca="false">IF(OR(A177="",N(E177)=0),"",X177/E177*1000)</f>
        <v/>
      </c>
      <c r="Z177" s="72" t="str">
        <f aca="false">IF(OR(A177="",G177=""),"",IF(Q177="Short","n/a (Short)",IF(G177&gt;=Benchmarks!$E$5,"Elite",IF(G177&gt;=Benchmarks!$D$5,"Strong",IF(G177&gt;=Benchmarks!$C$5,"Average","Needs work")))))</f>
        <v/>
      </c>
      <c r="AA177" s="72" t="str">
        <f aca="false">IF(OR(A177="",I177=""),"",IF(Q177="Short",IF(I177&gt;=Benchmarks!$E$7,"Elite",IF(I177&gt;=Benchmarks!$D$7,"Strong",IF(I177&gt;=Benchmarks!$C$7,"Average","Needs work"))),IF(I177&gt;=Benchmarks!$E$6,"Elite",IF(I177&gt;=Benchmarks!$D$6,"Strong",IF(I177&gt;=Benchmarks!$C$6,"Average","Needs work")))))</f>
        <v/>
      </c>
      <c r="AB177" s="72" t="str">
        <f aca="false">IF(V177="","",IF(V177&gt;=Benchmarks!$E$8,"Elite",IF(V177&gt;=Benchmarks!$D$8,"Strong",IF(V177&gt;=Benchmarks!$C$8,"Average","Needs work"))))</f>
        <v/>
      </c>
      <c r="AC177" s="73" t="str">
        <f aca="false">IF(COUNT(AG177:AI177)=0,"",AVERAGE(AG177:AI177))</f>
        <v/>
      </c>
      <c r="AD177" s="37" t="str">
        <f aca="false">IF(A177="","",IF(Q177="Short",IF(AH177="","Add % viewed to diagnose",IF(AND(AH177&gt;=3,N(AI177)&gt;=3),"Winner Short — expand it into a long-form video",IF(AH177&lt;=1,"Hook problem — viewers swipe away in the first seconds",IF(AI177=1,"Watched but no reaction — end on a question or opinion","Solid Short — keep iterating")))),IF(OR(AG177="",AH177=""),"Add CTR &amp; % viewed to diagnose",IF(AND(AG177&gt;=3,AH177&gt;=3),"WINNER — make a sequel, series or Shorts from it",IF(AND(AG177&gt;=3,AH177&lt;=2),"Click but leave — intro too slow or title over-promises",IF(AND(AG177&lt;=2,AH177&gt;=3),"Great video, weak packaging — A/B test title + thumbnail",IF(AND(AG177=1,AH177=1),"Topic miss — don't repeat this angle","Average — sharpen the hook and the title")))))))</f>
        <v/>
      </c>
      <c r="AE177" s="76" t="str">
        <f aca="false">IF(OR(A177="",N(E177)=0),"",Q177&amp;"-"&amp;(COUNTIFS($Q$5:$Q$204,Q177,$E$5:$E$204,"&gt;"&amp;E177)+COUNTIFS($Q$5:Q177,Q177,$E$5:E177,E177)))</f>
        <v/>
      </c>
      <c r="AF177" s="77" t="str">
        <f aca="false">IF(AND(Q177="Long",N(F177)&gt;=Benchmarks!$C$15,G177&lt;&gt;""),G177,"")</f>
        <v/>
      </c>
      <c r="AG177" s="78" t="str">
        <f aca="false">IF(Z177="Elite",4,IF(Z177="Strong",3,IF(Z177="Average",2,IF(Z177="Needs work",1,""))))</f>
        <v/>
      </c>
      <c r="AH177" s="78" t="str">
        <f aca="false">IF(AA177="Elite",4,IF(AA177="Strong",3,IF(AA177="Average",2,IF(AA177="Needs work",1,""))))</f>
        <v/>
      </c>
      <c r="AI177" s="78" t="str">
        <f aca="false">IF(AB177="Elite",4,IF(AB177="Strong",3,IF(AB177="Average",2,IF(AB177="Needs work",1,""))))</f>
        <v/>
      </c>
    </row>
    <row r="178" customFormat="false" ht="15" hidden="false" customHeight="false" outlineLevel="0" collapsed="false">
      <c r="A178" s="64"/>
      <c r="B178" s="65"/>
      <c r="C178" s="66"/>
      <c r="D178" s="67"/>
      <c r="E178" s="67"/>
      <c r="F178" s="67"/>
      <c r="G178" s="68"/>
      <c r="H178" s="69"/>
      <c r="I178" s="68"/>
      <c r="J178" s="70"/>
      <c r="K178" s="67"/>
      <c r="L178" s="67"/>
      <c r="M178" s="67"/>
      <c r="N178" s="67"/>
      <c r="O178" s="67"/>
      <c r="P178" s="71"/>
      <c r="Q178" s="72" t="str">
        <f aca="false">IF(A178="","",IF(C178&lt;&gt;"",C178,IF(AND(D178&lt;&gt;"",D178&lt;=180),"Short","Long")))</f>
        <v/>
      </c>
      <c r="R178" s="73" t="str">
        <f aca="false">IF(OR(A178="",D178=""),"",D178/60)</f>
        <v/>
      </c>
      <c r="S178" s="72" t="str">
        <f aca="false">IF(OR(A178="",B178=""),"",IF(AND(B178&gt;=DATE(2026,4,1),B178&lt;=DATE(2026,6,30)),"Yes","No"))</f>
        <v/>
      </c>
      <c r="T178" s="72" t="str">
        <f aca="false">IF(OR(A178="",B178=""),"",CHOOSE(WEEKDAY(B178),"Sun","Mon","Tue","Wed","Thu","Fri","Sat"))</f>
        <v/>
      </c>
      <c r="U178" s="72" t="str">
        <f aca="false">IF(OR(Q178&lt;&gt;"Long",D178=""),"",IF(D178&lt;480,"Under 8 min",IF(D178&lt;900,"8–15 min",IF(D178&lt;1500,"15–25 min","25+ min"))))</f>
        <v/>
      </c>
      <c r="V178" s="74" t="str">
        <f aca="false">IF(OR(A178="",N(E178)=0),"",(N(K178)+N(L178))/E178*100)</f>
        <v/>
      </c>
      <c r="W178" s="73" t="str">
        <f aca="false">IF(OR(A178="",N(E178)=0),"",N(L178)/E178*1000)</f>
        <v/>
      </c>
      <c r="X178" s="75" t="str">
        <f aca="false">IF(A178="","",N(N178)-N(O178))</f>
        <v/>
      </c>
      <c r="Y178" s="73" t="str">
        <f aca="false">IF(OR(A178="",N(E178)=0),"",X178/E178*1000)</f>
        <v/>
      </c>
      <c r="Z178" s="72" t="str">
        <f aca="false">IF(OR(A178="",G178=""),"",IF(Q178="Short","n/a (Short)",IF(G178&gt;=Benchmarks!$E$5,"Elite",IF(G178&gt;=Benchmarks!$D$5,"Strong",IF(G178&gt;=Benchmarks!$C$5,"Average","Needs work")))))</f>
        <v/>
      </c>
      <c r="AA178" s="72" t="str">
        <f aca="false">IF(OR(A178="",I178=""),"",IF(Q178="Short",IF(I178&gt;=Benchmarks!$E$7,"Elite",IF(I178&gt;=Benchmarks!$D$7,"Strong",IF(I178&gt;=Benchmarks!$C$7,"Average","Needs work"))),IF(I178&gt;=Benchmarks!$E$6,"Elite",IF(I178&gt;=Benchmarks!$D$6,"Strong",IF(I178&gt;=Benchmarks!$C$6,"Average","Needs work")))))</f>
        <v/>
      </c>
      <c r="AB178" s="72" t="str">
        <f aca="false">IF(V178="","",IF(V178&gt;=Benchmarks!$E$8,"Elite",IF(V178&gt;=Benchmarks!$D$8,"Strong",IF(V178&gt;=Benchmarks!$C$8,"Average","Needs work"))))</f>
        <v/>
      </c>
      <c r="AC178" s="73" t="str">
        <f aca="false">IF(COUNT(AG178:AI178)=0,"",AVERAGE(AG178:AI178))</f>
        <v/>
      </c>
      <c r="AD178" s="37" t="str">
        <f aca="false">IF(A178="","",IF(Q178="Short",IF(AH178="","Add % viewed to diagnose",IF(AND(AH178&gt;=3,N(AI178)&gt;=3),"Winner Short — expand it into a long-form video",IF(AH178&lt;=1,"Hook problem — viewers swipe away in the first seconds",IF(AI178=1,"Watched but no reaction — end on a question or opinion","Solid Short — keep iterating")))),IF(OR(AG178="",AH178=""),"Add CTR &amp; % viewed to diagnose",IF(AND(AG178&gt;=3,AH178&gt;=3),"WINNER — make a sequel, series or Shorts from it",IF(AND(AG178&gt;=3,AH178&lt;=2),"Click but leave — intro too slow or title over-promises",IF(AND(AG178&lt;=2,AH178&gt;=3),"Great video, weak packaging — A/B test title + thumbnail",IF(AND(AG178=1,AH178=1),"Topic miss — don't repeat this angle","Average — sharpen the hook and the title")))))))</f>
        <v/>
      </c>
      <c r="AE178" s="76" t="str">
        <f aca="false">IF(OR(A178="",N(E178)=0),"",Q178&amp;"-"&amp;(COUNTIFS($Q$5:$Q$204,Q178,$E$5:$E$204,"&gt;"&amp;E178)+COUNTIFS($Q$5:Q178,Q178,$E$5:E178,E178)))</f>
        <v/>
      </c>
      <c r="AF178" s="77" t="str">
        <f aca="false">IF(AND(Q178="Long",N(F178)&gt;=Benchmarks!$C$15,G178&lt;&gt;""),G178,"")</f>
        <v/>
      </c>
      <c r="AG178" s="78" t="str">
        <f aca="false">IF(Z178="Elite",4,IF(Z178="Strong",3,IF(Z178="Average",2,IF(Z178="Needs work",1,""))))</f>
        <v/>
      </c>
      <c r="AH178" s="78" t="str">
        <f aca="false">IF(AA178="Elite",4,IF(AA178="Strong",3,IF(AA178="Average",2,IF(AA178="Needs work",1,""))))</f>
        <v/>
      </c>
      <c r="AI178" s="78" t="str">
        <f aca="false">IF(AB178="Elite",4,IF(AB178="Strong",3,IF(AB178="Average",2,IF(AB178="Needs work",1,""))))</f>
        <v/>
      </c>
    </row>
    <row r="179" customFormat="false" ht="15" hidden="false" customHeight="false" outlineLevel="0" collapsed="false">
      <c r="A179" s="64"/>
      <c r="B179" s="65"/>
      <c r="C179" s="66"/>
      <c r="D179" s="67"/>
      <c r="E179" s="67"/>
      <c r="F179" s="67"/>
      <c r="G179" s="68"/>
      <c r="H179" s="69"/>
      <c r="I179" s="68"/>
      <c r="J179" s="70"/>
      <c r="K179" s="67"/>
      <c r="L179" s="67"/>
      <c r="M179" s="67"/>
      <c r="N179" s="67"/>
      <c r="O179" s="67"/>
      <c r="P179" s="71"/>
      <c r="Q179" s="72" t="str">
        <f aca="false">IF(A179="","",IF(C179&lt;&gt;"",C179,IF(AND(D179&lt;&gt;"",D179&lt;=180),"Short","Long")))</f>
        <v/>
      </c>
      <c r="R179" s="73" t="str">
        <f aca="false">IF(OR(A179="",D179=""),"",D179/60)</f>
        <v/>
      </c>
      <c r="S179" s="72" t="str">
        <f aca="false">IF(OR(A179="",B179=""),"",IF(AND(B179&gt;=DATE(2026,4,1),B179&lt;=DATE(2026,6,30)),"Yes","No"))</f>
        <v/>
      </c>
      <c r="T179" s="72" t="str">
        <f aca="false">IF(OR(A179="",B179=""),"",CHOOSE(WEEKDAY(B179),"Sun","Mon","Tue","Wed","Thu","Fri","Sat"))</f>
        <v/>
      </c>
      <c r="U179" s="72" t="str">
        <f aca="false">IF(OR(Q179&lt;&gt;"Long",D179=""),"",IF(D179&lt;480,"Under 8 min",IF(D179&lt;900,"8–15 min",IF(D179&lt;1500,"15–25 min","25+ min"))))</f>
        <v/>
      </c>
      <c r="V179" s="74" t="str">
        <f aca="false">IF(OR(A179="",N(E179)=0),"",(N(K179)+N(L179))/E179*100)</f>
        <v/>
      </c>
      <c r="W179" s="73" t="str">
        <f aca="false">IF(OR(A179="",N(E179)=0),"",N(L179)/E179*1000)</f>
        <v/>
      </c>
      <c r="X179" s="75" t="str">
        <f aca="false">IF(A179="","",N(N179)-N(O179))</f>
        <v/>
      </c>
      <c r="Y179" s="73" t="str">
        <f aca="false">IF(OR(A179="",N(E179)=0),"",X179/E179*1000)</f>
        <v/>
      </c>
      <c r="Z179" s="72" t="str">
        <f aca="false">IF(OR(A179="",G179=""),"",IF(Q179="Short","n/a (Short)",IF(G179&gt;=Benchmarks!$E$5,"Elite",IF(G179&gt;=Benchmarks!$D$5,"Strong",IF(G179&gt;=Benchmarks!$C$5,"Average","Needs work")))))</f>
        <v/>
      </c>
      <c r="AA179" s="72" t="str">
        <f aca="false">IF(OR(A179="",I179=""),"",IF(Q179="Short",IF(I179&gt;=Benchmarks!$E$7,"Elite",IF(I179&gt;=Benchmarks!$D$7,"Strong",IF(I179&gt;=Benchmarks!$C$7,"Average","Needs work"))),IF(I179&gt;=Benchmarks!$E$6,"Elite",IF(I179&gt;=Benchmarks!$D$6,"Strong",IF(I179&gt;=Benchmarks!$C$6,"Average","Needs work")))))</f>
        <v/>
      </c>
      <c r="AB179" s="72" t="str">
        <f aca="false">IF(V179="","",IF(V179&gt;=Benchmarks!$E$8,"Elite",IF(V179&gt;=Benchmarks!$D$8,"Strong",IF(V179&gt;=Benchmarks!$C$8,"Average","Needs work"))))</f>
        <v/>
      </c>
      <c r="AC179" s="73" t="str">
        <f aca="false">IF(COUNT(AG179:AI179)=0,"",AVERAGE(AG179:AI179))</f>
        <v/>
      </c>
      <c r="AD179" s="37" t="str">
        <f aca="false">IF(A179="","",IF(Q179="Short",IF(AH179="","Add % viewed to diagnose",IF(AND(AH179&gt;=3,N(AI179)&gt;=3),"Winner Short — expand it into a long-form video",IF(AH179&lt;=1,"Hook problem — viewers swipe away in the first seconds",IF(AI179=1,"Watched but no reaction — end on a question or opinion","Solid Short — keep iterating")))),IF(OR(AG179="",AH179=""),"Add CTR &amp; % viewed to diagnose",IF(AND(AG179&gt;=3,AH179&gt;=3),"WINNER — make a sequel, series or Shorts from it",IF(AND(AG179&gt;=3,AH179&lt;=2),"Click but leave — intro too slow or title over-promises",IF(AND(AG179&lt;=2,AH179&gt;=3),"Great video, weak packaging — A/B test title + thumbnail",IF(AND(AG179=1,AH179=1),"Topic miss — don't repeat this angle","Average — sharpen the hook and the title")))))))</f>
        <v/>
      </c>
      <c r="AE179" s="76" t="str">
        <f aca="false">IF(OR(A179="",N(E179)=0),"",Q179&amp;"-"&amp;(COUNTIFS($Q$5:$Q$204,Q179,$E$5:$E$204,"&gt;"&amp;E179)+COUNTIFS($Q$5:Q179,Q179,$E$5:E179,E179)))</f>
        <v/>
      </c>
      <c r="AF179" s="77" t="str">
        <f aca="false">IF(AND(Q179="Long",N(F179)&gt;=Benchmarks!$C$15,G179&lt;&gt;""),G179,"")</f>
        <v/>
      </c>
      <c r="AG179" s="78" t="str">
        <f aca="false">IF(Z179="Elite",4,IF(Z179="Strong",3,IF(Z179="Average",2,IF(Z179="Needs work",1,""))))</f>
        <v/>
      </c>
      <c r="AH179" s="78" t="str">
        <f aca="false">IF(AA179="Elite",4,IF(AA179="Strong",3,IF(AA179="Average",2,IF(AA179="Needs work",1,""))))</f>
        <v/>
      </c>
      <c r="AI179" s="78" t="str">
        <f aca="false">IF(AB179="Elite",4,IF(AB179="Strong",3,IF(AB179="Average",2,IF(AB179="Needs work",1,""))))</f>
        <v/>
      </c>
    </row>
    <row r="180" customFormat="false" ht="15" hidden="false" customHeight="false" outlineLevel="0" collapsed="false">
      <c r="A180" s="64"/>
      <c r="B180" s="65"/>
      <c r="C180" s="66"/>
      <c r="D180" s="67"/>
      <c r="E180" s="67"/>
      <c r="F180" s="67"/>
      <c r="G180" s="68"/>
      <c r="H180" s="69"/>
      <c r="I180" s="68"/>
      <c r="J180" s="70"/>
      <c r="K180" s="67"/>
      <c r="L180" s="67"/>
      <c r="M180" s="67"/>
      <c r="N180" s="67"/>
      <c r="O180" s="67"/>
      <c r="P180" s="71"/>
      <c r="Q180" s="72" t="str">
        <f aca="false">IF(A180="","",IF(C180&lt;&gt;"",C180,IF(AND(D180&lt;&gt;"",D180&lt;=180),"Short","Long")))</f>
        <v/>
      </c>
      <c r="R180" s="73" t="str">
        <f aca="false">IF(OR(A180="",D180=""),"",D180/60)</f>
        <v/>
      </c>
      <c r="S180" s="72" t="str">
        <f aca="false">IF(OR(A180="",B180=""),"",IF(AND(B180&gt;=DATE(2026,4,1),B180&lt;=DATE(2026,6,30)),"Yes","No"))</f>
        <v/>
      </c>
      <c r="T180" s="72" t="str">
        <f aca="false">IF(OR(A180="",B180=""),"",CHOOSE(WEEKDAY(B180),"Sun","Mon","Tue","Wed","Thu","Fri","Sat"))</f>
        <v/>
      </c>
      <c r="U180" s="72" t="str">
        <f aca="false">IF(OR(Q180&lt;&gt;"Long",D180=""),"",IF(D180&lt;480,"Under 8 min",IF(D180&lt;900,"8–15 min",IF(D180&lt;1500,"15–25 min","25+ min"))))</f>
        <v/>
      </c>
      <c r="V180" s="74" t="str">
        <f aca="false">IF(OR(A180="",N(E180)=0),"",(N(K180)+N(L180))/E180*100)</f>
        <v/>
      </c>
      <c r="W180" s="73" t="str">
        <f aca="false">IF(OR(A180="",N(E180)=0),"",N(L180)/E180*1000)</f>
        <v/>
      </c>
      <c r="X180" s="75" t="str">
        <f aca="false">IF(A180="","",N(N180)-N(O180))</f>
        <v/>
      </c>
      <c r="Y180" s="73" t="str">
        <f aca="false">IF(OR(A180="",N(E180)=0),"",X180/E180*1000)</f>
        <v/>
      </c>
      <c r="Z180" s="72" t="str">
        <f aca="false">IF(OR(A180="",G180=""),"",IF(Q180="Short","n/a (Short)",IF(G180&gt;=Benchmarks!$E$5,"Elite",IF(G180&gt;=Benchmarks!$D$5,"Strong",IF(G180&gt;=Benchmarks!$C$5,"Average","Needs work")))))</f>
        <v/>
      </c>
      <c r="AA180" s="72" t="str">
        <f aca="false">IF(OR(A180="",I180=""),"",IF(Q180="Short",IF(I180&gt;=Benchmarks!$E$7,"Elite",IF(I180&gt;=Benchmarks!$D$7,"Strong",IF(I180&gt;=Benchmarks!$C$7,"Average","Needs work"))),IF(I180&gt;=Benchmarks!$E$6,"Elite",IF(I180&gt;=Benchmarks!$D$6,"Strong",IF(I180&gt;=Benchmarks!$C$6,"Average","Needs work")))))</f>
        <v/>
      </c>
      <c r="AB180" s="72" t="str">
        <f aca="false">IF(V180="","",IF(V180&gt;=Benchmarks!$E$8,"Elite",IF(V180&gt;=Benchmarks!$D$8,"Strong",IF(V180&gt;=Benchmarks!$C$8,"Average","Needs work"))))</f>
        <v/>
      </c>
      <c r="AC180" s="73" t="str">
        <f aca="false">IF(COUNT(AG180:AI180)=0,"",AVERAGE(AG180:AI180))</f>
        <v/>
      </c>
      <c r="AD180" s="37" t="str">
        <f aca="false">IF(A180="","",IF(Q180="Short",IF(AH180="","Add % viewed to diagnose",IF(AND(AH180&gt;=3,N(AI180)&gt;=3),"Winner Short — expand it into a long-form video",IF(AH180&lt;=1,"Hook problem — viewers swipe away in the first seconds",IF(AI180=1,"Watched but no reaction — end on a question or opinion","Solid Short — keep iterating")))),IF(OR(AG180="",AH180=""),"Add CTR &amp; % viewed to diagnose",IF(AND(AG180&gt;=3,AH180&gt;=3),"WINNER — make a sequel, series or Shorts from it",IF(AND(AG180&gt;=3,AH180&lt;=2),"Click but leave — intro too slow or title over-promises",IF(AND(AG180&lt;=2,AH180&gt;=3),"Great video, weak packaging — A/B test title + thumbnail",IF(AND(AG180=1,AH180=1),"Topic miss — don't repeat this angle","Average — sharpen the hook and the title")))))))</f>
        <v/>
      </c>
      <c r="AE180" s="76" t="str">
        <f aca="false">IF(OR(A180="",N(E180)=0),"",Q180&amp;"-"&amp;(COUNTIFS($Q$5:$Q$204,Q180,$E$5:$E$204,"&gt;"&amp;E180)+COUNTIFS($Q$5:Q180,Q180,$E$5:E180,E180)))</f>
        <v/>
      </c>
      <c r="AF180" s="77" t="str">
        <f aca="false">IF(AND(Q180="Long",N(F180)&gt;=Benchmarks!$C$15,G180&lt;&gt;""),G180,"")</f>
        <v/>
      </c>
      <c r="AG180" s="78" t="str">
        <f aca="false">IF(Z180="Elite",4,IF(Z180="Strong",3,IF(Z180="Average",2,IF(Z180="Needs work",1,""))))</f>
        <v/>
      </c>
      <c r="AH180" s="78" t="str">
        <f aca="false">IF(AA180="Elite",4,IF(AA180="Strong",3,IF(AA180="Average",2,IF(AA180="Needs work",1,""))))</f>
        <v/>
      </c>
      <c r="AI180" s="78" t="str">
        <f aca="false">IF(AB180="Elite",4,IF(AB180="Strong",3,IF(AB180="Average",2,IF(AB180="Needs work",1,""))))</f>
        <v/>
      </c>
    </row>
    <row r="181" customFormat="false" ht="15" hidden="false" customHeight="false" outlineLevel="0" collapsed="false">
      <c r="A181" s="64"/>
      <c r="B181" s="65"/>
      <c r="C181" s="66"/>
      <c r="D181" s="67"/>
      <c r="E181" s="67"/>
      <c r="F181" s="67"/>
      <c r="G181" s="68"/>
      <c r="H181" s="69"/>
      <c r="I181" s="68"/>
      <c r="J181" s="70"/>
      <c r="K181" s="67"/>
      <c r="L181" s="67"/>
      <c r="M181" s="67"/>
      <c r="N181" s="67"/>
      <c r="O181" s="67"/>
      <c r="P181" s="71"/>
      <c r="Q181" s="72" t="str">
        <f aca="false">IF(A181="","",IF(C181&lt;&gt;"",C181,IF(AND(D181&lt;&gt;"",D181&lt;=180),"Short","Long")))</f>
        <v/>
      </c>
      <c r="R181" s="73" t="str">
        <f aca="false">IF(OR(A181="",D181=""),"",D181/60)</f>
        <v/>
      </c>
      <c r="S181" s="72" t="str">
        <f aca="false">IF(OR(A181="",B181=""),"",IF(AND(B181&gt;=DATE(2026,4,1),B181&lt;=DATE(2026,6,30)),"Yes","No"))</f>
        <v/>
      </c>
      <c r="T181" s="72" t="str">
        <f aca="false">IF(OR(A181="",B181=""),"",CHOOSE(WEEKDAY(B181),"Sun","Mon","Tue","Wed","Thu","Fri","Sat"))</f>
        <v/>
      </c>
      <c r="U181" s="72" t="str">
        <f aca="false">IF(OR(Q181&lt;&gt;"Long",D181=""),"",IF(D181&lt;480,"Under 8 min",IF(D181&lt;900,"8–15 min",IF(D181&lt;1500,"15–25 min","25+ min"))))</f>
        <v/>
      </c>
      <c r="V181" s="74" t="str">
        <f aca="false">IF(OR(A181="",N(E181)=0),"",(N(K181)+N(L181))/E181*100)</f>
        <v/>
      </c>
      <c r="W181" s="73" t="str">
        <f aca="false">IF(OR(A181="",N(E181)=0),"",N(L181)/E181*1000)</f>
        <v/>
      </c>
      <c r="X181" s="75" t="str">
        <f aca="false">IF(A181="","",N(N181)-N(O181))</f>
        <v/>
      </c>
      <c r="Y181" s="73" t="str">
        <f aca="false">IF(OR(A181="",N(E181)=0),"",X181/E181*1000)</f>
        <v/>
      </c>
      <c r="Z181" s="72" t="str">
        <f aca="false">IF(OR(A181="",G181=""),"",IF(Q181="Short","n/a (Short)",IF(G181&gt;=Benchmarks!$E$5,"Elite",IF(G181&gt;=Benchmarks!$D$5,"Strong",IF(G181&gt;=Benchmarks!$C$5,"Average","Needs work")))))</f>
        <v/>
      </c>
      <c r="AA181" s="72" t="str">
        <f aca="false">IF(OR(A181="",I181=""),"",IF(Q181="Short",IF(I181&gt;=Benchmarks!$E$7,"Elite",IF(I181&gt;=Benchmarks!$D$7,"Strong",IF(I181&gt;=Benchmarks!$C$7,"Average","Needs work"))),IF(I181&gt;=Benchmarks!$E$6,"Elite",IF(I181&gt;=Benchmarks!$D$6,"Strong",IF(I181&gt;=Benchmarks!$C$6,"Average","Needs work")))))</f>
        <v/>
      </c>
      <c r="AB181" s="72" t="str">
        <f aca="false">IF(V181="","",IF(V181&gt;=Benchmarks!$E$8,"Elite",IF(V181&gt;=Benchmarks!$D$8,"Strong",IF(V181&gt;=Benchmarks!$C$8,"Average","Needs work"))))</f>
        <v/>
      </c>
      <c r="AC181" s="73" t="str">
        <f aca="false">IF(COUNT(AG181:AI181)=0,"",AVERAGE(AG181:AI181))</f>
        <v/>
      </c>
      <c r="AD181" s="37" t="str">
        <f aca="false">IF(A181="","",IF(Q181="Short",IF(AH181="","Add % viewed to diagnose",IF(AND(AH181&gt;=3,N(AI181)&gt;=3),"Winner Short — expand it into a long-form video",IF(AH181&lt;=1,"Hook problem — viewers swipe away in the first seconds",IF(AI181=1,"Watched but no reaction — end on a question or opinion","Solid Short — keep iterating")))),IF(OR(AG181="",AH181=""),"Add CTR &amp; % viewed to diagnose",IF(AND(AG181&gt;=3,AH181&gt;=3),"WINNER — make a sequel, series or Shorts from it",IF(AND(AG181&gt;=3,AH181&lt;=2),"Click but leave — intro too slow or title over-promises",IF(AND(AG181&lt;=2,AH181&gt;=3),"Great video, weak packaging — A/B test title + thumbnail",IF(AND(AG181=1,AH181=1),"Topic miss — don't repeat this angle","Average — sharpen the hook and the title")))))))</f>
        <v/>
      </c>
      <c r="AE181" s="76" t="str">
        <f aca="false">IF(OR(A181="",N(E181)=0),"",Q181&amp;"-"&amp;(COUNTIFS($Q$5:$Q$204,Q181,$E$5:$E$204,"&gt;"&amp;E181)+COUNTIFS($Q$5:Q181,Q181,$E$5:E181,E181)))</f>
        <v/>
      </c>
      <c r="AF181" s="77" t="str">
        <f aca="false">IF(AND(Q181="Long",N(F181)&gt;=Benchmarks!$C$15,G181&lt;&gt;""),G181,"")</f>
        <v/>
      </c>
      <c r="AG181" s="78" t="str">
        <f aca="false">IF(Z181="Elite",4,IF(Z181="Strong",3,IF(Z181="Average",2,IF(Z181="Needs work",1,""))))</f>
        <v/>
      </c>
      <c r="AH181" s="78" t="str">
        <f aca="false">IF(AA181="Elite",4,IF(AA181="Strong",3,IF(AA181="Average",2,IF(AA181="Needs work",1,""))))</f>
        <v/>
      </c>
      <c r="AI181" s="78" t="str">
        <f aca="false">IF(AB181="Elite",4,IF(AB181="Strong",3,IF(AB181="Average",2,IF(AB181="Needs work",1,""))))</f>
        <v/>
      </c>
    </row>
    <row r="182" customFormat="false" ht="15" hidden="false" customHeight="false" outlineLevel="0" collapsed="false">
      <c r="A182" s="64"/>
      <c r="B182" s="65"/>
      <c r="C182" s="66"/>
      <c r="D182" s="67"/>
      <c r="E182" s="67"/>
      <c r="F182" s="67"/>
      <c r="G182" s="68"/>
      <c r="H182" s="69"/>
      <c r="I182" s="68"/>
      <c r="J182" s="70"/>
      <c r="K182" s="67"/>
      <c r="L182" s="67"/>
      <c r="M182" s="67"/>
      <c r="N182" s="67"/>
      <c r="O182" s="67"/>
      <c r="P182" s="71"/>
      <c r="Q182" s="72" t="str">
        <f aca="false">IF(A182="","",IF(C182&lt;&gt;"",C182,IF(AND(D182&lt;&gt;"",D182&lt;=180),"Short","Long")))</f>
        <v/>
      </c>
      <c r="R182" s="73" t="str">
        <f aca="false">IF(OR(A182="",D182=""),"",D182/60)</f>
        <v/>
      </c>
      <c r="S182" s="72" t="str">
        <f aca="false">IF(OR(A182="",B182=""),"",IF(AND(B182&gt;=DATE(2026,4,1),B182&lt;=DATE(2026,6,30)),"Yes","No"))</f>
        <v/>
      </c>
      <c r="T182" s="72" t="str">
        <f aca="false">IF(OR(A182="",B182=""),"",CHOOSE(WEEKDAY(B182),"Sun","Mon","Tue","Wed","Thu","Fri","Sat"))</f>
        <v/>
      </c>
      <c r="U182" s="72" t="str">
        <f aca="false">IF(OR(Q182&lt;&gt;"Long",D182=""),"",IF(D182&lt;480,"Under 8 min",IF(D182&lt;900,"8–15 min",IF(D182&lt;1500,"15–25 min","25+ min"))))</f>
        <v/>
      </c>
      <c r="V182" s="74" t="str">
        <f aca="false">IF(OR(A182="",N(E182)=0),"",(N(K182)+N(L182))/E182*100)</f>
        <v/>
      </c>
      <c r="W182" s="73" t="str">
        <f aca="false">IF(OR(A182="",N(E182)=0),"",N(L182)/E182*1000)</f>
        <v/>
      </c>
      <c r="X182" s="75" t="str">
        <f aca="false">IF(A182="","",N(N182)-N(O182))</f>
        <v/>
      </c>
      <c r="Y182" s="73" t="str">
        <f aca="false">IF(OR(A182="",N(E182)=0),"",X182/E182*1000)</f>
        <v/>
      </c>
      <c r="Z182" s="72" t="str">
        <f aca="false">IF(OR(A182="",G182=""),"",IF(Q182="Short","n/a (Short)",IF(G182&gt;=Benchmarks!$E$5,"Elite",IF(G182&gt;=Benchmarks!$D$5,"Strong",IF(G182&gt;=Benchmarks!$C$5,"Average","Needs work")))))</f>
        <v/>
      </c>
      <c r="AA182" s="72" t="str">
        <f aca="false">IF(OR(A182="",I182=""),"",IF(Q182="Short",IF(I182&gt;=Benchmarks!$E$7,"Elite",IF(I182&gt;=Benchmarks!$D$7,"Strong",IF(I182&gt;=Benchmarks!$C$7,"Average","Needs work"))),IF(I182&gt;=Benchmarks!$E$6,"Elite",IF(I182&gt;=Benchmarks!$D$6,"Strong",IF(I182&gt;=Benchmarks!$C$6,"Average","Needs work")))))</f>
        <v/>
      </c>
      <c r="AB182" s="72" t="str">
        <f aca="false">IF(V182="","",IF(V182&gt;=Benchmarks!$E$8,"Elite",IF(V182&gt;=Benchmarks!$D$8,"Strong",IF(V182&gt;=Benchmarks!$C$8,"Average","Needs work"))))</f>
        <v/>
      </c>
      <c r="AC182" s="73" t="str">
        <f aca="false">IF(COUNT(AG182:AI182)=0,"",AVERAGE(AG182:AI182))</f>
        <v/>
      </c>
      <c r="AD182" s="37" t="str">
        <f aca="false">IF(A182="","",IF(Q182="Short",IF(AH182="","Add % viewed to diagnose",IF(AND(AH182&gt;=3,N(AI182)&gt;=3),"Winner Short — expand it into a long-form video",IF(AH182&lt;=1,"Hook problem — viewers swipe away in the first seconds",IF(AI182=1,"Watched but no reaction — end on a question or opinion","Solid Short — keep iterating")))),IF(OR(AG182="",AH182=""),"Add CTR &amp; % viewed to diagnose",IF(AND(AG182&gt;=3,AH182&gt;=3),"WINNER — make a sequel, series or Shorts from it",IF(AND(AG182&gt;=3,AH182&lt;=2),"Click but leave — intro too slow or title over-promises",IF(AND(AG182&lt;=2,AH182&gt;=3),"Great video, weak packaging — A/B test title + thumbnail",IF(AND(AG182=1,AH182=1),"Topic miss — don't repeat this angle","Average — sharpen the hook and the title")))))))</f>
        <v/>
      </c>
      <c r="AE182" s="76" t="str">
        <f aca="false">IF(OR(A182="",N(E182)=0),"",Q182&amp;"-"&amp;(COUNTIFS($Q$5:$Q$204,Q182,$E$5:$E$204,"&gt;"&amp;E182)+COUNTIFS($Q$5:Q182,Q182,$E$5:E182,E182)))</f>
        <v/>
      </c>
      <c r="AF182" s="77" t="str">
        <f aca="false">IF(AND(Q182="Long",N(F182)&gt;=Benchmarks!$C$15,G182&lt;&gt;""),G182,"")</f>
        <v/>
      </c>
      <c r="AG182" s="78" t="str">
        <f aca="false">IF(Z182="Elite",4,IF(Z182="Strong",3,IF(Z182="Average",2,IF(Z182="Needs work",1,""))))</f>
        <v/>
      </c>
      <c r="AH182" s="78" t="str">
        <f aca="false">IF(AA182="Elite",4,IF(AA182="Strong",3,IF(AA182="Average",2,IF(AA182="Needs work",1,""))))</f>
        <v/>
      </c>
      <c r="AI182" s="78" t="str">
        <f aca="false">IF(AB182="Elite",4,IF(AB182="Strong",3,IF(AB182="Average",2,IF(AB182="Needs work",1,""))))</f>
        <v/>
      </c>
    </row>
    <row r="183" customFormat="false" ht="15" hidden="false" customHeight="false" outlineLevel="0" collapsed="false">
      <c r="A183" s="64"/>
      <c r="B183" s="65"/>
      <c r="C183" s="66"/>
      <c r="D183" s="67"/>
      <c r="E183" s="67"/>
      <c r="F183" s="67"/>
      <c r="G183" s="68"/>
      <c r="H183" s="69"/>
      <c r="I183" s="68"/>
      <c r="J183" s="70"/>
      <c r="K183" s="67"/>
      <c r="L183" s="67"/>
      <c r="M183" s="67"/>
      <c r="N183" s="67"/>
      <c r="O183" s="67"/>
      <c r="P183" s="71"/>
      <c r="Q183" s="72" t="str">
        <f aca="false">IF(A183="","",IF(C183&lt;&gt;"",C183,IF(AND(D183&lt;&gt;"",D183&lt;=180),"Short","Long")))</f>
        <v/>
      </c>
      <c r="R183" s="73" t="str">
        <f aca="false">IF(OR(A183="",D183=""),"",D183/60)</f>
        <v/>
      </c>
      <c r="S183" s="72" t="str">
        <f aca="false">IF(OR(A183="",B183=""),"",IF(AND(B183&gt;=DATE(2026,4,1),B183&lt;=DATE(2026,6,30)),"Yes","No"))</f>
        <v/>
      </c>
      <c r="T183" s="72" t="str">
        <f aca="false">IF(OR(A183="",B183=""),"",CHOOSE(WEEKDAY(B183),"Sun","Mon","Tue","Wed","Thu","Fri","Sat"))</f>
        <v/>
      </c>
      <c r="U183" s="72" t="str">
        <f aca="false">IF(OR(Q183&lt;&gt;"Long",D183=""),"",IF(D183&lt;480,"Under 8 min",IF(D183&lt;900,"8–15 min",IF(D183&lt;1500,"15–25 min","25+ min"))))</f>
        <v/>
      </c>
      <c r="V183" s="74" t="str">
        <f aca="false">IF(OR(A183="",N(E183)=0),"",(N(K183)+N(L183))/E183*100)</f>
        <v/>
      </c>
      <c r="W183" s="73" t="str">
        <f aca="false">IF(OR(A183="",N(E183)=0),"",N(L183)/E183*1000)</f>
        <v/>
      </c>
      <c r="X183" s="75" t="str">
        <f aca="false">IF(A183="","",N(N183)-N(O183))</f>
        <v/>
      </c>
      <c r="Y183" s="73" t="str">
        <f aca="false">IF(OR(A183="",N(E183)=0),"",X183/E183*1000)</f>
        <v/>
      </c>
      <c r="Z183" s="72" t="str">
        <f aca="false">IF(OR(A183="",G183=""),"",IF(Q183="Short","n/a (Short)",IF(G183&gt;=Benchmarks!$E$5,"Elite",IF(G183&gt;=Benchmarks!$D$5,"Strong",IF(G183&gt;=Benchmarks!$C$5,"Average","Needs work")))))</f>
        <v/>
      </c>
      <c r="AA183" s="72" t="str">
        <f aca="false">IF(OR(A183="",I183=""),"",IF(Q183="Short",IF(I183&gt;=Benchmarks!$E$7,"Elite",IF(I183&gt;=Benchmarks!$D$7,"Strong",IF(I183&gt;=Benchmarks!$C$7,"Average","Needs work"))),IF(I183&gt;=Benchmarks!$E$6,"Elite",IF(I183&gt;=Benchmarks!$D$6,"Strong",IF(I183&gt;=Benchmarks!$C$6,"Average","Needs work")))))</f>
        <v/>
      </c>
      <c r="AB183" s="72" t="str">
        <f aca="false">IF(V183="","",IF(V183&gt;=Benchmarks!$E$8,"Elite",IF(V183&gt;=Benchmarks!$D$8,"Strong",IF(V183&gt;=Benchmarks!$C$8,"Average","Needs work"))))</f>
        <v/>
      </c>
      <c r="AC183" s="73" t="str">
        <f aca="false">IF(COUNT(AG183:AI183)=0,"",AVERAGE(AG183:AI183))</f>
        <v/>
      </c>
      <c r="AD183" s="37" t="str">
        <f aca="false">IF(A183="","",IF(Q183="Short",IF(AH183="","Add % viewed to diagnose",IF(AND(AH183&gt;=3,N(AI183)&gt;=3),"Winner Short — expand it into a long-form video",IF(AH183&lt;=1,"Hook problem — viewers swipe away in the first seconds",IF(AI183=1,"Watched but no reaction — end on a question or opinion","Solid Short — keep iterating")))),IF(OR(AG183="",AH183=""),"Add CTR &amp; % viewed to diagnose",IF(AND(AG183&gt;=3,AH183&gt;=3),"WINNER — make a sequel, series or Shorts from it",IF(AND(AG183&gt;=3,AH183&lt;=2),"Click but leave — intro too slow or title over-promises",IF(AND(AG183&lt;=2,AH183&gt;=3),"Great video, weak packaging — A/B test title + thumbnail",IF(AND(AG183=1,AH183=1),"Topic miss — don't repeat this angle","Average — sharpen the hook and the title")))))))</f>
        <v/>
      </c>
      <c r="AE183" s="76" t="str">
        <f aca="false">IF(OR(A183="",N(E183)=0),"",Q183&amp;"-"&amp;(COUNTIFS($Q$5:$Q$204,Q183,$E$5:$E$204,"&gt;"&amp;E183)+COUNTIFS($Q$5:Q183,Q183,$E$5:E183,E183)))</f>
        <v/>
      </c>
      <c r="AF183" s="77" t="str">
        <f aca="false">IF(AND(Q183="Long",N(F183)&gt;=Benchmarks!$C$15,G183&lt;&gt;""),G183,"")</f>
        <v/>
      </c>
      <c r="AG183" s="78" t="str">
        <f aca="false">IF(Z183="Elite",4,IF(Z183="Strong",3,IF(Z183="Average",2,IF(Z183="Needs work",1,""))))</f>
        <v/>
      </c>
      <c r="AH183" s="78" t="str">
        <f aca="false">IF(AA183="Elite",4,IF(AA183="Strong",3,IF(AA183="Average",2,IF(AA183="Needs work",1,""))))</f>
        <v/>
      </c>
      <c r="AI183" s="78" t="str">
        <f aca="false">IF(AB183="Elite",4,IF(AB183="Strong",3,IF(AB183="Average",2,IF(AB183="Needs work",1,""))))</f>
        <v/>
      </c>
    </row>
    <row r="184" customFormat="false" ht="15" hidden="false" customHeight="false" outlineLevel="0" collapsed="false">
      <c r="A184" s="64"/>
      <c r="B184" s="65"/>
      <c r="C184" s="66"/>
      <c r="D184" s="67"/>
      <c r="E184" s="67"/>
      <c r="F184" s="67"/>
      <c r="G184" s="68"/>
      <c r="H184" s="69"/>
      <c r="I184" s="68"/>
      <c r="J184" s="70"/>
      <c r="K184" s="67"/>
      <c r="L184" s="67"/>
      <c r="M184" s="67"/>
      <c r="N184" s="67"/>
      <c r="O184" s="67"/>
      <c r="P184" s="71"/>
      <c r="Q184" s="72" t="str">
        <f aca="false">IF(A184="","",IF(C184&lt;&gt;"",C184,IF(AND(D184&lt;&gt;"",D184&lt;=180),"Short","Long")))</f>
        <v/>
      </c>
      <c r="R184" s="73" t="str">
        <f aca="false">IF(OR(A184="",D184=""),"",D184/60)</f>
        <v/>
      </c>
      <c r="S184" s="72" t="str">
        <f aca="false">IF(OR(A184="",B184=""),"",IF(AND(B184&gt;=DATE(2026,4,1),B184&lt;=DATE(2026,6,30)),"Yes","No"))</f>
        <v/>
      </c>
      <c r="T184" s="72" t="str">
        <f aca="false">IF(OR(A184="",B184=""),"",CHOOSE(WEEKDAY(B184),"Sun","Mon","Tue","Wed","Thu","Fri","Sat"))</f>
        <v/>
      </c>
      <c r="U184" s="72" t="str">
        <f aca="false">IF(OR(Q184&lt;&gt;"Long",D184=""),"",IF(D184&lt;480,"Under 8 min",IF(D184&lt;900,"8–15 min",IF(D184&lt;1500,"15–25 min","25+ min"))))</f>
        <v/>
      </c>
      <c r="V184" s="74" t="str">
        <f aca="false">IF(OR(A184="",N(E184)=0),"",(N(K184)+N(L184))/E184*100)</f>
        <v/>
      </c>
      <c r="W184" s="73" t="str">
        <f aca="false">IF(OR(A184="",N(E184)=0),"",N(L184)/E184*1000)</f>
        <v/>
      </c>
      <c r="X184" s="75" t="str">
        <f aca="false">IF(A184="","",N(N184)-N(O184))</f>
        <v/>
      </c>
      <c r="Y184" s="73" t="str">
        <f aca="false">IF(OR(A184="",N(E184)=0),"",X184/E184*1000)</f>
        <v/>
      </c>
      <c r="Z184" s="72" t="str">
        <f aca="false">IF(OR(A184="",G184=""),"",IF(Q184="Short","n/a (Short)",IF(G184&gt;=Benchmarks!$E$5,"Elite",IF(G184&gt;=Benchmarks!$D$5,"Strong",IF(G184&gt;=Benchmarks!$C$5,"Average","Needs work")))))</f>
        <v/>
      </c>
      <c r="AA184" s="72" t="str">
        <f aca="false">IF(OR(A184="",I184=""),"",IF(Q184="Short",IF(I184&gt;=Benchmarks!$E$7,"Elite",IF(I184&gt;=Benchmarks!$D$7,"Strong",IF(I184&gt;=Benchmarks!$C$7,"Average","Needs work"))),IF(I184&gt;=Benchmarks!$E$6,"Elite",IF(I184&gt;=Benchmarks!$D$6,"Strong",IF(I184&gt;=Benchmarks!$C$6,"Average","Needs work")))))</f>
        <v/>
      </c>
      <c r="AB184" s="72" t="str">
        <f aca="false">IF(V184="","",IF(V184&gt;=Benchmarks!$E$8,"Elite",IF(V184&gt;=Benchmarks!$D$8,"Strong",IF(V184&gt;=Benchmarks!$C$8,"Average","Needs work"))))</f>
        <v/>
      </c>
      <c r="AC184" s="73" t="str">
        <f aca="false">IF(COUNT(AG184:AI184)=0,"",AVERAGE(AG184:AI184))</f>
        <v/>
      </c>
      <c r="AD184" s="37" t="str">
        <f aca="false">IF(A184="","",IF(Q184="Short",IF(AH184="","Add % viewed to diagnose",IF(AND(AH184&gt;=3,N(AI184)&gt;=3),"Winner Short — expand it into a long-form video",IF(AH184&lt;=1,"Hook problem — viewers swipe away in the first seconds",IF(AI184=1,"Watched but no reaction — end on a question or opinion","Solid Short — keep iterating")))),IF(OR(AG184="",AH184=""),"Add CTR &amp; % viewed to diagnose",IF(AND(AG184&gt;=3,AH184&gt;=3),"WINNER — make a sequel, series or Shorts from it",IF(AND(AG184&gt;=3,AH184&lt;=2),"Click but leave — intro too slow or title over-promises",IF(AND(AG184&lt;=2,AH184&gt;=3),"Great video, weak packaging — A/B test title + thumbnail",IF(AND(AG184=1,AH184=1),"Topic miss — don't repeat this angle","Average — sharpen the hook and the title")))))))</f>
        <v/>
      </c>
      <c r="AE184" s="76" t="str">
        <f aca="false">IF(OR(A184="",N(E184)=0),"",Q184&amp;"-"&amp;(COUNTIFS($Q$5:$Q$204,Q184,$E$5:$E$204,"&gt;"&amp;E184)+COUNTIFS($Q$5:Q184,Q184,$E$5:E184,E184)))</f>
        <v/>
      </c>
      <c r="AF184" s="77" t="str">
        <f aca="false">IF(AND(Q184="Long",N(F184)&gt;=Benchmarks!$C$15,G184&lt;&gt;""),G184,"")</f>
        <v/>
      </c>
      <c r="AG184" s="78" t="str">
        <f aca="false">IF(Z184="Elite",4,IF(Z184="Strong",3,IF(Z184="Average",2,IF(Z184="Needs work",1,""))))</f>
        <v/>
      </c>
      <c r="AH184" s="78" t="str">
        <f aca="false">IF(AA184="Elite",4,IF(AA184="Strong",3,IF(AA184="Average",2,IF(AA184="Needs work",1,""))))</f>
        <v/>
      </c>
      <c r="AI184" s="78" t="str">
        <f aca="false">IF(AB184="Elite",4,IF(AB184="Strong",3,IF(AB184="Average",2,IF(AB184="Needs work",1,""))))</f>
        <v/>
      </c>
    </row>
    <row r="185" customFormat="false" ht="15" hidden="false" customHeight="false" outlineLevel="0" collapsed="false">
      <c r="A185" s="64"/>
      <c r="B185" s="65"/>
      <c r="C185" s="66"/>
      <c r="D185" s="67"/>
      <c r="E185" s="67"/>
      <c r="F185" s="67"/>
      <c r="G185" s="68"/>
      <c r="H185" s="69"/>
      <c r="I185" s="68"/>
      <c r="J185" s="70"/>
      <c r="K185" s="67"/>
      <c r="L185" s="67"/>
      <c r="M185" s="67"/>
      <c r="N185" s="67"/>
      <c r="O185" s="67"/>
      <c r="P185" s="71"/>
      <c r="Q185" s="72" t="str">
        <f aca="false">IF(A185="","",IF(C185&lt;&gt;"",C185,IF(AND(D185&lt;&gt;"",D185&lt;=180),"Short","Long")))</f>
        <v/>
      </c>
      <c r="R185" s="73" t="str">
        <f aca="false">IF(OR(A185="",D185=""),"",D185/60)</f>
        <v/>
      </c>
      <c r="S185" s="72" t="str">
        <f aca="false">IF(OR(A185="",B185=""),"",IF(AND(B185&gt;=DATE(2026,4,1),B185&lt;=DATE(2026,6,30)),"Yes","No"))</f>
        <v/>
      </c>
      <c r="T185" s="72" t="str">
        <f aca="false">IF(OR(A185="",B185=""),"",CHOOSE(WEEKDAY(B185),"Sun","Mon","Tue","Wed","Thu","Fri","Sat"))</f>
        <v/>
      </c>
      <c r="U185" s="72" t="str">
        <f aca="false">IF(OR(Q185&lt;&gt;"Long",D185=""),"",IF(D185&lt;480,"Under 8 min",IF(D185&lt;900,"8–15 min",IF(D185&lt;1500,"15–25 min","25+ min"))))</f>
        <v/>
      </c>
      <c r="V185" s="74" t="str">
        <f aca="false">IF(OR(A185="",N(E185)=0),"",(N(K185)+N(L185))/E185*100)</f>
        <v/>
      </c>
      <c r="W185" s="73" t="str">
        <f aca="false">IF(OR(A185="",N(E185)=0),"",N(L185)/E185*1000)</f>
        <v/>
      </c>
      <c r="X185" s="75" t="str">
        <f aca="false">IF(A185="","",N(N185)-N(O185))</f>
        <v/>
      </c>
      <c r="Y185" s="73" t="str">
        <f aca="false">IF(OR(A185="",N(E185)=0),"",X185/E185*1000)</f>
        <v/>
      </c>
      <c r="Z185" s="72" t="str">
        <f aca="false">IF(OR(A185="",G185=""),"",IF(Q185="Short","n/a (Short)",IF(G185&gt;=Benchmarks!$E$5,"Elite",IF(G185&gt;=Benchmarks!$D$5,"Strong",IF(G185&gt;=Benchmarks!$C$5,"Average","Needs work")))))</f>
        <v/>
      </c>
      <c r="AA185" s="72" t="str">
        <f aca="false">IF(OR(A185="",I185=""),"",IF(Q185="Short",IF(I185&gt;=Benchmarks!$E$7,"Elite",IF(I185&gt;=Benchmarks!$D$7,"Strong",IF(I185&gt;=Benchmarks!$C$7,"Average","Needs work"))),IF(I185&gt;=Benchmarks!$E$6,"Elite",IF(I185&gt;=Benchmarks!$D$6,"Strong",IF(I185&gt;=Benchmarks!$C$6,"Average","Needs work")))))</f>
        <v/>
      </c>
      <c r="AB185" s="72" t="str">
        <f aca="false">IF(V185="","",IF(V185&gt;=Benchmarks!$E$8,"Elite",IF(V185&gt;=Benchmarks!$D$8,"Strong",IF(V185&gt;=Benchmarks!$C$8,"Average","Needs work"))))</f>
        <v/>
      </c>
      <c r="AC185" s="73" t="str">
        <f aca="false">IF(COUNT(AG185:AI185)=0,"",AVERAGE(AG185:AI185))</f>
        <v/>
      </c>
      <c r="AD185" s="37" t="str">
        <f aca="false">IF(A185="","",IF(Q185="Short",IF(AH185="","Add % viewed to diagnose",IF(AND(AH185&gt;=3,N(AI185)&gt;=3),"Winner Short — expand it into a long-form video",IF(AH185&lt;=1,"Hook problem — viewers swipe away in the first seconds",IF(AI185=1,"Watched but no reaction — end on a question or opinion","Solid Short — keep iterating")))),IF(OR(AG185="",AH185=""),"Add CTR &amp; % viewed to diagnose",IF(AND(AG185&gt;=3,AH185&gt;=3),"WINNER — make a sequel, series or Shorts from it",IF(AND(AG185&gt;=3,AH185&lt;=2),"Click but leave — intro too slow or title over-promises",IF(AND(AG185&lt;=2,AH185&gt;=3),"Great video, weak packaging — A/B test title + thumbnail",IF(AND(AG185=1,AH185=1),"Topic miss — don't repeat this angle","Average — sharpen the hook and the title")))))))</f>
        <v/>
      </c>
      <c r="AE185" s="76" t="str">
        <f aca="false">IF(OR(A185="",N(E185)=0),"",Q185&amp;"-"&amp;(COUNTIFS($Q$5:$Q$204,Q185,$E$5:$E$204,"&gt;"&amp;E185)+COUNTIFS($Q$5:Q185,Q185,$E$5:E185,E185)))</f>
        <v/>
      </c>
      <c r="AF185" s="77" t="str">
        <f aca="false">IF(AND(Q185="Long",N(F185)&gt;=Benchmarks!$C$15,G185&lt;&gt;""),G185,"")</f>
        <v/>
      </c>
      <c r="AG185" s="78" t="str">
        <f aca="false">IF(Z185="Elite",4,IF(Z185="Strong",3,IF(Z185="Average",2,IF(Z185="Needs work",1,""))))</f>
        <v/>
      </c>
      <c r="AH185" s="78" t="str">
        <f aca="false">IF(AA185="Elite",4,IF(AA185="Strong",3,IF(AA185="Average",2,IF(AA185="Needs work",1,""))))</f>
        <v/>
      </c>
      <c r="AI185" s="78" t="str">
        <f aca="false">IF(AB185="Elite",4,IF(AB185="Strong",3,IF(AB185="Average",2,IF(AB185="Needs work",1,""))))</f>
        <v/>
      </c>
    </row>
    <row r="186" customFormat="false" ht="15" hidden="false" customHeight="false" outlineLevel="0" collapsed="false">
      <c r="A186" s="64"/>
      <c r="B186" s="65"/>
      <c r="C186" s="66"/>
      <c r="D186" s="67"/>
      <c r="E186" s="67"/>
      <c r="F186" s="67"/>
      <c r="G186" s="68"/>
      <c r="H186" s="69"/>
      <c r="I186" s="68"/>
      <c r="J186" s="70"/>
      <c r="K186" s="67"/>
      <c r="L186" s="67"/>
      <c r="M186" s="67"/>
      <c r="N186" s="67"/>
      <c r="O186" s="67"/>
      <c r="P186" s="71"/>
      <c r="Q186" s="72" t="str">
        <f aca="false">IF(A186="","",IF(C186&lt;&gt;"",C186,IF(AND(D186&lt;&gt;"",D186&lt;=180),"Short","Long")))</f>
        <v/>
      </c>
      <c r="R186" s="73" t="str">
        <f aca="false">IF(OR(A186="",D186=""),"",D186/60)</f>
        <v/>
      </c>
      <c r="S186" s="72" t="str">
        <f aca="false">IF(OR(A186="",B186=""),"",IF(AND(B186&gt;=DATE(2026,4,1),B186&lt;=DATE(2026,6,30)),"Yes","No"))</f>
        <v/>
      </c>
      <c r="T186" s="72" t="str">
        <f aca="false">IF(OR(A186="",B186=""),"",CHOOSE(WEEKDAY(B186),"Sun","Mon","Tue","Wed","Thu","Fri","Sat"))</f>
        <v/>
      </c>
      <c r="U186" s="72" t="str">
        <f aca="false">IF(OR(Q186&lt;&gt;"Long",D186=""),"",IF(D186&lt;480,"Under 8 min",IF(D186&lt;900,"8–15 min",IF(D186&lt;1500,"15–25 min","25+ min"))))</f>
        <v/>
      </c>
      <c r="V186" s="74" t="str">
        <f aca="false">IF(OR(A186="",N(E186)=0),"",(N(K186)+N(L186))/E186*100)</f>
        <v/>
      </c>
      <c r="W186" s="73" t="str">
        <f aca="false">IF(OR(A186="",N(E186)=0),"",N(L186)/E186*1000)</f>
        <v/>
      </c>
      <c r="X186" s="75" t="str">
        <f aca="false">IF(A186="","",N(N186)-N(O186))</f>
        <v/>
      </c>
      <c r="Y186" s="73" t="str">
        <f aca="false">IF(OR(A186="",N(E186)=0),"",X186/E186*1000)</f>
        <v/>
      </c>
      <c r="Z186" s="72" t="str">
        <f aca="false">IF(OR(A186="",G186=""),"",IF(Q186="Short","n/a (Short)",IF(G186&gt;=Benchmarks!$E$5,"Elite",IF(G186&gt;=Benchmarks!$D$5,"Strong",IF(G186&gt;=Benchmarks!$C$5,"Average","Needs work")))))</f>
        <v/>
      </c>
      <c r="AA186" s="72" t="str">
        <f aca="false">IF(OR(A186="",I186=""),"",IF(Q186="Short",IF(I186&gt;=Benchmarks!$E$7,"Elite",IF(I186&gt;=Benchmarks!$D$7,"Strong",IF(I186&gt;=Benchmarks!$C$7,"Average","Needs work"))),IF(I186&gt;=Benchmarks!$E$6,"Elite",IF(I186&gt;=Benchmarks!$D$6,"Strong",IF(I186&gt;=Benchmarks!$C$6,"Average","Needs work")))))</f>
        <v/>
      </c>
      <c r="AB186" s="72" t="str">
        <f aca="false">IF(V186="","",IF(V186&gt;=Benchmarks!$E$8,"Elite",IF(V186&gt;=Benchmarks!$D$8,"Strong",IF(V186&gt;=Benchmarks!$C$8,"Average","Needs work"))))</f>
        <v/>
      </c>
      <c r="AC186" s="73" t="str">
        <f aca="false">IF(COUNT(AG186:AI186)=0,"",AVERAGE(AG186:AI186))</f>
        <v/>
      </c>
      <c r="AD186" s="37" t="str">
        <f aca="false">IF(A186="","",IF(Q186="Short",IF(AH186="","Add % viewed to diagnose",IF(AND(AH186&gt;=3,N(AI186)&gt;=3),"Winner Short — expand it into a long-form video",IF(AH186&lt;=1,"Hook problem — viewers swipe away in the first seconds",IF(AI186=1,"Watched but no reaction — end on a question or opinion","Solid Short — keep iterating")))),IF(OR(AG186="",AH186=""),"Add CTR &amp; % viewed to diagnose",IF(AND(AG186&gt;=3,AH186&gt;=3),"WINNER — make a sequel, series or Shorts from it",IF(AND(AG186&gt;=3,AH186&lt;=2),"Click but leave — intro too slow or title over-promises",IF(AND(AG186&lt;=2,AH186&gt;=3),"Great video, weak packaging — A/B test title + thumbnail",IF(AND(AG186=1,AH186=1),"Topic miss — don't repeat this angle","Average — sharpen the hook and the title")))))))</f>
        <v/>
      </c>
      <c r="AE186" s="76" t="str">
        <f aca="false">IF(OR(A186="",N(E186)=0),"",Q186&amp;"-"&amp;(COUNTIFS($Q$5:$Q$204,Q186,$E$5:$E$204,"&gt;"&amp;E186)+COUNTIFS($Q$5:Q186,Q186,$E$5:E186,E186)))</f>
        <v/>
      </c>
      <c r="AF186" s="77" t="str">
        <f aca="false">IF(AND(Q186="Long",N(F186)&gt;=Benchmarks!$C$15,G186&lt;&gt;""),G186,"")</f>
        <v/>
      </c>
      <c r="AG186" s="78" t="str">
        <f aca="false">IF(Z186="Elite",4,IF(Z186="Strong",3,IF(Z186="Average",2,IF(Z186="Needs work",1,""))))</f>
        <v/>
      </c>
      <c r="AH186" s="78" t="str">
        <f aca="false">IF(AA186="Elite",4,IF(AA186="Strong",3,IF(AA186="Average",2,IF(AA186="Needs work",1,""))))</f>
        <v/>
      </c>
      <c r="AI186" s="78" t="str">
        <f aca="false">IF(AB186="Elite",4,IF(AB186="Strong",3,IF(AB186="Average",2,IF(AB186="Needs work",1,""))))</f>
        <v/>
      </c>
    </row>
    <row r="187" customFormat="false" ht="15" hidden="false" customHeight="false" outlineLevel="0" collapsed="false">
      <c r="A187" s="64"/>
      <c r="B187" s="65"/>
      <c r="C187" s="66"/>
      <c r="D187" s="67"/>
      <c r="E187" s="67"/>
      <c r="F187" s="67"/>
      <c r="G187" s="68"/>
      <c r="H187" s="69"/>
      <c r="I187" s="68"/>
      <c r="J187" s="70"/>
      <c r="K187" s="67"/>
      <c r="L187" s="67"/>
      <c r="M187" s="67"/>
      <c r="N187" s="67"/>
      <c r="O187" s="67"/>
      <c r="P187" s="71"/>
      <c r="Q187" s="72" t="str">
        <f aca="false">IF(A187="","",IF(C187&lt;&gt;"",C187,IF(AND(D187&lt;&gt;"",D187&lt;=180),"Short","Long")))</f>
        <v/>
      </c>
      <c r="R187" s="73" t="str">
        <f aca="false">IF(OR(A187="",D187=""),"",D187/60)</f>
        <v/>
      </c>
      <c r="S187" s="72" t="str">
        <f aca="false">IF(OR(A187="",B187=""),"",IF(AND(B187&gt;=DATE(2026,4,1),B187&lt;=DATE(2026,6,30)),"Yes","No"))</f>
        <v/>
      </c>
      <c r="T187" s="72" t="str">
        <f aca="false">IF(OR(A187="",B187=""),"",CHOOSE(WEEKDAY(B187),"Sun","Mon","Tue","Wed","Thu","Fri","Sat"))</f>
        <v/>
      </c>
      <c r="U187" s="72" t="str">
        <f aca="false">IF(OR(Q187&lt;&gt;"Long",D187=""),"",IF(D187&lt;480,"Under 8 min",IF(D187&lt;900,"8–15 min",IF(D187&lt;1500,"15–25 min","25+ min"))))</f>
        <v/>
      </c>
      <c r="V187" s="74" t="str">
        <f aca="false">IF(OR(A187="",N(E187)=0),"",(N(K187)+N(L187))/E187*100)</f>
        <v/>
      </c>
      <c r="W187" s="73" t="str">
        <f aca="false">IF(OR(A187="",N(E187)=0),"",N(L187)/E187*1000)</f>
        <v/>
      </c>
      <c r="X187" s="75" t="str">
        <f aca="false">IF(A187="","",N(N187)-N(O187))</f>
        <v/>
      </c>
      <c r="Y187" s="73" t="str">
        <f aca="false">IF(OR(A187="",N(E187)=0),"",X187/E187*1000)</f>
        <v/>
      </c>
      <c r="Z187" s="72" t="str">
        <f aca="false">IF(OR(A187="",G187=""),"",IF(Q187="Short","n/a (Short)",IF(G187&gt;=Benchmarks!$E$5,"Elite",IF(G187&gt;=Benchmarks!$D$5,"Strong",IF(G187&gt;=Benchmarks!$C$5,"Average","Needs work")))))</f>
        <v/>
      </c>
      <c r="AA187" s="72" t="str">
        <f aca="false">IF(OR(A187="",I187=""),"",IF(Q187="Short",IF(I187&gt;=Benchmarks!$E$7,"Elite",IF(I187&gt;=Benchmarks!$D$7,"Strong",IF(I187&gt;=Benchmarks!$C$7,"Average","Needs work"))),IF(I187&gt;=Benchmarks!$E$6,"Elite",IF(I187&gt;=Benchmarks!$D$6,"Strong",IF(I187&gt;=Benchmarks!$C$6,"Average","Needs work")))))</f>
        <v/>
      </c>
      <c r="AB187" s="72" t="str">
        <f aca="false">IF(V187="","",IF(V187&gt;=Benchmarks!$E$8,"Elite",IF(V187&gt;=Benchmarks!$D$8,"Strong",IF(V187&gt;=Benchmarks!$C$8,"Average","Needs work"))))</f>
        <v/>
      </c>
      <c r="AC187" s="73" t="str">
        <f aca="false">IF(COUNT(AG187:AI187)=0,"",AVERAGE(AG187:AI187))</f>
        <v/>
      </c>
      <c r="AD187" s="37" t="str">
        <f aca="false">IF(A187="","",IF(Q187="Short",IF(AH187="","Add % viewed to diagnose",IF(AND(AH187&gt;=3,N(AI187)&gt;=3),"Winner Short — expand it into a long-form video",IF(AH187&lt;=1,"Hook problem — viewers swipe away in the first seconds",IF(AI187=1,"Watched but no reaction — end on a question or opinion","Solid Short — keep iterating")))),IF(OR(AG187="",AH187=""),"Add CTR &amp; % viewed to diagnose",IF(AND(AG187&gt;=3,AH187&gt;=3),"WINNER — make a sequel, series or Shorts from it",IF(AND(AG187&gt;=3,AH187&lt;=2),"Click but leave — intro too slow or title over-promises",IF(AND(AG187&lt;=2,AH187&gt;=3),"Great video, weak packaging — A/B test title + thumbnail",IF(AND(AG187=1,AH187=1),"Topic miss — don't repeat this angle","Average — sharpen the hook and the title")))))))</f>
        <v/>
      </c>
      <c r="AE187" s="76" t="str">
        <f aca="false">IF(OR(A187="",N(E187)=0),"",Q187&amp;"-"&amp;(COUNTIFS($Q$5:$Q$204,Q187,$E$5:$E$204,"&gt;"&amp;E187)+COUNTIFS($Q$5:Q187,Q187,$E$5:E187,E187)))</f>
        <v/>
      </c>
      <c r="AF187" s="77" t="str">
        <f aca="false">IF(AND(Q187="Long",N(F187)&gt;=Benchmarks!$C$15,G187&lt;&gt;""),G187,"")</f>
        <v/>
      </c>
      <c r="AG187" s="78" t="str">
        <f aca="false">IF(Z187="Elite",4,IF(Z187="Strong",3,IF(Z187="Average",2,IF(Z187="Needs work",1,""))))</f>
        <v/>
      </c>
      <c r="AH187" s="78" t="str">
        <f aca="false">IF(AA187="Elite",4,IF(AA187="Strong",3,IF(AA187="Average",2,IF(AA187="Needs work",1,""))))</f>
        <v/>
      </c>
      <c r="AI187" s="78" t="str">
        <f aca="false">IF(AB187="Elite",4,IF(AB187="Strong",3,IF(AB187="Average",2,IF(AB187="Needs work",1,""))))</f>
        <v/>
      </c>
    </row>
    <row r="188" customFormat="false" ht="15" hidden="false" customHeight="false" outlineLevel="0" collapsed="false">
      <c r="A188" s="64"/>
      <c r="B188" s="65"/>
      <c r="C188" s="66"/>
      <c r="D188" s="67"/>
      <c r="E188" s="67"/>
      <c r="F188" s="67"/>
      <c r="G188" s="68"/>
      <c r="H188" s="69"/>
      <c r="I188" s="68"/>
      <c r="J188" s="70"/>
      <c r="K188" s="67"/>
      <c r="L188" s="67"/>
      <c r="M188" s="67"/>
      <c r="N188" s="67"/>
      <c r="O188" s="67"/>
      <c r="P188" s="71"/>
      <c r="Q188" s="72" t="str">
        <f aca="false">IF(A188="","",IF(C188&lt;&gt;"",C188,IF(AND(D188&lt;&gt;"",D188&lt;=180),"Short","Long")))</f>
        <v/>
      </c>
      <c r="R188" s="73" t="str">
        <f aca="false">IF(OR(A188="",D188=""),"",D188/60)</f>
        <v/>
      </c>
      <c r="S188" s="72" t="str">
        <f aca="false">IF(OR(A188="",B188=""),"",IF(AND(B188&gt;=DATE(2026,4,1),B188&lt;=DATE(2026,6,30)),"Yes","No"))</f>
        <v/>
      </c>
      <c r="T188" s="72" t="str">
        <f aca="false">IF(OR(A188="",B188=""),"",CHOOSE(WEEKDAY(B188),"Sun","Mon","Tue","Wed","Thu","Fri","Sat"))</f>
        <v/>
      </c>
      <c r="U188" s="72" t="str">
        <f aca="false">IF(OR(Q188&lt;&gt;"Long",D188=""),"",IF(D188&lt;480,"Under 8 min",IF(D188&lt;900,"8–15 min",IF(D188&lt;1500,"15–25 min","25+ min"))))</f>
        <v/>
      </c>
      <c r="V188" s="74" t="str">
        <f aca="false">IF(OR(A188="",N(E188)=0),"",(N(K188)+N(L188))/E188*100)</f>
        <v/>
      </c>
      <c r="W188" s="73" t="str">
        <f aca="false">IF(OR(A188="",N(E188)=0),"",N(L188)/E188*1000)</f>
        <v/>
      </c>
      <c r="X188" s="75" t="str">
        <f aca="false">IF(A188="","",N(N188)-N(O188))</f>
        <v/>
      </c>
      <c r="Y188" s="73" t="str">
        <f aca="false">IF(OR(A188="",N(E188)=0),"",X188/E188*1000)</f>
        <v/>
      </c>
      <c r="Z188" s="72" t="str">
        <f aca="false">IF(OR(A188="",G188=""),"",IF(Q188="Short","n/a (Short)",IF(G188&gt;=Benchmarks!$E$5,"Elite",IF(G188&gt;=Benchmarks!$D$5,"Strong",IF(G188&gt;=Benchmarks!$C$5,"Average","Needs work")))))</f>
        <v/>
      </c>
      <c r="AA188" s="72" t="str">
        <f aca="false">IF(OR(A188="",I188=""),"",IF(Q188="Short",IF(I188&gt;=Benchmarks!$E$7,"Elite",IF(I188&gt;=Benchmarks!$D$7,"Strong",IF(I188&gt;=Benchmarks!$C$7,"Average","Needs work"))),IF(I188&gt;=Benchmarks!$E$6,"Elite",IF(I188&gt;=Benchmarks!$D$6,"Strong",IF(I188&gt;=Benchmarks!$C$6,"Average","Needs work")))))</f>
        <v/>
      </c>
      <c r="AB188" s="72" t="str">
        <f aca="false">IF(V188="","",IF(V188&gt;=Benchmarks!$E$8,"Elite",IF(V188&gt;=Benchmarks!$D$8,"Strong",IF(V188&gt;=Benchmarks!$C$8,"Average","Needs work"))))</f>
        <v/>
      </c>
      <c r="AC188" s="73" t="str">
        <f aca="false">IF(COUNT(AG188:AI188)=0,"",AVERAGE(AG188:AI188))</f>
        <v/>
      </c>
      <c r="AD188" s="37" t="str">
        <f aca="false">IF(A188="","",IF(Q188="Short",IF(AH188="","Add % viewed to diagnose",IF(AND(AH188&gt;=3,N(AI188)&gt;=3),"Winner Short — expand it into a long-form video",IF(AH188&lt;=1,"Hook problem — viewers swipe away in the first seconds",IF(AI188=1,"Watched but no reaction — end on a question or opinion","Solid Short — keep iterating")))),IF(OR(AG188="",AH188=""),"Add CTR &amp; % viewed to diagnose",IF(AND(AG188&gt;=3,AH188&gt;=3),"WINNER — make a sequel, series or Shorts from it",IF(AND(AG188&gt;=3,AH188&lt;=2),"Click but leave — intro too slow or title over-promises",IF(AND(AG188&lt;=2,AH188&gt;=3),"Great video, weak packaging — A/B test title + thumbnail",IF(AND(AG188=1,AH188=1),"Topic miss — don't repeat this angle","Average — sharpen the hook and the title")))))))</f>
        <v/>
      </c>
      <c r="AE188" s="76" t="str">
        <f aca="false">IF(OR(A188="",N(E188)=0),"",Q188&amp;"-"&amp;(COUNTIFS($Q$5:$Q$204,Q188,$E$5:$E$204,"&gt;"&amp;E188)+COUNTIFS($Q$5:Q188,Q188,$E$5:E188,E188)))</f>
        <v/>
      </c>
      <c r="AF188" s="77" t="str">
        <f aca="false">IF(AND(Q188="Long",N(F188)&gt;=Benchmarks!$C$15,G188&lt;&gt;""),G188,"")</f>
        <v/>
      </c>
      <c r="AG188" s="78" t="str">
        <f aca="false">IF(Z188="Elite",4,IF(Z188="Strong",3,IF(Z188="Average",2,IF(Z188="Needs work",1,""))))</f>
        <v/>
      </c>
      <c r="AH188" s="78" t="str">
        <f aca="false">IF(AA188="Elite",4,IF(AA188="Strong",3,IF(AA188="Average",2,IF(AA188="Needs work",1,""))))</f>
        <v/>
      </c>
      <c r="AI188" s="78" t="str">
        <f aca="false">IF(AB188="Elite",4,IF(AB188="Strong",3,IF(AB188="Average",2,IF(AB188="Needs work",1,""))))</f>
        <v/>
      </c>
    </row>
    <row r="189" customFormat="false" ht="15" hidden="false" customHeight="false" outlineLevel="0" collapsed="false">
      <c r="A189" s="64"/>
      <c r="B189" s="65"/>
      <c r="C189" s="66"/>
      <c r="D189" s="67"/>
      <c r="E189" s="67"/>
      <c r="F189" s="67"/>
      <c r="G189" s="68"/>
      <c r="H189" s="69"/>
      <c r="I189" s="68"/>
      <c r="J189" s="70"/>
      <c r="K189" s="67"/>
      <c r="L189" s="67"/>
      <c r="M189" s="67"/>
      <c r="N189" s="67"/>
      <c r="O189" s="67"/>
      <c r="P189" s="71"/>
      <c r="Q189" s="72" t="str">
        <f aca="false">IF(A189="","",IF(C189&lt;&gt;"",C189,IF(AND(D189&lt;&gt;"",D189&lt;=180),"Short","Long")))</f>
        <v/>
      </c>
      <c r="R189" s="73" t="str">
        <f aca="false">IF(OR(A189="",D189=""),"",D189/60)</f>
        <v/>
      </c>
      <c r="S189" s="72" t="str">
        <f aca="false">IF(OR(A189="",B189=""),"",IF(AND(B189&gt;=DATE(2026,4,1),B189&lt;=DATE(2026,6,30)),"Yes","No"))</f>
        <v/>
      </c>
      <c r="T189" s="72" t="str">
        <f aca="false">IF(OR(A189="",B189=""),"",CHOOSE(WEEKDAY(B189),"Sun","Mon","Tue","Wed","Thu","Fri","Sat"))</f>
        <v/>
      </c>
      <c r="U189" s="72" t="str">
        <f aca="false">IF(OR(Q189&lt;&gt;"Long",D189=""),"",IF(D189&lt;480,"Under 8 min",IF(D189&lt;900,"8–15 min",IF(D189&lt;1500,"15–25 min","25+ min"))))</f>
        <v/>
      </c>
      <c r="V189" s="74" t="str">
        <f aca="false">IF(OR(A189="",N(E189)=0),"",(N(K189)+N(L189))/E189*100)</f>
        <v/>
      </c>
      <c r="W189" s="73" t="str">
        <f aca="false">IF(OR(A189="",N(E189)=0),"",N(L189)/E189*1000)</f>
        <v/>
      </c>
      <c r="X189" s="75" t="str">
        <f aca="false">IF(A189="","",N(N189)-N(O189))</f>
        <v/>
      </c>
      <c r="Y189" s="73" t="str">
        <f aca="false">IF(OR(A189="",N(E189)=0),"",X189/E189*1000)</f>
        <v/>
      </c>
      <c r="Z189" s="72" t="str">
        <f aca="false">IF(OR(A189="",G189=""),"",IF(Q189="Short","n/a (Short)",IF(G189&gt;=Benchmarks!$E$5,"Elite",IF(G189&gt;=Benchmarks!$D$5,"Strong",IF(G189&gt;=Benchmarks!$C$5,"Average","Needs work")))))</f>
        <v/>
      </c>
      <c r="AA189" s="72" t="str">
        <f aca="false">IF(OR(A189="",I189=""),"",IF(Q189="Short",IF(I189&gt;=Benchmarks!$E$7,"Elite",IF(I189&gt;=Benchmarks!$D$7,"Strong",IF(I189&gt;=Benchmarks!$C$7,"Average","Needs work"))),IF(I189&gt;=Benchmarks!$E$6,"Elite",IF(I189&gt;=Benchmarks!$D$6,"Strong",IF(I189&gt;=Benchmarks!$C$6,"Average","Needs work")))))</f>
        <v/>
      </c>
      <c r="AB189" s="72" t="str">
        <f aca="false">IF(V189="","",IF(V189&gt;=Benchmarks!$E$8,"Elite",IF(V189&gt;=Benchmarks!$D$8,"Strong",IF(V189&gt;=Benchmarks!$C$8,"Average","Needs work"))))</f>
        <v/>
      </c>
      <c r="AC189" s="73" t="str">
        <f aca="false">IF(COUNT(AG189:AI189)=0,"",AVERAGE(AG189:AI189))</f>
        <v/>
      </c>
      <c r="AD189" s="37" t="str">
        <f aca="false">IF(A189="","",IF(Q189="Short",IF(AH189="","Add % viewed to diagnose",IF(AND(AH189&gt;=3,N(AI189)&gt;=3),"Winner Short — expand it into a long-form video",IF(AH189&lt;=1,"Hook problem — viewers swipe away in the first seconds",IF(AI189=1,"Watched but no reaction — end on a question or opinion","Solid Short — keep iterating")))),IF(OR(AG189="",AH189=""),"Add CTR &amp; % viewed to diagnose",IF(AND(AG189&gt;=3,AH189&gt;=3),"WINNER — make a sequel, series or Shorts from it",IF(AND(AG189&gt;=3,AH189&lt;=2),"Click but leave — intro too slow or title over-promises",IF(AND(AG189&lt;=2,AH189&gt;=3),"Great video, weak packaging — A/B test title + thumbnail",IF(AND(AG189=1,AH189=1),"Topic miss — don't repeat this angle","Average — sharpen the hook and the title")))))))</f>
        <v/>
      </c>
      <c r="AE189" s="76" t="str">
        <f aca="false">IF(OR(A189="",N(E189)=0),"",Q189&amp;"-"&amp;(COUNTIFS($Q$5:$Q$204,Q189,$E$5:$E$204,"&gt;"&amp;E189)+COUNTIFS($Q$5:Q189,Q189,$E$5:E189,E189)))</f>
        <v/>
      </c>
      <c r="AF189" s="77" t="str">
        <f aca="false">IF(AND(Q189="Long",N(F189)&gt;=Benchmarks!$C$15,G189&lt;&gt;""),G189,"")</f>
        <v/>
      </c>
      <c r="AG189" s="78" t="str">
        <f aca="false">IF(Z189="Elite",4,IF(Z189="Strong",3,IF(Z189="Average",2,IF(Z189="Needs work",1,""))))</f>
        <v/>
      </c>
      <c r="AH189" s="78" t="str">
        <f aca="false">IF(AA189="Elite",4,IF(AA189="Strong",3,IF(AA189="Average",2,IF(AA189="Needs work",1,""))))</f>
        <v/>
      </c>
      <c r="AI189" s="78" t="str">
        <f aca="false">IF(AB189="Elite",4,IF(AB189="Strong",3,IF(AB189="Average",2,IF(AB189="Needs work",1,""))))</f>
        <v/>
      </c>
    </row>
    <row r="190" customFormat="false" ht="15" hidden="false" customHeight="false" outlineLevel="0" collapsed="false">
      <c r="A190" s="64"/>
      <c r="B190" s="65"/>
      <c r="C190" s="66"/>
      <c r="D190" s="67"/>
      <c r="E190" s="67"/>
      <c r="F190" s="67"/>
      <c r="G190" s="68"/>
      <c r="H190" s="69"/>
      <c r="I190" s="68"/>
      <c r="J190" s="70"/>
      <c r="K190" s="67"/>
      <c r="L190" s="67"/>
      <c r="M190" s="67"/>
      <c r="N190" s="67"/>
      <c r="O190" s="67"/>
      <c r="P190" s="71"/>
      <c r="Q190" s="72" t="str">
        <f aca="false">IF(A190="","",IF(C190&lt;&gt;"",C190,IF(AND(D190&lt;&gt;"",D190&lt;=180),"Short","Long")))</f>
        <v/>
      </c>
      <c r="R190" s="73" t="str">
        <f aca="false">IF(OR(A190="",D190=""),"",D190/60)</f>
        <v/>
      </c>
      <c r="S190" s="72" t="str">
        <f aca="false">IF(OR(A190="",B190=""),"",IF(AND(B190&gt;=DATE(2026,4,1),B190&lt;=DATE(2026,6,30)),"Yes","No"))</f>
        <v/>
      </c>
      <c r="T190" s="72" t="str">
        <f aca="false">IF(OR(A190="",B190=""),"",CHOOSE(WEEKDAY(B190),"Sun","Mon","Tue","Wed","Thu","Fri","Sat"))</f>
        <v/>
      </c>
      <c r="U190" s="72" t="str">
        <f aca="false">IF(OR(Q190&lt;&gt;"Long",D190=""),"",IF(D190&lt;480,"Under 8 min",IF(D190&lt;900,"8–15 min",IF(D190&lt;1500,"15–25 min","25+ min"))))</f>
        <v/>
      </c>
      <c r="V190" s="74" t="str">
        <f aca="false">IF(OR(A190="",N(E190)=0),"",(N(K190)+N(L190))/E190*100)</f>
        <v/>
      </c>
      <c r="W190" s="73" t="str">
        <f aca="false">IF(OR(A190="",N(E190)=0),"",N(L190)/E190*1000)</f>
        <v/>
      </c>
      <c r="X190" s="75" t="str">
        <f aca="false">IF(A190="","",N(N190)-N(O190))</f>
        <v/>
      </c>
      <c r="Y190" s="73" t="str">
        <f aca="false">IF(OR(A190="",N(E190)=0),"",X190/E190*1000)</f>
        <v/>
      </c>
      <c r="Z190" s="72" t="str">
        <f aca="false">IF(OR(A190="",G190=""),"",IF(Q190="Short","n/a (Short)",IF(G190&gt;=Benchmarks!$E$5,"Elite",IF(G190&gt;=Benchmarks!$D$5,"Strong",IF(G190&gt;=Benchmarks!$C$5,"Average","Needs work")))))</f>
        <v/>
      </c>
      <c r="AA190" s="72" t="str">
        <f aca="false">IF(OR(A190="",I190=""),"",IF(Q190="Short",IF(I190&gt;=Benchmarks!$E$7,"Elite",IF(I190&gt;=Benchmarks!$D$7,"Strong",IF(I190&gt;=Benchmarks!$C$7,"Average","Needs work"))),IF(I190&gt;=Benchmarks!$E$6,"Elite",IF(I190&gt;=Benchmarks!$D$6,"Strong",IF(I190&gt;=Benchmarks!$C$6,"Average","Needs work")))))</f>
        <v/>
      </c>
      <c r="AB190" s="72" t="str">
        <f aca="false">IF(V190="","",IF(V190&gt;=Benchmarks!$E$8,"Elite",IF(V190&gt;=Benchmarks!$D$8,"Strong",IF(V190&gt;=Benchmarks!$C$8,"Average","Needs work"))))</f>
        <v/>
      </c>
      <c r="AC190" s="73" t="str">
        <f aca="false">IF(COUNT(AG190:AI190)=0,"",AVERAGE(AG190:AI190))</f>
        <v/>
      </c>
      <c r="AD190" s="37" t="str">
        <f aca="false">IF(A190="","",IF(Q190="Short",IF(AH190="","Add % viewed to diagnose",IF(AND(AH190&gt;=3,N(AI190)&gt;=3),"Winner Short — expand it into a long-form video",IF(AH190&lt;=1,"Hook problem — viewers swipe away in the first seconds",IF(AI190=1,"Watched but no reaction — end on a question or opinion","Solid Short — keep iterating")))),IF(OR(AG190="",AH190=""),"Add CTR &amp; % viewed to diagnose",IF(AND(AG190&gt;=3,AH190&gt;=3),"WINNER — make a sequel, series or Shorts from it",IF(AND(AG190&gt;=3,AH190&lt;=2),"Click but leave — intro too slow or title over-promises",IF(AND(AG190&lt;=2,AH190&gt;=3),"Great video, weak packaging — A/B test title + thumbnail",IF(AND(AG190=1,AH190=1),"Topic miss — don't repeat this angle","Average — sharpen the hook and the title")))))))</f>
        <v/>
      </c>
      <c r="AE190" s="76" t="str">
        <f aca="false">IF(OR(A190="",N(E190)=0),"",Q190&amp;"-"&amp;(COUNTIFS($Q$5:$Q$204,Q190,$E$5:$E$204,"&gt;"&amp;E190)+COUNTIFS($Q$5:Q190,Q190,$E$5:E190,E190)))</f>
        <v/>
      </c>
      <c r="AF190" s="77" t="str">
        <f aca="false">IF(AND(Q190="Long",N(F190)&gt;=Benchmarks!$C$15,G190&lt;&gt;""),G190,"")</f>
        <v/>
      </c>
      <c r="AG190" s="78" t="str">
        <f aca="false">IF(Z190="Elite",4,IF(Z190="Strong",3,IF(Z190="Average",2,IF(Z190="Needs work",1,""))))</f>
        <v/>
      </c>
      <c r="AH190" s="78" t="str">
        <f aca="false">IF(AA190="Elite",4,IF(AA190="Strong",3,IF(AA190="Average",2,IF(AA190="Needs work",1,""))))</f>
        <v/>
      </c>
      <c r="AI190" s="78" t="str">
        <f aca="false">IF(AB190="Elite",4,IF(AB190="Strong",3,IF(AB190="Average",2,IF(AB190="Needs work",1,""))))</f>
        <v/>
      </c>
    </row>
    <row r="191" customFormat="false" ht="15" hidden="false" customHeight="false" outlineLevel="0" collapsed="false">
      <c r="A191" s="64"/>
      <c r="B191" s="65"/>
      <c r="C191" s="66"/>
      <c r="D191" s="67"/>
      <c r="E191" s="67"/>
      <c r="F191" s="67"/>
      <c r="G191" s="68"/>
      <c r="H191" s="69"/>
      <c r="I191" s="68"/>
      <c r="J191" s="70"/>
      <c r="K191" s="67"/>
      <c r="L191" s="67"/>
      <c r="M191" s="67"/>
      <c r="N191" s="67"/>
      <c r="O191" s="67"/>
      <c r="P191" s="71"/>
      <c r="Q191" s="72" t="str">
        <f aca="false">IF(A191="","",IF(C191&lt;&gt;"",C191,IF(AND(D191&lt;&gt;"",D191&lt;=180),"Short","Long")))</f>
        <v/>
      </c>
      <c r="R191" s="73" t="str">
        <f aca="false">IF(OR(A191="",D191=""),"",D191/60)</f>
        <v/>
      </c>
      <c r="S191" s="72" t="str">
        <f aca="false">IF(OR(A191="",B191=""),"",IF(AND(B191&gt;=DATE(2026,4,1),B191&lt;=DATE(2026,6,30)),"Yes","No"))</f>
        <v/>
      </c>
      <c r="T191" s="72" t="str">
        <f aca="false">IF(OR(A191="",B191=""),"",CHOOSE(WEEKDAY(B191),"Sun","Mon","Tue","Wed","Thu","Fri","Sat"))</f>
        <v/>
      </c>
      <c r="U191" s="72" t="str">
        <f aca="false">IF(OR(Q191&lt;&gt;"Long",D191=""),"",IF(D191&lt;480,"Under 8 min",IF(D191&lt;900,"8–15 min",IF(D191&lt;1500,"15–25 min","25+ min"))))</f>
        <v/>
      </c>
      <c r="V191" s="74" t="str">
        <f aca="false">IF(OR(A191="",N(E191)=0),"",(N(K191)+N(L191))/E191*100)</f>
        <v/>
      </c>
      <c r="W191" s="73" t="str">
        <f aca="false">IF(OR(A191="",N(E191)=0),"",N(L191)/E191*1000)</f>
        <v/>
      </c>
      <c r="X191" s="75" t="str">
        <f aca="false">IF(A191="","",N(N191)-N(O191))</f>
        <v/>
      </c>
      <c r="Y191" s="73" t="str">
        <f aca="false">IF(OR(A191="",N(E191)=0),"",X191/E191*1000)</f>
        <v/>
      </c>
      <c r="Z191" s="72" t="str">
        <f aca="false">IF(OR(A191="",G191=""),"",IF(Q191="Short","n/a (Short)",IF(G191&gt;=Benchmarks!$E$5,"Elite",IF(G191&gt;=Benchmarks!$D$5,"Strong",IF(G191&gt;=Benchmarks!$C$5,"Average","Needs work")))))</f>
        <v/>
      </c>
      <c r="AA191" s="72" t="str">
        <f aca="false">IF(OR(A191="",I191=""),"",IF(Q191="Short",IF(I191&gt;=Benchmarks!$E$7,"Elite",IF(I191&gt;=Benchmarks!$D$7,"Strong",IF(I191&gt;=Benchmarks!$C$7,"Average","Needs work"))),IF(I191&gt;=Benchmarks!$E$6,"Elite",IF(I191&gt;=Benchmarks!$D$6,"Strong",IF(I191&gt;=Benchmarks!$C$6,"Average","Needs work")))))</f>
        <v/>
      </c>
      <c r="AB191" s="72" t="str">
        <f aca="false">IF(V191="","",IF(V191&gt;=Benchmarks!$E$8,"Elite",IF(V191&gt;=Benchmarks!$D$8,"Strong",IF(V191&gt;=Benchmarks!$C$8,"Average","Needs work"))))</f>
        <v/>
      </c>
      <c r="AC191" s="73" t="str">
        <f aca="false">IF(COUNT(AG191:AI191)=0,"",AVERAGE(AG191:AI191))</f>
        <v/>
      </c>
      <c r="AD191" s="37" t="str">
        <f aca="false">IF(A191="","",IF(Q191="Short",IF(AH191="","Add % viewed to diagnose",IF(AND(AH191&gt;=3,N(AI191)&gt;=3),"Winner Short — expand it into a long-form video",IF(AH191&lt;=1,"Hook problem — viewers swipe away in the first seconds",IF(AI191=1,"Watched but no reaction — end on a question or opinion","Solid Short — keep iterating")))),IF(OR(AG191="",AH191=""),"Add CTR &amp; % viewed to diagnose",IF(AND(AG191&gt;=3,AH191&gt;=3),"WINNER — make a sequel, series or Shorts from it",IF(AND(AG191&gt;=3,AH191&lt;=2),"Click but leave — intro too slow or title over-promises",IF(AND(AG191&lt;=2,AH191&gt;=3),"Great video, weak packaging — A/B test title + thumbnail",IF(AND(AG191=1,AH191=1),"Topic miss — don't repeat this angle","Average — sharpen the hook and the title")))))))</f>
        <v/>
      </c>
      <c r="AE191" s="76" t="str">
        <f aca="false">IF(OR(A191="",N(E191)=0),"",Q191&amp;"-"&amp;(COUNTIFS($Q$5:$Q$204,Q191,$E$5:$E$204,"&gt;"&amp;E191)+COUNTIFS($Q$5:Q191,Q191,$E$5:E191,E191)))</f>
        <v/>
      </c>
      <c r="AF191" s="77" t="str">
        <f aca="false">IF(AND(Q191="Long",N(F191)&gt;=Benchmarks!$C$15,G191&lt;&gt;""),G191,"")</f>
        <v/>
      </c>
      <c r="AG191" s="78" t="str">
        <f aca="false">IF(Z191="Elite",4,IF(Z191="Strong",3,IF(Z191="Average",2,IF(Z191="Needs work",1,""))))</f>
        <v/>
      </c>
      <c r="AH191" s="78" t="str">
        <f aca="false">IF(AA191="Elite",4,IF(AA191="Strong",3,IF(AA191="Average",2,IF(AA191="Needs work",1,""))))</f>
        <v/>
      </c>
      <c r="AI191" s="78" t="str">
        <f aca="false">IF(AB191="Elite",4,IF(AB191="Strong",3,IF(AB191="Average",2,IF(AB191="Needs work",1,""))))</f>
        <v/>
      </c>
    </row>
    <row r="192" customFormat="false" ht="15" hidden="false" customHeight="false" outlineLevel="0" collapsed="false">
      <c r="A192" s="64"/>
      <c r="B192" s="65"/>
      <c r="C192" s="66"/>
      <c r="D192" s="67"/>
      <c r="E192" s="67"/>
      <c r="F192" s="67"/>
      <c r="G192" s="68"/>
      <c r="H192" s="69"/>
      <c r="I192" s="68"/>
      <c r="J192" s="70"/>
      <c r="K192" s="67"/>
      <c r="L192" s="67"/>
      <c r="M192" s="67"/>
      <c r="N192" s="67"/>
      <c r="O192" s="67"/>
      <c r="P192" s="71"/>
      <c r="Q192" s="72" t="str">
        <f aca="false">IF(A192="","",IF(C192&lt;&gt;"",C192,IF(AND(D192&lt;&gt;"",D192&lt;=180),"Short","Long")))</f>
        <v/>
      </c>
      <c r="R192" s="73" t="str">
        <f aca="false">IF(OR(A192="",D192=""),"",D192/60)</f>
        <v/>
      </c>
      <c r="S192" s="72" t="str">
        <f aca="false">IF(OR(A192="",B192=""),"",IF(AND(B192&gt;=DATE(2026,4,1),B192&lt;=DATE(2026,6,30)),"Yes","No"))</f>
        <v/>
      </c>
      <c r="T192" s="72" t="str">
        <f aca="false">IF(OR(A192="",B192=""),"",CHOOSE(WEEKDAY(B192),"Sun","Mon","Tue","Wed","Thu","Fri","Sat"))</f>
        <v/>
      </c>
      <c r="U192" s="72" t="str">
        <f aca="false">IF(OR(Q192&lt;&gt;"Long",D192=""),"",IF(D192&lt;480,"Under 8 min",IF(D192&lt;900,"8–15 min",IF(D192&lt;1500,"15–25 min","25+ min"))))</f>
        <v/>
      </c>
      <c r="V192" s="74" t="str">
        <f aca="false">IF(OR(A192="",N(E192)=0),"",(N(K192)+N(L192))/E192*100)</f>
        <v/>
      </c>
      <c r="W192" s="73" t="str">
        <f aca="false">IF(OR(A192="",N(E192)=0),"",N(L192)/E192*1000)</f>
        <v/>
      </c>
      <c r="X192" s="75" t="str">
        <f aca="false">IF(A192="","",N(N192)-N(O192))</f>
        <v/>
      </c>
      <c r="Y192" s="73" t="str">
        <f aca="false">IF(OR(A192="",N(E192)=0),"",X192/E192*1000)</f>
        <v/>
      </c>
      <c r="Z192" s="72" t="str">
        <f aca="false">IF(OR(A192="",G192=""),"",IF(Q192="Short","n/a (Short)",IF(G192&gt;=Benchmarks!$E$5,"Elite",IF(G192&gt;=Benchmarks!$D$5,"Strong",IF(G192&gt;=Benchmarks!$C$5,"Average","Needs work")))))</f>
        <v/>
      </c>
      <c r="AA192" s="72" t="str">
        <f aca="false">IF(OR(A192="",I192=""),"",IF(Q192="Short",IF(I192&gt;=Benchmarks!$E$7,"Elite",IF(I192&gt;=Benchmarks!$D$7,"Strong",IF(I192&gt;=Benchmarks!$C$7,"Average","Needs work"))),IF(I192&gt;=Benchmarks!$E$6,"Elite",IF(I192&gt;=Benchmarks!$D$6,"Strong",IF(I192&gt;=Benchmarks!$C$6,"Average","Needs work")))))</f>
        <v/>
      </c>
      <c r="AB192" s="72" t="str">
        <f aca="false">IF(V192="","",IF(V192&gt;=Benchmarks!$E$8,"Elite",IF(V192&gt;=Benchmarks!$D$8,"Strong",IF(V192&gt;=Benchmarks!$C$8,"Average","Needs work"))))</f>
        <v/>
      </c>
      <c r="AC192" s="73" t="str">
        <f aca="false">IF(COUNT(AG192:AI192)=0,"",AVERAGE(AG192:AI192))</f>
        <v/>
      </c>
      <c r="AD192" s="37" t="str">
        <f aca="false">IF(A192="","",IF(Q192="Short",IF(AH192="","Add % viewed to diagnose",IF(AND(AH192&gt;=3,N(AI192)&gt;=3),"Winner Short — expand it into a long-form video",IF(AH192&lt;=1,"Hook problem — viewers swipe away in the first seconds",IF(AI192=1,"Watched but no reaction — end on a question or opinion","Solid Short — keep iterating")))),IF(OR(AG192="",AH192=""),"Add CTR &amp; % viewed to diagnose",IF(AND(AG192&gt;=3,AH192&gt;=3),"WINNER — make a sequel, series or Shorts from it",IF(AND(AG192&gt;=3,AH192&lt;=2),"Click but leave — intro too slow or title over-promises",IF(AND(AG192&lt;=2,AH192&gt;=3),"Great video, weak packaging — A/B test title + thumbnail",IF(AND(AG192=1,AH192=1),"Topic miss — don't repeat this angle","Average — sharpen the hook and the title")))))))</f>
        <v/>
      </c>
      <c r="AE192" s="76" t="str">
        <f aca="false">IF(OR(A192="",N(E192)=0),"",Q192&amp;"-"&amp;(COUNTIFS($Q$5:$Q$204,Q192,$E$5:$E$204,"&gt;"&amp;E192)+COUNTIFS($Q$5:Q192,Q192,$E$5:E192,E192)))</f>
        <v/>
      </c>
      <c r="AF192" s="77" t="str">
        <f aca="false">IF(AND(Q192="Long",N(F192)&gt;=Benchmarks!$C$15,G192&lt;&gt;""),G192,"")</f>
        <v/>
      </c>
      <c r="AG192" s="78" t="str">
        <f aca="false">IF(Z192="Elite",4,IF(Z192="Strong",3,IF(Z192="Average",2,IF(Z192="Needs work",1,""))))</f>
        <v/>
      </c>
      <c r="AH192" s="78" t="str">
        <f aca="false">IF(AA192="Elite",4,IF(AA192="Strong",3,IF(AA192="Average",2,IF(AA192="Needs work",1,""))))</f>
        <v/>
      </c>
      <c r="AI192" s="78" t="str">
        <f aca="false">IF(AB192="Elite",4,IF(AB192="Strong",3,IF(AB192="Average",2,IF(AB192="Needs work",1,""))))</f>
        <v/>
      </c>
    </row>
    <row r="193" customFormat="false" ht="15" hidden="false" customHeight="false" outlineLevel="0" collapsed="false">
      <c r="A193" s="64"/>
      <c r="B193" s="65"/>
      <c r="C193" s="66"/>
      <c r="D193" s="67"/>
      <c r="E193" s="67"/>
      <c r="F193" s="67"/>
      <c r="G193" s="68"/>
      <c r="H193" s="69"/>
      <c r="I193" s="68"/>
      <c r="J193" s="70"/>
      <c r="K193" s="67"/>
      <c r="L193" s="67"/>
      <c r="M193" s="67"/>
      <c r="N193" s="67"/>
      <c r="O193" s="67"/>
      <c r="P193" s="71"/>
      <c r="Q193" s="72" t="str">
        <f aca="false">IF(A193="","",IF(C193&lt;&gt;"",C193,IF(AND(D193&lt;&gt;"",D193&lt;=180),"Short","Long")))</f>
        <v/>
      </c>
      <c r="R193" s="73" t="str">
        <f aca="false">IF(OR(A193="",D193=""),"",D193/60)</f>
        <v/>
      </c>
      <c r="S193" s="72" t="str">
        <f aca="false">IF(OR(A193="",B193=""),"",IF(AND(B193&gt;=DATE(2026,4,1),B193&lt;=DATE(2026,6,30)),"Yes","No"))</f>
        <v/>
      </c>
      <c r="T193" s="72" t="str">
        <f aca="false">IF(OR(A193="",B193=""),"",CHOOSE(WEEKDAY(B193),"Sun","Mon","Tue","Wed","Thu","Fri","Sat"))</f>
        <v/>
      </c>
      <c r="U193" s="72" t="str">
        <f aca="false">IF(OR(Q193&lt;&gt;"Long",D193=""),"",IF(D193&lt;480,"Under 8 min",IF(D193&lt;900,"8–15 min",IF(D193&lt;1500,"15–25 min","25+ min"))))</f>
        <v/>
      </c>
      <c r="V193" s="74" t="str">
        <f aca="false">IF(OR(A193="",N(E193)=0),"",(N(K193)+N(L193))/E193*100)</f>
        <v/>
      </c>
      <c r="W193" s="73" t="str">
        <f aca="false">IF(OR(A193="",N(E193)=0),"",N(L193)/E193*1000)</f>
        <v/>
      </c>
      <c r="X193" s="75" t="str">
        <f aca="false">IF(A193="","",N(N193)-N(O193))</f>
        <v/>
      </c>
      <c r="Y193" s="73" t="str">
        <f aca="false">IF(OR(A193="",N(E193)=0),"",X193/E193*1000)</f>
        <v/>
      </c>
      <c r="Z193" s="72" t="str">
        <f aca="false">IF(OR(A193="",G193=""),"",IF(Q193="Short","n/a (Short)",IF(G193&gt;=Benchmarks!$E$5,"Elite",IF(G193&gt;=Benchmarks!$D$5,"Strong",IF(G193&gt;=Benchmarks!$C$5,"Average","Needs work")))))</f>
        <v/>
      </c>
      <c r="AA193" s="72" t="str">
        <f aca="false">IF(OR(A193="",I193=""),"",IF(Q193="Short",IF(I193&gt;=Benchmarks!$E$7,"Elite",IF(I193&gt;=Benchmarks!$D$7,"Strong",IF(I193&gt;=Benchmarks!$C$7,"Average","Needs work"))),IF(I193&gt;=Benchmarks!$E$6,"Elite",IF(I193&gt;=Benchmarks!$D$6,"Strong",IF(I193&gt;=Benchmarks!$C$6,"Average","Needs work")))))</f>
        <v/>
      </c>
      <c r="AB193" s="72" t="str">
        <f aca="false">IF(V193="","",IF(V193&gt;=Benchmarks!$E$8,"Elite",IF(V193&gt;=Benchmarks!$D$8,"Strong",IF(V193&gt;=Benchmarks!$C$8,"Average","Needs work"))))</f>
        <v/>
      </c>
      <c r="AC193" s="73" t="str">
        <f aca="false">IF(COUNT(AG193:AI193)=0,"",AVERAGE(AG193:AI193))</f>
        <v/>
      </c>
      <c r="AD193" s="37" t="str">
        <f aca="false">IF(A193="","",IF(Q193="Short",IF(AH193="","Add % viewed to diagnose",IF(AND(AH193&gt;=3,N(AI193)&gt;=3),"Winner Short — expand it into a long-form video",IF(AH193&lt;=1,"Hook problem — viewers swipe away in the first seconds",IF(AI193=1,"Watched but no reaction — end on a question or opinion","Solid Short — keep iterating")))),IF(OR(AG193="",AH193=""),"Add CTR &amp; % viewed to diagnose",IF(AND(AG193&gt;=3,AH193&gt;=3),"WINNER — make a sequel, series or Shorts from it",IF(AND(AG193&gt;=3,AH193&lt;=2),"Click but leave — intro too slow or title over-promises",IF(AND(AG193&lt;=2,AH193&gt;=3),"Great video, weak packaging — A/B test title + thumbnail",IF(AND(AG193=1,AH193=1),"Topic miss — don't repeat this angle","Average — sharpen the hook and the title")))))))</f>
        <v/>
      </c>
      <c r="AE193" s="76" t="str">
        <f aca="false">IF(OR(A193="",N(E193)=0),"",Q193&amp;"-"&amp;(COUNTIFS($Q$5:$Q$204,Q193,$E$5:$E$204,"&gt;"&amp;E193)+COUNTIFS($Q$5:Q193,Q193,$E$5:E193,E193)))</f>
        <v/>
      </c>
      <c r="AF193" s="77" t="str">
        <f aca="false">IF(AND(Q193="Long",N(F193)&gt;=Benchmarks!$C$15,G193&lt;&gt;""),G193,"")</f>
        <v/>
      </c>
      <c r="AG193" s="78" t="str">
        <f aca="false">IF(Z193="Elite",4,IF(Z193="Strong",3,IF(Z193="Average",2,IF(Z193="Needs work",1,""))))</f>
        <v/>
      </c>
      <c r="AH193" s="78" t="str">
        <f aca="false">IF(AA193="Elite",4,IF(AA193="Strong",3,IF(AA193="Average",2,IF(AA193="Needs work",1,""))))</f>
        <v/>
      </c>
      <c r="AI193" s="78" t="str">
        <f aca="false">IF(AB193="Elite",4,IF(AB193="Strong",3,IF(AB193="Average",2,IF(AB193="Needs work",1,""))))</f>
        <v/>
      </c>
    </row>
    <row r="194" customFormat="false" ht="15" hidden="false" customHeight="false" outlineLevel="0" collapsed="false">
      <c r="A194" s="64"/>
      <c r="B194" s="65"/>
      <c r="C194" s="66"/>
      <c r="D194" s="67"/>
      <c r="E194" s="67"/>
      <c r="F194" s="67"/>
      <c r="G194" s="68"/>
      <c r="H194" s="69"/>
      <c r="I194" s="68"/>
      <c r="J194" s="70"/>
      <c r="K194" s="67"/>
      <c r="L194" s="67"/>
      <c r="M194" s="67"/>
      <c r="N194" s="67"/>
      <c r="O194" s="67"/>
      <c r="P194" s="71"/>
      <c r="Q194" s="72" t="str">
        <f aca="false">IF(A194="","",IF(C194&lt;&gt;"",C194,IF(AND(D194&lt;&gt;"",D194&lt;=180),"Short","Long")))</f>
        <v/>
      </c>
      <c r="R194" s="73" t="str">
        <f aca="false">IF(OR(A194="",D194=""),"",D194/60)</f>
        <v/>
      </c>
      <c r="S194" s="72" t="str">
        <f aca="false">IF(OR(A194="",B194=""),"",IF(AND(B194&gt;=DATE(2026,4,1),B194&lt;=DATE(2026,6,30)),"Yes","No"))</f>
        <v/>
      </c>
      <c r="T194" s="72" t="str">
        <f aca="false">IF(OR(A194="",B194=""),"",CHOOSE(WEEKDAY(B194),"Sun","Mon","Tue","Wed","Thu","Fri","Sat"))</f>
        <v/>
      </c>
      <c r="U194" s="72" t="str">
        <f aca="false">IF(OR(Q194&lt;&gt;"Long",D194=""),"",IF(D194&lt;480,"Under 8 min",IF(D194&lt;900,"8–15 min",IF(D194&lt;1500,"15–25 min","25+ min"))))</f>
        <v/>
      </c>
      <c r="V194" s="74" t="str">
        <f aca="false">IF(OR(A194="",N(E194)=0),"",(N(K194)+N(L194))/E194*100)</f>
        <v/>
      </c>
      <c r="W194" s="73" t="str">
        <f aca="false">IF(OR(A194="",N(E194)=0),"",N(L194)/E194*1000)</f>
        <v/>
      </c>
      <c r="X194" s="75" t="str">
        <f aca="false">IF(A194="","",N(N194)-N(O194))</f>
        <v/>
      </c>
      <c r="Y194" s="73" t="str">
        <f aca="false">IF(OR(A194="",N(E194)=0),"",X194/E194*1000)</f>
        <v/>
      </c>
      <c r="Z194" s="72" t="str">
        <f aca="false">IF(OR(A194="",G194=""),"",IF(Q194="Short","n/a (Short)",IF(G194&gt;=Benchmarks!$E$5,"Elite",IF(G194&gt;=Benchmarks!$D$5,"Strong",IF(G194&gt;=Benchmarks!$C$5,"Average","Needs work")))))</f>
        <v/>
      </c>
      <c r="AA194" s="72" t="str">
        <f aca="false">IF(OR(A194="",I194=""),"",IF(Q194="Short",IF(I194&gt;=Benchmarks!$E$7,"Elite",IF(I194&gt;=Benchmarks!$D$7,"Strong",IF(I194&gt;=Benchmarks!$C$7,"Average","Needs work"))),IF(I194&gt;=Benchmarks!$E$6,"Elite",IF(I194&gt;=Benchmarks!$D$6,"Strong",IF(I194&gt;=Benchmarks!$C$6,"Average","Needs work")))))</f>
        <v/>
      </c>
      <c r="AB194" s="72" t="str">
        <f aca="false">IF(V194="","",IF(V194&gt;=Benchmarks!$E$8,"Elite",IF(V194&gt;=Benchmarks!$D$8,"Strong",IF(V194&gt;=Benchmarks!$C$8,"Average","Needs work"))))</f>
        <v/>
      </c>
      <c r="AC194" s="73" t="str">
        <f aca="false">IF(COUNT(AG194:AI194)=0,"",AVERAGE(AG194:AI194))</f>
        <v/>
      </c>
      <c r="AD194" s="37" t="str">
        <f aca="false">IF(A194="","",IF(Q194="Short",IF(AH194="","Add % viewed to diagnose",IF(AND(AH194&gt;=3,N(AI194)&gt;=3),"Winner Short — expand it into a long-form video",IF(AH194&lt;=1,"Hook problem — viewers swipe away in the first seconds",IF(AI194=1,"Watched but no reaction — end on a question or opinion","Solid Short — keep iterating")))),IF(OR(AG194="",AH194=""),"Add CTR &amp; % viewed to diagnose",IF(AND(AG194&gt;=3,AH194&gt;=3),"WINNER — make a sequel, series or Shorts from it",IF(AND(AG194&gt;=3,AH194&lt;=2),"Click but leave — intro too slow or title over-promises",IF(AND(AG194&lt;=2,AH194&gt;=3),"Great video, weak packaging — A/B test title + thumbnail",IF(AND(AG194=1,AH194=1),"Topic miss — don't repeat this angle","Average — sharpen the hook and the title")))))))</f>
        <v/>
      </c>
      <c r="AE194" s="76" t="str">
        <f aca="false">IF(OR(A194="",N(E194)=0),"",Q194&amp;"-"&amp;(COUNTIFS($Q$5:$Q$204,Q194,$E$5:$E$204,"&gt;"&amp;E194)+COUNTIFS($Q$5:Q194,Q194,$E$5:E194,E194)))</f>
        <v/>
      </c>
      <c r="AF194" s="77" t="str">
        <f aca="false">IF(AND(Q194="Long",N(F194)&gt;=Benchmarks!$C$15,G194&lt;&gt;""),G194,"")</f>
        <v/>
      </c>
      <c r="AG194" s="78" t="str">
        <f aca="false">IF(Z194="Elite",4,IF(Z194="Strong",3,IF(Z194="Average",2,IF(Z194="Needs work",1,""))))</f>
        <v/>
      </c>
      <c r="AH194" s="78" t="str">
        <f aca="false">IF(AA194="Elite",4,IF(AA194="Strong",3,IF(AA194="Average",2,IF(AA194="Needs work",1,""))))</f>
        <v/>
      </c>
      <c r="AI194" s="78" t="str">
        <f aca="false">IF(AB194="Elite",4,IF(AB194="Strong",3,IF(AB194="Average",2,IF(AB194="Needs work",1,""))))</f>
        <v/>
      </c>
    </row>
    <row r="195" customFormat="false" ht="15" hidden="false" customHeight="false" outlineLevel="0" collapsed="false">
      <c r="A195" s="64"/>
      <c r="B195" s="65"/>
      <c r="C195" s="66"/>
      <c r="D195" s="67"/>
      <c r="E195" s="67"/>
      <c r="F195" s="67"/>
      <c r="G195" s="68"/>
      <c r="H195" s="69"/>
      <c r="I195" s="68"/>
      <c r="J195" s="70"/>
      <c r="K195" s="67"/>
      <c r="L195" s="67"/>
      <c r="M195" s="67"/>
      <c r="N195" s="67"/>
      <c r="O195" s="67"/>
      <c r="P195" s="71"/>
      <c r="Q195" s="72" t="str">
        <f aca="false">IF(A195="","",IF(C195&lt;&gt;"",C195,IF(AND(D195&lt;&gt;"",D195&lt;=180),"Short","Long")))</f>
        <v/>
      </c>
      <c r="R195" s="73" t="str">
        <f aca="false">IF(OR(A195="",D195=""),"",D195/60)</f>
        <v/>
      </c>
      <c r="S195" s="72" t="str">
        <f aca="false">IF(OR(A195="",B195=""),"",IF(AND(B195&gt;=DATE(2026,4,1),B195&lt;=DATE(2026,6,30)),"Yes","No"))</f>
        <v/>
      </c>
      <c r="T195" s="72" t="str">
        <f aca="false">IF(OR(A195="",B195=""),"",CHOOSE(WEEKDAY(B195),"Sun","Mon","Tue","Wed","Thu","Fri","Sat"))</f>
        <v/>
      </c>
      <c r="U195" s="72" t="str">
        <f aca="false">IF(OR(Q195&lt;&gt;"Long",D195=""),"",IF(D195&lt;480,"Under 8 min",IF(D195&lt;900,"8–15 min",IF(D195&lt;1500,"15–25 min","25+ min"))))</f>
        <v/>
      </c>
      <c r="V195" s="74" t="str">
        <f aca="false">IF(OR(A195="",N(E195)=0),"",(N(K195)+N(L195))/E195*100)</f>
        <v/>
      </c>
      <c r="W195" s="73" t="str">
        <f aca="false">IF(OR(A195="",N(E195)=0),"",N(L195)/E195*1000)</f>
        <v/>
      </c>
      <c r="X195" s="75" t="str">
        <f aca="false">IF(A195="","",N(N195)-N(O195))</f>
        <v/>
      </c>
      <c r="Y195" s="73" t="str">
        <f aca="false">IF(OR(A195="",N(E195)=0),"",X195/E195*1000)</f>
        <v/>
      </c>
      <c r="Z195" s="72" t="str">
        <f aca="false">IF(OR(A195="",G195=""),"",IF(Q195="Short","n/a (Short)",IF(G195&gt;=Benchmarks!$E$5,"Elite",IF(G195&gt;=Benchmarks!$D$5,"Strong",IF(G195&gt;=Benchmarks!$C$5,"Average","Needs work")))))</f>
        <v/>
      </c>
      <c r="AA195" s="72" t="str">
        <f aca="false">IF(OR(A195="",I195=""),"",IF(Q195="Short",IF(I195&gt;=Benchmarks!$E$7,"Elite",IF(I195&gt;=Benchmarks!$D$7,"Strong",IF(I195&gt;=Benchmarks!$C$7,"Average","Needs work"))),IF(I195&gt;=Benchmarks!$E$6,"Elite",IF(I195&gt;=Benchmarks!$D$6,"Strong",IF(I195&gt;=Benchmarks!$C$6,"Average","Needs work")))))</f>
        <v/>
      </c>
      <c r="AB195" s="72" t="str">
        <f aca="false">IF(V195="","",IF(V195&gt;=Benchmarks!$E$8,"Elite",IF(V195&gt;=Benchmarks!$D$8,"Strong",IF(V195&gt;=Benchmarks!$C$8,"Average","Needs work"))))</f>
        <v/>
      </c>
      <c r="AC195" s="73" t="str">
        <f aca="false">IF(COUNT(AG195:AI195)=0,"",AVERAGE(AG195:AI195))</f>
        <v/>
      </c>
      <c r="AD195" s="37" t="str">
        <f aca="false">IF(A195="","",IF(Q195="Short",IF(AH195="","Add % viewed to diagnose",IF(AND(AH195&gt;=3,N(AI195)&gt;=3),"Winner Short — expand it into a long-form video",IF(AH195&lt;=1,"Hook problem — viewers swipe away in the first seconds",IF(AI195=1,"Watched but no reaction — end on a question or opinion","Solid Short — keep iterating")))),IF(OR(AG195="",AH195=""),"Add CTR &amp; % viewed to diagnose",IF(AND(AG195&gt;=3,AH195&gt;=3),"WINNER — make a sequel, series or Shorts from it",IF(AND(AG195&gt;=3,AH195&lt;=2),"Click but leave — intro too slow or title over-promises",IF(AND(AG195&lt;=2,AH195&gt;=3),"Great video, weak packaging — A/B test title + thumbnail",IF(AND(AG195=1,AH195=1),"Topic miss — don't repeat this angle","Average — sharpen the hook and the title")))))))</f>
        <v/>
      </c>
      <c r="AE195" s="76" t="str">
        <f aca="false">IF(OR(A195="",N(E195)=0),"",Q195&amp;"-"&amp;(COUNTIFS($Q$5:$Q$204,Q195,$E$5:$E$204,"&gt;"&amp;E195)+COUNTIFS($Q$5:Q195,Q195,$E$5:E195,E195)))</f>
        <v/>
      </c>
      <c r="AF195" s="77" t="str">
        <f aca="false">IF(AND(Q195="Long",N(F195)&gt;=Benchmarks!$C$15,G195&lt;&gt;""),G195,"")</f>
        <v/>
      </c>
      <c r="AG195" s="78" t="str">
        <f aca="false">IF(Z195="Elite",4,IF(Z195="Strong",3,IF(Z195="Average",2,IF(Z195="Needs work",1,""))))</f>
        <v/>
      </c>
      <c r="AH195" s="78" t="str">
        <f aca="false">IF(AA195="Elite",4,IF(AA195="Strong",3,IF(AA195="Average",2,IF(AA195="Needs work",1,""))))</f>
        <v/>
      </c>
      <c r="AI195" s="78" t="str">
        <f aca="false">IF(AB195="Elite",4,IF(AB195="Strong",3,IF(AB195="Average",2,IF(AB195="Needs work",1,""))))</f>
        <v/>
      </c>
    </row>
    <row r="196" customFormat="false" ht="15" hidden="false" customHeight="false" outlineLevel="0" collapsed="false">
      <c r="A196" s="64"/>
      <c r="B196" s="65"/>
      <c r="C196" s="66"/>
      <c r="D196" s="67"/>
      <c r="E196" s="67"/>
      <c r="F196" s="67"/>
      <c r="G196" s="68"/>
      <c r="H196" s="69"/>
      <c r="I196" s="68"/>
      <c r="J196" s="70"/>
      <c r="K196" s="67"/>
      <c r="L196" s="67"/>
      <c r="M196" s="67"/>
      <c r="N196" s="67"/>
      <c r="O196" s="67"/>
      <c r="P196" s="71"/>
      <c r="Q196" s="72" t="str">
        <f aca="false">IF(A196="","",IF(C196&lt;&gt;"",C196,IF(AND(D196&lt;&gt;"",D196&lt;=180),"Short","Long")))</f>
        <v/>
      </c>
      <c r="R196" s="73" t="str">
        <f aca="false">IF(OR(A196="",D196=""),"",D196/60)</f>
        <v/>
      </c>
      <c r="S196" s="72" t="str">
        <f aca="false">IF(OR(A196="",B196=""),"",IF(AND(B196&gt;=DATE(2026,4,1),B196&lt;=DATE(2026,6,30)),"Yes","No"))</f>
        <v/>
      </c>
      <c r="T196" s="72" t="str">
        <f aca="false">IF(OR(A196="",B196=""),"",CHOOSE(WEEKDAY(B196),"Sun","Mon","Tue","Wed","Thu","Fri","Sat"))</f>
        <v/>
      </c>
      <c r="U196" s="72" t="str">
        <f aca="false">IF(OR(Q196&lt;&gt;"Long",D196=""),"",IF(D196&lt;480,"Under 8 min",IF(D196&lt;900,"8–15 min",IF(D196&lt;1500,"15–25 min","25+ min"))))</f>
        <v/>
      </c>
      <c r="V196" s="74" t="str">
        <f aca="false">IF(OR(A196="",N(E196)=0),"",(N(K196)+N(L196))/E196*100)</f>
        <v/>
      </c>
      <c r="W196" s="73" t="str">
        <f aca="false">IF(OR(A196="",N(E196)=0),"",N(L196)/E196*1000)</f>
        <v/>
      </c>
      <c r="X196" s="75" t="str">
        <f aca="false">IF(A196="","",N(N196)-N(O196))</f>
        <v/>
      </c>
      <c r="Y196" s="73" t="str">
        <f aca="false">IF(OR(A196="",N(E196)=0),"",X196/E196*1000)</f>
        <v/>
      </c>
      <c r="Z196" s="72" t="str">
        <f aca="false">IF(OR(A196="",G196=""),"",IF(Q196="Short","n/a (Short)",IF(G196&gt;=Benchmarks!$E$5,"Elite",IF(G196&gt;=Benchmarks!$D$5,"Strong",IF(G196&gt;=Benchmarks!$C$5,"Average","Needs work")))))</f>
        <v/>
      </c>
      <c r="AA196" s="72" t="str">
        <f aca="false">IF(OR(A196="",I196=""),"",IF(Q196="Short",IF(I196&gt;=Benchmarks!$E$7,"Elite",IF(I196&gt;=Benchmarks!$D$7,"Strong",IF(I196&gt;=Benchmarks!$C$7,"Average","Needs work"))),IF(I196&gt;=Benchmarks!$E$6,"Elite",IF(I196&gt;=Benchmarks!$D$6,"Strong",IF(I196&gt;=Benchmarks!$C$6,"Average","Needs work")))))</f>
        <v/>
      </c>
      <c r="AB196" s="72" t="str">
        <f aca="false">IF(V196="","",IF(V196&gt;=Benchmarks!$E$8,"Elite",IF(V196&gt;=Benchmarks!$D$8,"Strong",IF(V196&gt;=Benchmarks!$C$8,"Average","Needs work"))))</f>
        <v/>
      </c>
      <c r="AC196" s="73" t="str">
        <f aca="false">IF(COUNT(AG196:AI196)=0,"",AVERAGE(AG196:AI196))</f>
        <v/>
      </c>
      <c r="AD196" s="37" t="str">
        <f aca="false">IF(A196="","",IF(Q196="Short",IF(AH196="","Add % viewed to diagnose",IF(AND(AH196&gt;=3,N(AI196)&gt;=3),"Winner Short — expand it into a long-form video",IF(AH196&lt;=1,"Hook problem — viewers swipe away in the first seconds",IF(AI196=1,"Watched but no reaction — end on a question or opinion","Solid Short — keep iterating")))),IF(OR(AG196="",AH196=""),"Add CTR &amp; % viewed to diagnose",IF(AND(AG196&gt;=3,AH196&gt;=3),"WINNER — make a sequel, series or Shorts from it",IF(AND(AG196&gt;=3,AH196&lt;=2),"Click but leave — intro too slow or title over-promises",IF(AND(AG196&lt;=2,AH196&gt;=3),"Great video, weak packaging — A/B test title + thumbnail",IF(AND(AG196=1,AH196=1),"Topic miss — don't repeat this angle","Average — sharpen the hook and the title")))))))</f>
        <v/>
      </c>
      <c r="AE196" s="76" t="str">
        <f aca="false">IF(OR(A196="",N(E196)=0),"",Q196&amp;"-"&amp;(COUNTIFS($Q$5:$Q$204,Q196,$E$5:$E$204,"&gt;"&amp;E196)+COUNTIFS($Q$5:Q196,Q196,$E$5:E196,E196)))</f>
        <v/>
      </c>
      <c r="AF196" s="77" t="str">
        <f aca="false">IF(AND(Q196="Long",N(F196)&gt;=Benchmarks!$C$15,G196&lt;&gt;""),G196,"")</f>
        <v/>
      </c>
      <c r="AG196" s="78" t="str">
        <f aca="false">IF(Z196="Elite",4,IF(Z196="Strong",3,IF(Z196="Average",2,IF(Z196="Needs work",1,""))))</f>
        <v/>
      </c>
      <c r="AH196" s="78" t="str">
        <f aca="false">IF(AA196="Elite",4,IF(AA196="Strong",3,IF(AA196="Average",2,IF(AA196="Needs work",1,""))))</f>
        <v/>
      </c>
      <c r="AI196" s="78" t="str">
        <f aca="false">IF(AB196="Elite",4,IF(AB196="Strong",3,IF(AB196="Average",2,IF(AB196="Needs work",1,""))))</f>
        <v/>
      </c>
    </row>
    <row r="197" customFormat="false" ht="15" hidden="false" customHeight="false" outlineLevel="0" collapsed="false">
      <c r="A197" s="64"/>
      <c r="B197" s="65"/>
      <c r="C197" s="66"/>
      <c r="D197" s="67"/>
      <c r="E197" s="67"/>
      <c r="F197" s="67"/>
      <c r="G197" s="68"/>
      <c r="H197" s="69"/>
      <c r="I197" s="68"/>
      <c r="J197" s="70"/>
      <c r="K197" s="67"/>
      <c r="L197" s="67"/>
      <c r="M197" s="67"/>
      <c r="N197" s="67"/>
      <c r="O197" s="67"/>
      <c r="P197" s="71"/>
      <c r="Q197" s="72" t="str">
        <f aca="false">IF(A197="","",IF(C197&lt;&gt;"",C197,IF(AND(D197&lt;&gt;"",D197&lt;=180),"Short","Long")))</f>
        <v/>
      </c>
      <c r="R197" s="73" t="str">
        <f aca="false">IF(OR(A197="",D197=""),"",D197/60)</f>
        <v/>
      </c>
      <c r="S197" s="72" t="str">
        <f aca="false">IF(OR(A197="",B197=""),"",IF(AND(B197&gt;=DATE(2026,4,1),B197&lt;=DATE(2026,6,30)),"Yes","No"))</f>
        <v/>
      </c>
      <c r="T197" s="72" t="str">
        <f aca="false">IF(OR(A197="",B197=""),"",CHOOSE(WEEKDAY(B197),"Sun","Mon","Tue","Wed","Thu","Fri","Sat"))</f>
        <v/>
      </c>
      <c r="U197" s="72" t="str">
        <f aca="false">IF(OR(Q197&lt;&gt;"Long",D197=""),"",IF(D197&lt;480,"Under 8 min",IF(D197&lt;900,"8–15 min",IF(D197&lt;1500,"15–25 min","25+ min"))))</f>
        <v/>
      </c>
      <c r="V197" s="74" t="str">
        <f aca="false">IF(OR(A197="",N(E197)=0),"",(N(K197)+N(L197))/E197*100)</f>
        <v/>
      </c>
      <c r="W197" s="73" t="str">
        <f aca="false">IF(OR(A197="",N(E197)=0),"",N(L197)/E197*1000)</f>
        <v/>
      </c>
      <c r="X197" s="75" t="str">
        <f aca="false">IF(A197="","",N(N197)-N(O197))</f>
        <v/>
      </c>
      <c r="Y197" s="73" t="str">
        <f aca="false">IF(OR(A197="",N(E197)=0),"",X197/E197*1000)</f>
        <v/>
      </c>
      <c r="Z197" s="72" t="str">
        <f aca="false">IF(OR(A197="",G197=""),"",IF(Q197="Short","n/a (Short)",IF(G197&gt;=Benchmarks!$E$5,"Elite",IF(G197&gt;=Benchmarks!$D$5,"Strong",IF(G197&gt;=Benchmarks!$C$5,"Average","Needs work")))))</f>
        <v/>
      </c>
      <c r="AA197" s="72" t="str">
        <f aca="false">IF(OR(A197="",I197=""),"",IF(Q197="Short",IF(I197&gt;=Benchmarks!$E$7,"Elite",IF(I197&gt;=Benchmarks!$D$7,"Strong",IF(I197&gt;=Benchmarks!$C$7,"Average","Needs work"))),IF(I197&gt;=Benchmarks!$E$6,"Elite",IF(I197&gt;=Benchmarks!$D$6,"Strong",IF(I197&gt;=Benchmarks!$C$6,"Average","Needs work")))))</f>
        <v/>
      </c>
      <c r="AB197" s="72" t="str">
        <f aca="false">IF(V197="","",IF(V197&gt;=Benchmarks!$E$8,"Elite",IF(V197&gt;=Benchmarks!$D$8,"Strong",IF(V197&gt;=Benchmarks!$C$8,"Average","Needs work"))))</f>
        <v/>
      </c>
      <c r="AC197" s="73" t="str">
        <f aca="false">IF(COUNT(AG197:AI197)=0,"",AVERAGE(AG197:AI197))</f>
        <v/>
      </c>
      <c r="AD197" s="37" t="str">
        <f aca="false">IF(A197="","",IF(Q197="Short",IF(AH197="","Add % viewed to diagnose",IF(AND(AH197&gt;=3,N(AI197)&gt;=3),"Winner Short — expand it into a long-form video",IF(AH197&lt;=1,"Hook problem — viewers swipe away in the first seconds",IF(AI197=1,"Watched but no reaction — end on a question or opinion","Solid Short — keep iterating")))),IF(OR(AG197="",AH197=""),"Add CTR &amp; % viewed to diagnose",IF(AND(AG197&gt;=3,AH197&gt;=3),"WINNER — make a sequel, series or Shorts from it",IF(AND(AG197&gt;=3,AH197&lt;=2),"Click but leave — intro too slow or title over-promises",IF(AND(AG197&lt;=2,AH197&gt;=3),"Great video, weak packaging — A/B test title + thumbnail",IF(AND(AG197=1,AH197=1),"Topic miss — don't repeat this angle","Average — sharpen the hook and the title")))))))</f>
        <v/>
      </c>
      <c r="AE197" s="76" t="str">
        <f aca="false">IF(OR(A197="",N(E197)=0),"",Q197&amp;"-"&amp;(COUNTIFS($Q$5:$Q$204,Q197,$E$5:$E$204,"&gt;"&amp;E197)+COUNTIFS($Q$5:Q197,Q197,$E$5:E197,E197)))</f>
        <v/>
      </c>
      <c r="AF197" s="77" t="str">
        <f aca="false">IF(AND(Q197="Long",N(F197)&gt;=Benchmarks!$C$15,G197&lt;&gt;""),G197,"")</f>
        <v/>
      </c>
      <c r="AG197" s="78" t="str">
        <f aca="false">IF(Z197="Elite",4,IF(Z197="Strong",3,IF(Z197="Average",2,IF(Z197="Needs work",1,""))))</f>
        <v/>
      </c>
      <c r="AH197" s="78" t="str">
        <f aca="false">IF(AA197="Elite",4,IF(AA197="Strong",3,IF(AA197="Average",2,IF(AA197="Needs work",1,""))))</f>
        <v/>
      </c>
      <c r="AI197" s="78" t="str">
        <f aca="false">IF(AB197="Elite",4,IF(AB197="Strong",3,IF(AB197="Average",2,IF(AB197="Needs work",1,""))))</f>
        <v/>
      </c>
    </row>
    <row r="198" customFormat="false" ht="15" hidden="false" customHeight="false" outlineLevel="0" collapsed="false">
      <c r="A198" s="64"/>
      <c r="B198" s="65"/>
      <c r="C198" s="66"/>
      <c r="D198" s="67"/>
      <c r="E198" s="67"/>
      <c r="F198" s="67"/>
      <c r="G198" s="68"/>
      <c r="H198" s="69"/>
      <c r="I198" s="68"/>
      <c r="J198" s="70"/>
      <c r="K198" s="67"/>
      <c r="L198" s="67"/>
      <c r="M198" s="67"/>
      <c r="N198" s="67"/>
      <c r="O198" s="67"/>
      <c r="P198" s="71"/>
      <c r="Q198" s="72" t="str">
        <f aca="false">IF(A198="","",IF(C198&lt;&gt;"",C198,IF(AND(D198&lt;&gt;"",D198&lt;=180),"Short","Long")))</f>
        <v/>
      </c>
      <c r="R198" s="73" t="str">
        <f aca="false">IF(OR(A198="",D198=""),"",D198/60)</f>
        <v/>
      </c>
      <c r="S198" s="72" t="str">
        <f aca="false">IF(OR(A198="",B198=""),"",IF(AND(B198&gt;=DATE(2026,4,1),B198&lt;=DATE(2026,6,30)),"Yes","No"))</f>
        <v/>
      </c>
      <c r="T198" s="72" t="str">
        <f aca="false">IF(OR(A198="",B198=""),"",CHOOSE(WEEKDAY(B198),"Sun","Mon","Tue","Wed","Thu","Fri","Sat"))</f>
        <v/>
      </c>
      <c r="U198" s="72" t="str">
        <f aca="false">IF(OR(Q198&lt;&gt;"Long",D198=""),"",IF(D198&lt;480,"Under 8 min",IF(D198&lt;900,"8–15 min",IF(D198&lt;1500,"15–25 min","25+ min"))))</f>
        <v/>
      </c>
      <c r="V198" s="74" t="str">
        <f aca="false">IF(OR(A198="",N(E198)=0),"",(N(K198)+N(L198))/E198*100)</f>
        <v/>
      </c>
      <c r="W198" s="73" t="str">
        <f aca="false">IF(OR(A198="",N(E198)=0),"",N(L198)/E198*1000)</f>
        <v/>
      </c>
      <c r="X198" s="75" t="str">
        <f aca="false">IF(A198="","",N(N198)-N(O198))</f>
        <v/>
      </c>
      <c r="Y198" s="73" t="str">
        <f aca="false">IF(OR(A198="",N(E198)=0),"",X198/E198*1000)</f>
        <v/>
      </c>
      <c r="Z198" s="72" t="str">
        <f aca="false">IF(OR(A198="",G198=""),"",IF(Q198="Short","n/a (Short)",IF(G198&gt;=Benchmarks!$E$5,"Elite",IF(G198&gt;=Benchmarks!$D$5,"Strong",IF(G198&gt;=Benchmarks!$C$5,"Average","Needs work")))))</f>
        <v/>
      </c>
      <c r="AA198" s="72" t="str">
        <f aca="false">IF(OR(A198="",I198=""),"",IF(Q198="Short",IF(I198&gt;=Benchmarks!$E$7,"Elite",IF(I198&gt;=Benchmarks!$D$7,"Strong",IF(I198&gt;=Benchmarks!$C$7,"Average","Needs work"))),IF(I198&gt;=Benchmarks!$E$6,"Elite",IF(I198&gt;=Benchmarks!$D$6,"Strong",IF(I198&gt;=Benchmarks!$C$6,"Average","Needs work")))))</f>
        <v/>
      </c>
      <c r="AB198" s="72" t="str">
        <f aca="false">IF(V198="","",IF(V198&gt;=Benchmarks!$E$8,"Elite",IF(V198&gt;=Benchmarks!$D$8,"Strong",IF(V198&gt;=Benchmarks!$C$8,"Average","Needs work"))))</f>
        <v/>
      </c>
      <c r="AC198" s="73" t="str">
        <f aca="false">IF(COUNT(AG198:AI198)=0,"",AVERAGE(AG198:AI198))</f>
        <v/>
      </c>
      <c r="AD198" s="37" t="str">
        <f aca="false">IF(A198="","",IF(Q198="Short",IF(AH198="","Add % viewed to diagnose",IF(AND(AH198&gt;=3,N(AI198)&gt;=3),"Winner Short — expand it into a long-form video",IF(AH198&lt;=1,"Hook problem — viewers swipe away in the first seconds",IF(AI198=1,"Watched but no reaction — end on a question or opinion","Solid Short — keep iterating")))),IF(OR(AG198="",AH198=""),"Add CTR &amp; % viewed to diagnose",IF(AND(AG198&gt;=3,AH198&gt;=3),"WINNER — make a sequel, series or Shorts from it",IF(AND(AG198&gt;=3,AH198&lt;=2),"Click but leave — intro too slow or title over-promises",IF(AND(AG198&lt;=2,AH198&gt;=3),"Great video, weak packaging — A/B test title + thumbnail",IF(AND(AG198=1,AH198=1),"Topic miss — don't repeat this angle","Average — sharpen the hook and the title")))))))</f>
        <v/>
      </c>
      <c r="AE198" s="76" t="str">
        <f aca="false">IF(OR(A198="",N(E198)=0),"",Q198&amp;"-"&amp;(COUNTIFS($Q$5:$Q$204,Q198,$E$5:$E$204,"&gt;"&amp;E198)+COUNTIFS($Q$5:Q198,Q198,$E$5:E198,E198)))</f>
        <v/>
      </c>
      <c r="AF198" s="77" t="str">
        <f aca="false">IF(AND(Q198="Long",N(F198)&gt;=Benchmarks!$C$15,G198&lt;&gt;""),G198,"")</f>
        <v/>
      </c>
      <c r="AG198" s="78" t="str">
        <f aca="false">IF(Z198="Elite",4,IF(Z198="Strong",3,IF(Z198="Average",2,IF(Z198="Needs work",1,""))))</f>
        <v/>
      </c>
      <c r="AH198" s="78" t="str">
        <f aca="false">IF(AA198="Elite",4,IF(AA198="Strong",3,IF(AA198="Average",2,IF(AA198="Needs work",1,""))))</f>
        <v/>
      </c>
      <c r="AI198" s="78" t="str">
        <f aca="false">IF(AB198="Elite",4,IF(AB198="Strong",3,IF(AB198="Average",2,IF(AB198="Needs work",1,""))))</f>
        <v/>
      </c>
    </row>
    <row r="199" customFormat="false" ht="15" hidden="false" customHeight="false" outlineLevel="0" collapsed="false">
      <c r="A199" s="64"/>
      <c r="B199" s="65"/>
      <c r="C199" s="66"/>
      <c r="D199" s="67"/>
      <c r="E199" s="67"/>
      <c r="F199" s="67"/>
      <c r="G199" s="68"/>
      <c r="H199" s="69"/>
      <c r="I199" s="68"/>
      <c r="J199" s="70"/>
      <c r="K199" s="67"/>
      <c r="L199" s="67"/>
      <c r="M199" s="67"/>
      <c r="N199" s="67"/>
      <c r="O199" s="67"/>
      <c r="P199" s="71"/>
      <c r="Q199" s="72" t="str">
        <f aca="false">IF(A199="","",IF(C199&lt;&gt;"",C199,IF(AND(D199&lt;&gt;"",D199&lt;=180),"Short","Long")))</f>
        <v/>
      </c>
      <c r="R199" s="73" t="str">
        <f aca="false">IF(OR(A199="",D199=""),"",D199/60)</f>
        <v/>
      </c>
      <c r="S199" s="72" t="str">
        <f aca="false">IF(OR(A199="",B199=""),"",IF(AND(B199&gt;=DATE(2026,4,1),B199&lt;=DATE(2026,6,30)),"Yes","No"))</f>
        <v/>
      </c>
      <c r="T199" s="72" t="str">
        <f aca="false">IF(OR(A199="",B199=""),"",CHOOSE(WEEKDAY(B199),"Sun","Mon","Tue","Wed","Thu","Fri","Sat"))</f>
        <v/>
      </c>
      <c r="U199" s="72" t="str">
        <f aca="false">IF(OR(Q199&lt;&gt;"Long",D199=""),"",IF(D199&lt;480,"Under 8 min",IF(D199&lt;900,"8–15 min",IF(D199&lt;1500,"15–25 min","25+ min"))))</f>
        <v/>
      </c>
      <c r="V199" s="74" t="str">
        <f aca="false">IF(OR(A199="",N(E199)=0),"",(N(K199)+N(L199))/E199*100)</f>
        <v/>
      </c>
      <c r="W199" s="73" t="str">
        <f aca="false">IF(OR(A199="",N(E199)=0),"",N(L199)/E199*1000)</f>
        <v/>
      </c>
      <c r="X199" s="75" t="str">
        <f aca="false">IF(A199="","",N(N199)-N(O199))</f>
        <v/>
      </c>
      <c r="Y199" s="73" t="str">
        <f aca="false">IF(OR(A199="",N(E199)=0),"",X199/E199*1000)</f>
        <v/>
      </c>
      <c r="Z199" s="72" t="str">
        <f aca="false">IF(OR(A199="",G199=""),"",IF(Q199="Short","n/a (Short)",IF(G199&gt;=Benchmarks!$E$5,"Elite",IF(G199&gt;=Benchmarks!$D$5,"Strong",IF(G199&gt;=Benchmarks!$C$5,"Average","Needs work")))))</f>
        <v/>
      </c>
      <c r="AA199" s="72" t="str">
        <f aca="false">IF(OR(A199="",I199=""),"",IF(Q199="Short",IF(I199&gt;=Benchmarks!$E$7,"Elite",IF(I199&gt;=Benchmarks!$D$7,"Strong",IF(I199&gt;=Benchmarks!$C$7,"Average","Needs work"))),IF(I199&gt;=Benchmarks!$E$6,"Elite",IF(I199&gt;=Benchmarks!$D$6,"Strong",IF(I199&gt;=Benchmarks!$C$6,"Average","Needs work")))))</f>
        <v/>
      </c>
      <c r="AB199" s="72" t="str">
        <f aca="false">IF(V199="","",IF(V199&gt;=Benchmarks!$E$8,"Elite",IF(V199&gt;=Benchmarks!$D$8,"Strong",IF(V199&gt;=Benchmarks!$C$8,"Average","Needs work"))))</f>
        <v/>
      </c>
      <c r="AC199" s="73" t="str">
        <f aca="false">IF(COUNT(AG199:AI199)=0,"",AVERAGE(AG199:AI199))</f>
        <v/>
      </c>
      <c r="AD199" s="37" t="str">
        <f aca="false">IF(A199="","",IF(Q199="Short",IF(AH199="","Add % viewed to diagnose",IF(AND(AH199&gt;=3,N(AI199)&gt;=3),"Winner Short — expand it into a long-form video",IF(AH199&lt;=1,"Hook problem — viewers swipe away in the first seconds",IF(AI199=1,"Watched but no reaction — end on a question or opinion","Solid Short — keep iterating")))),IF(OR(AG199="",AH199=""),"Add CTR &amp; % viewed to diagnose",IF(AND(AG199&gt;=3,AH199&gt;=3),"WINNER — make a sequel, series or Shorts from it",IF(AND(AG199&gt;=3,AH199&lt;=2),"Click but leave — intro too slow or title over-promises",IF(AND(AG199&lt;=2,AH199&gt;=3),"Great video, weak packaging — A/B test title + thumbnail",IF(AND(AG199=1,AH199=1),"Topic miss — don't repeat this angle","Average — sharpen the hook and the title")))))))</f>
        <v/>
      </c>
      <c r="AE199" s="76" t="str">
        <f aca="false">IF(OR(A199="",N(E199)=0),"",Q199&amp;"-"&amp;(COUNTIFS($Q$5:$Q$204,Q199,$E$5:$E$204,"&gt;"&amp;E199)+COUNTIFS($Q$5:Q199,Q199,$E$5:E199,E199)))</f>
        <v/>
      </c>
      <c r="AF199" s="77" t="str">
        <f aca="false">IF(AND(Q199="Long",N(F199)&gt;=Benchmarks!$C$15,G199&lt;&gt;""),G199,"")</f>
        <v/>
      </c>
      <c r="AG199" s="78" t="str">
        <f aca="false">IF(Z199="Elite",4,IF(Z199="Strong",3,IF(Z199="Average",2,IF(Z199="Needs work",1,""))))</f>
        <v/>
      </c>
      <c r="AH199" s="78" t="str">
        <f aca="false">IF(AA199="Elite",4,IF(AA199="Strong",3,IF(AA199="Average",2,IF(AA199="Needs work",1,""))))</f>
        <v/>
      </c>
      <c r="AI199" s="78" t="str">
        <f aca="false">IF(AB199="Elite",4,IF(AB199="Strong",3,IF(AB199="Average",2,IF(AB199="Needs work",1,""))))</f>
        <v/>
      </c>
    </row>
    <row r="200" customFormat="false" ht="15" hidden="false" customHeight="false" outlineLevel="0" collapsed="false">
      <c r="A200" s="64"/>
      <c r="B200" s="65"/>
      <c r="C200" s="66"/>
      <c r="D200" s="67"/>
      <c r="E200" s="67"/>
      <c r="F200" s="67"/>
      <c r="G200" s="68"/>
      <c r="H200" s="69"/>
      <c r="I200" s="68"/>
      <c r="J200" s="70"/>
      <c r="K200" s="67"/>
      <c r="L200" s="67"/>
      <c r="M200" s="67"/>
      <c r="N200" s="67"/>
      <c r="O200" s="67"/>
      <c r="P200" s="71"/>
      <c r="Q200" s="72" t="str">
        <f aca="false">IF(A200="","",IF(C200&lt;&gt;"",C200,IF(AND(D200&lt;&gt;"",D200&lt;=180),"Short","Long")))</f>
        <v/>
      </c>
      <c r="R200" s="73" t="str">
        <f aca="false">IF(OR(A200="",D200=""),"",D200/60)</f>
        <v/>
      </c>
      <c r="S200" s="72" t="str">
        <f aca="false">IF(OR(A200="",B200=""),"",IF(AND(B200&gt;=DATE(2026,4,1),B200&lt;=DATE(2026,6,30)),"Yes","No"))</f>
        <v/>
      </c>
      <c r="T200" s="72" t="str">
        <f aca="false">IF(OR(A200="",B200=""),"",CHOOSE(WEEKDAY(B200),"Sun","Mon","Tue","Wed","Thu","Fri","Sat"))</f>
        <v/>
      </c>
      <c r="U200" s="72" t="str">
        <f aca="false">IF(OR(Q200&lt;&gt;"Long",D200=""),"",IF(D200&lt;480,"Under 8 min",IF(D200&lt;900,"8–15 min",IF(D200&lt;1500,"15–25 min","25+ min"))))</f>
        <v/>
      </c>
      <c r="V200" s="74" t="str">
        <f aca="false">IF(OR(A200="",N(E200)=0),"",(N(K200)+N(L200))/E200*100)</f>
        <v/>
      </c>
      <c r="W200" s="73" t="str">
        <f aca="false">IF(OR(A200="",N(E200)=0),"",N(L200)/E200*1000)</f>
        <v/>
      </c>
      <c r="X200" s="75" t="str">
        <f aca="false">IF(A200="","",N(N200)-N(O200))</f>
        <v/>
      </c>
      <c r="Y200" s="73" t="str">
        <f aca="false">IF(OR(A200="",N(E200)=0),"",X200/E200*1000)</f>
        <v/>
      </c>
      <c r="Z200" s="72" t="str">
        <f aca="false">IF(OR(A200="",G200=""),"",IF(Q200="Short","n/a (Short)",IF(G200&gt;=Benchmarks!$E$5,"Elite",IF(G200&gt;=Benchmarks!$D$5,"Strong",IF(G200&gt;=Benchmarks!$C$5,"Average","Needs work")))))</f>
        <v/>
      </c>
      <c r="AA200" s="72" t="str">
        <f aca="false">IF(OR(A200="",I200=""),"",IF(Q200="Short",IF(I200&gt;=Benchmarks!$E$7,"Elite",IF(I200&gt;=Benchmarks!$D$7,"Strong",IF(I200&gt;=Benchmarks!$C$7,"Average","Needs work"))),IF(I200&gt;=Benchmarks!$E$6,"Elite",IF(I200&gt;=Benchmarks!$D$6,"Strong",IF(I200&gt;=Benchmarks!$C$6,"Average","Needs work")))))</f>
        <v/>
      </c>
      <c r="AB200" s="72" t="str">
        <f aca="false">IF(V200="","",IF(V200&gt;=Benchmarks!$E$8,"Elite",IF(V200&gt;=Benchmarks!$D$8,"Strong",IF(V200&gt;=Benchmarks!$C$8,"Average","Needs work"))))</f>
        <v/>
      </c>
      <c r="AC200" s="73" t="str">
        <f aca="false">IF(COUNT(AG200:AI200)=0,"",AVERAGE(AG200:AI200))</f>
        <v/>
      </c>
      <c r="AD200" s="37" t="str">
        <f aca="false">IF(A200="","",IF(Q200="Short",IF(AH200="","Add % viewed to diagnose",IF(AND(AH200&gt;=3,N(AI200)&gt;=3),"Winner Short — expand it into a long-form video",IF(AH200&lt;=1,"Hook problem — viewers swipe away in the first seconds",IF(AI200=1,"Watched but no reaction — end on a question or opinion","Solid Short — keep iterating")))),IF(OR(AG200="",AH200=""),"Add CTR &amp; % viewed to diagnose",IF(AND(AG200&gt;=3,AH200&gt;=3),"WINNER — make a sequel, series or Shorts from it",IF(AND(AG200&gt;=3,AH200&lt;=2),"Click but leave — intro too slow or title over-promises",IF(AND(AG200&lt;=2,AH200&gt;=3),"Great video, weak packaging — A/B test title + thumbnail",IF(AND(AG200=1,AH200=1),"Topic miss — don't repeat this angle","Average — sharpen the hook and the title")))))))</f>
        <v/>
      </c>
      <c r="AE200" s="76" t="str">
        <f aca="false">IF(OR(A200="",N(E200)=0),"",Q200&amp;"-"&amp;(COUNTIFS($Q$5:$Q$204,Q200,$E$5:$E$204,"&gt;"&amp;E200)+COUNTIFS($Q$5:Q200,Q200,$E$5:E200,E200)))</f>
        <v/>
      </c>
      <c r="AF200" s="77" t="str">
        <f aca="false">IF(AND(Q200="Long",N(F200)&gt;=Benchmarks!$C$15,G200&lt;&gt;""),G200,"")</f>
        <v/>
      </c>
      <c r="AG200" s="78" t="str">
        <f aca="false">IF(Z200="Elite",4,IF(Z200="Strong",3,IF(Z200="Average",2,IF(Z200="Needs work",1,""))))</f>
        <v/>
      </c>
      <c r="AH200" s="78" t="str">
        <f aca="false">IF(AA200="Elite",4,IF(AA200="Strong",3,IF(AA200="Average",2,IF(AA200="Needs work",1,""))))</f>
        <v/>
      </c>
      <c r="AI200" s="78" t="str">
        <f aca="false">IF(AB200="Elite",4,IF(AB200="Strong",3,IF(AB200="Average",2,IF(AB200="Needs work",1,""))))</f>
        <v/>
      </c>
    </row>
    <row r="201" customFormat="false" ht="15" hidden="false" customHeight="false" outlineLevel="0" collapsed="false">
      <c r="A201" s="64"/>
      <c r="B201" s="65"/>
      <c r="C201" s="66"/>
      <c r="D201" s="67"/>
      <c r="E201" s="67"/>
      <c r="F201" s="67"/>
      <c r="G201" s="68"/>
      <c r="H201" s="69"/>
      <c r="I201" s="68"/>
      <c r="J201" s="70"/>
      <c r="K201" s="67"/>
      <c r="L201" s="67"/>
      <c r="M201" s="67"/>
      <c r="N201" s="67"/>
      <c r="O201" s="67"/>
      <c r="P201" s="71"/>
      <c r="Q201" s="72" t="str">
        <f aca="false">IF(A201="","",IF(C201&lt;&gt;"",C201,IF(AND(D201&lt;&gt;"",D201&lt;=180),"Short","Long")))</f>
        <v/>
      </c>
      <c r="R201" s="73" t="str">
        <f aca="false">IF(OR(A201="",D201=""),"",D201/60)</f>
        <v/>
      </c>
      <c r="S201" s="72" t="str">
        <f aca="false">IF(OR(A201="",B201=""),"",IF(AND(B201&gt;=DATE(2026,4,1),B201&lt;=DATE(2026,6,30)),"Yes","No"))</f>
        <v/>
      </c>
      <c r="T201" s="72" t="str">
        <f aca="false">IF(OR(A201="",B201=""),"",CHOOSE(WEEKDAY(B201),"Sun","Mon","Tue","Wed","Thu","Fri","Sat"))</f>
        <v/>
      </c>
      <c r="U201" s="72" t="str">
        <f aca="false">IF(OR(Q201&lt;&gt;"Long",D201=""),"",IF(D201&lt;480,"Under 8 min",IF(D201&lt;900,"8–15 min",IF(D201&lt;1500,"15–25 min","25+ min"))))</f>
        <v/>
      </c>
      <c r="V201" s="74" t="str">
        <f aca="false">IF(OR(A201="",N(E201)=0),"",(N(K201)+N(L201))/E201*100)</f>
        <v/>
      </c>
      <c r="W201" s="73" t="str">
        <f aca="false">IF(OR(A201="",N(E201)=0),"",N(L201)/E201*1000)</f>
        <v/>
      </c>
      <c r="X201" s="75" t="str">
        <f aca="false">IF(A201="","",N(N201)-N(O201))</f>
        <v/>
      </c>
      <c r="Y201" s="73" t="str">
        <f aca="false">IF(OR(A201="",N(E201)=0),"",X201/E201*1000)</f>
        <v/>
      </c>
      <c r="Z201" s="72" t="str">
        <f aca="false">IF(OR(A201="",G201=""),"",IF(Q201="Short","n/a (Short)",IF(G201&gt;=Benchmarks!$E$5,"Elite",IF(G201&gt;=Benchmarks!$D$5,"Strong",IF(G201&gt;=Benchmarks!$C$5,"Average","Needs work")))))</f>
        <v/>
      </c>
      <c r="AA201" s="72" t="str">
        <f aca="false">IF(OR(A201="",I201=""),"",IF(Q201="Short",IF(I201&gt;=Benchmarks!$E$7,"Elite",IF(I201&gt;=Benchmarks!$D$7,"Strong",IF(I201&gt;=Benchmarks!$C$7,"Average","Needs work"))),IF(I201&gt;=Benchmarks!$E$6,"Elite",IF(I201&gt;=Benchmarks!$D$6,"Strong",IF(I201&gt;=Benchmarks!$C$6,"Average","Needs work")))))</f>
        <v/>
      </c>
      <c r="AB201" s="72" t="str">
        <f aca="false">IF(V201="","",IF(V201&gt;=Benchmarks!$E$8,"Elite",IF(V201&gt;=Benchmarks!$D$8,"Strong",IF(V201&gt;=Benchmarks!$C$8,"Average","Needs work"))))</f>
        <v/>
      </c>
      <c r="AC201" s="73" t="str">
        <f aca="false">IF(COUNT(AG201:AI201)=0,"",AVERAGE(AG201:AI201))</f>
        <v/>
      </c>
      <c r="AD201" s="37" t="str">
        <f aca="false">IF(A201="","",IF(Q201="Short",IF(AH201="","Add % viewed to diagnose",IF(AND(AH201&gt;=3,N(AI201)&gt;=3),"Winner Short — expand it into a long-form video",IF(AH201&lt;=1,"Hook problem — viewers swipe away in the first seconds",IF(AI201=1,"Watched but no reaction — end on a question or opinion","Solid Short — keep iterating")))),IF(OR(AG201="",AH201=""),"Add CTR &amp; % viewed to diagnose",IF(AND(AG201&gt;=3,AH201&gt;=3),"WINNER — make a sequel, series or Shorts from it",IF(AND(AG201&gt;=3,AH201&lt;=2),"Click but leave — intro too slow or title over-promises",IF(AND(AG201&lt;=2,AH201&gt;=3),"Great video, weak packaging — A/B test title + thumbnail",IF(AND(AG201=1,AH201=1),"Topic miss — don't repeat this angle","Average — sharpen the hook and the title")))))))</f>
        <v/>
      </c>
      <c r="AE201" s="76" t="str">
        <f aca="false">IF(OR(A201="",N(E201)=0),"",Q201&amp;"-"&amp;(COUNTIFS($Q$5:$Q$204,Q201,$E$5:$E$204,"&gt;"&amp;E201)+COUNTIFS($Q$5:Q201,Q201,$E$5:E201,E201)))</f>
        <v/>
      </c>
      <c r="AF201" s="77" t="str">
        <f aca="false">IF(AND(Q201="Long",N(F201)&gt;=Benchmarks!$C$15,G201&lt;&gt;""),G201,"")</f>
        <v/>
      </c>
      <c r="AG201" s="78" t="str">
        <f aca="false">IF(Z201="Elite",4,IF(Z201="Strong",3,IF(Z201="Average",2,IF(Z201="Needs work",1,""))))</f>
        <v/>
      </c>
      <c r="AH201" s="78" t="str">
        <f aca="false">IF(AA201="Elite",4,IF(AA201="Strong",3,IF(AA201="Average",2,IF(AA201="Needs work",1,""))))</f>
        <v/>
      </c>
      <c r="AI201" s="78" t="str">
        <f aca="false">IF(AB201="Elite",4,IF(AB201="Strong",3,IF(AB201="Average",2,IF(AB201="Needs work",1,""))))</f>
        <v/>
      </c>
    </row>
    <row r="202" customFormat="false" ht="15" hidden="false" customHeight="false" outlineLevel="0" collapsed="false">
      <c r="A202" s="64"/>
      <c r="B202" s="65"/>
      <c r="C202" s="66"/>
      <c r="D202" s="67"/>
      <c r="E202" s="67"/>
      <c r="F202" s="67"/>
      <c r="G202" s="68"/>
      <c r="H202" s="69"/>
      <c r="I202" s="68"/>
      <c r="J202" s="70"/>
      <c r="K202" s="67"/>
      <c r="L202" s="67"/>
      <c r="M202" s="67"/>
      <c r="N202" s="67"/>
      <c r="O202" s="67"/>
      <c r="P202" s="71"/>
      <c r="Q202" s="72" t="str">
        <f aca="false">IF(A202="","",IF(C202&lt;&gt;"",C202,IF(AND(D202&lt;&gt;"",D202&lt;=180),"Short","Long")))</f>
        <v/>
      </c>
      <c r="R202" s="73" t="str">
        <f aca="false">IF(OR(A202="",D202=""),"",D202/60)</f>
        <v/>
      </c>
      <c r="S202" s="72" t="str">
        <f aca="false">IF(OR(A202="",B202=""),"",IF(AND(B202&gt;=DATE(2026,4,1),B202&lt;=DATE(2026,6,30)),"Yes","No"))</f>
        <v/>
      </c>
      <c r="T202" s="72" t="str">
        <f aca="false">IF(OR(A202="",B202=""),"",CHOOSE(WEEKDAY(B202),"Sun","Mon","Tue","Wed","Thu","Fri","Sat"))</f>
        <v/>
      </c>
      <c r="U202" s="72" t="str">
        <f aca="false">IF(OR(Q202&lt;&gt;"Long",D202=""),"",IF(D202&lt;480,"Under 8 min",IF(D202&lt;900,"8–15 min",IF(D202&lt;1500,"15–25 min","25+ min"))))</f>
        <v/>
      </c>
      <c r="V202" s="74" t="str">
        <f aca="false">IF(OR(A202="",N(E202)=0),"",(N(K202)+N(L202))/E202*100)</f>
        <v/>
      </c>
      <c r="W202" s="73" t="str">
        <f aca="false">IF(OR(A202="",N(E202)=0),"",N(L202)/E202*1000)</f>
        <v/>
      </c>
      <c r="X202" s="75" t="str">
        <f aca="false">IF(A202="","",N(N202)-N(O202))</f>
        <v/>
      </c>
      <c r="Y202" s="73" t="str">
        <f aca="false">IF(OR(A202="",N(E202)=0),"",X202/E202*1000)</f>
        <v/>
      </c>
      <c r="Z202" s="72" t="str">
        <f aca="false">IF(OR(A202="",G202=""),"",IF(Q202="Short","n/a (Short)",IF(G202&gt;=Benchmarks!$E$5,"Elite",IF(G202&gt;=Benchmarks!$D$5,"Strong",IF(G202&gt;=Benchmarks!$C$5,"Average","Needs work")))))</f>
        <v/>
      </c>
      <c r="AA202" s="72" t="str">
        <f aca="false">IF(OR(A202="",I202=""),"",IF(Q202="Short",IF(I202&gt;=Benchmarks!$E$7,"Elite",IF(I202&gt;=Benchmarks!$D$7,"Strong",IF(I202&gt;=Benchmarks!$C$7,"Average","Needs work"))),IF(I202&gt;=Benchmarks!$E$6,"Elite",IF(I202&gt;=Benchmarks!$D$6,"Strong",IF(I202&gt;=Benchmarks!$C$6,"Average","Needs work")))))</f>
        <v/>
      </c>
      <c r="AB202" s="72" t="str">
        <f aca="false">IF(V202="","",IF(V202&gt;=Benchmarks!$E$8,"Elite",IF(V202&gt;=Benchmarks!$D$8,"Strong",IF(V202&gt;=Benchmarks!$C$8,"Average","Needs work"))))</f>
        <v/>
      </c>
      <c r="AC202" s="73" t="str">
        <f aca="false">IF(COUNT(AG202:AI202)=0,"",AVERAGE(AG202:AI202))</f>
        <v/>
      </c>
      <c r="AD202" s="37" t="str">
        <f aca="false">IF(A202="","",IF(Q202="Short",IF(AH202="","Add % viewed to diagnose",IF(AND(AH202&gt;=3,N(AI202)&gt;=3),"Winner Short — expand it into a long-form video",IF(AH202&lt;=1,"Hook problem — viewers swipe away in the first seconds",IF(AI202=1,"Watched but no reaction — end on a question or opinion","Solid Short — keep iterating")))),IF(OR(AG202="",AH202=""),"Add CTR &amp; % viewed to diagnose",IF(AND(AG202&gt;=3,AH202&gt;=3),"WINNER — make a sequel, series or Shorts from it",IF(AND(AG202&gt;=3,AH202&lt;=2),"Click but leave — intro too slow or title over-promises",IF(AND(AG202&lt;=2,AH202&gt;=3),"Great video, weak packaging — A/B test title + thumbnail",IF(AND(AG202=1,AH202=1),"Topic miss — don't repeat this angle","Average — sharpen the hook and the title")))))))</f>
        <v/>
      </c>
      <c r="AE202" s="76" t="str">
        <f aca="false">IF(OR(A202="",N(E202)=0),"",Q202&amp;"-"&amp;(COUNTIFS($Q$5:$Q$204,Q202,$E$5:$E$204,"&gt;"&amp;E202)+COUNTIFS($Q$5:Q202,Q202,$E$5:E202,E202)))</f>
        <v/>
      </c>
      <c r="AF202" s="77" t="str">
        <f aca="false">IF(AND(Q202="Long",N(F202)&gt;=Benchmarks!$C$15,G202&lt;&gt;""),G202,"")</f>
        <v/>
      </c>
      <c r="AG202" s="78" t="str">
        <f aca="false">IF(Z202="Elite",4,IF(Z202="Strong",3,IF(Z202="Average",2,IF(Z202="Needs work",1,""))))</f>
        <v/>
      </c>
      <c r="AH202" s="78" t="str">
        <f aca="false">IF(AA202="Elite",4,IF(AA202="Strong",3,IF(AA202="Average",2,IF(AA202="Needs work",1,""))))</f>
        <v/>
      </c>
      <c r="AI202" s="78" t="str">
        <f aca="false">IF(AB202="Elite",4,IF(AB202="Strong",3,IF(AB202="Average",2,IF(AB202="Needs work",1,""))))</f>
        <v/>
      </c>
    </row>
    <row r="203" customFormat="false" ht="15" hidden="false" customHeight="false" outlineLevel="0" collapsed="false">
      <c r="A203" s="64"/>
      <c r="B203" s="65"/>
      <c r="C203" s="66"/>
      <c r="D203" s="67"/>
      <c r="E203" s="67"/>
      <c r="F203" s="67"/>
      <c r="G203" s="68"/>
      <c r="H203" s="69"/>
      <c r="I203" s="68"/>
      <c r="J203" s="70"/>
      <c r="K203" s="67"/>
      <c r="L203" s="67"/>
      <c r="M203" s="67"/>
      <c r="N203" s="67"/>
      <c r="O203" s="67"/>
      <c r="P203" s="71"/>
      <c r="Q203" s="72" t="str">
        <f aca="false">IF(A203="","",IF(C203&lt;&gt;"",C203,IF(AND(D203&lt;&gt;"",D203&lt;=180),"Short","Long")))</f>
        <v/>
      </c>
      <c r="R203" s="73" t="str">
        <f aca="false">IF(OR(A203="",D203=""),"",D203/60)</f>
        <v/>
      </c>
      <c r="S203" s="72" t="str">
        <f aca="false">IF(OR(A203="",B203=""),"",IF(AND(B203&gt;=DATE(2026,4,1),B203&lt;=DATE(2026,6,30)),"Yes","No"))</f>
        <v/>
      </c>
      <c r="T203" s="72" t="str">
        <f aca="false">IF(OR(A203="",B203=""),"",CHOOSE(WEEKDAY(B203),"Sun","Mon","Tue","Wed","Thu","Fri","Sat"))</f>
        <v/>
      </c>
      <c r="U203" s="72" t="str">
        <f aca="false">IF(OR(Q203&lt;&gt;"Long",D203=""),"",IF(D203&lt;480,"Under 8 min",IF(D203&lt;900,"8–15 min",IF(D203&lt;1500,"15–25 min","25+ min"))))</f>
        <v/>
      </c>
      <c r="V203" s="74" t="str">
        <f aca="false">IF(OR(A203="",N(E203)=0),"",(N(K203)+N(L203))/E203*100)</f>
        <v/>
      </c>
      <c r="W203" s="73" t="str">
        <f aca="false">IF(OR(A203="",N(E203)=0),"",N(L203)/E203*1000)</f>
        <v/>
      </c>
      <c r="X203" s="75" t="str">
        <f aca="false">IF(A203="","",N(N203)-N(O203))</f>
        <v/>
      </c>
      <c r="Y203" s="73" t="str">
        <f aca="false">IF(OR(A203="",N(E203)=0),"",X203/E203*1000)</f>
        <v/>
      </c>
      <c r="Z203" s="72" t="str">
        <f aca="false">IF(OR(A203="",G203=""),"",IF(Q203="Short","n/a (Short)",IF(G203&gt;=Benchmarks!$E$5,"Elite",IF(G203&gt;=Benchmarks!$D$5,"Strong",IF(G203&gt;=Benchmarks!$C$5,"Average","Needs work")))))</f>
        <v/>
      </c>
      <c r="AA203" s="72" t="str">
        <f aca="false">IF(OR(A203="",I203=""),"",IF(Q203="Short",IF(I203&gt;=Benchmarks!$E$7,"Elite",IF(I203&gt;=Benchmarks!$D$7,"Strong",IF(I203&gt;=Benchmarks!$C$7,"Average","Needs work"))),IF(I203&gt;=Benchmarks!$E$6,"Elite",IF(I203&gt;=Benchmarks!$D$6,"Strong",IF(I203&gt;=Benchmarks!$C$6,"Average","Needs work")))))</f>
        <v/>
      </c>
      <c r="AB203" s="72" t="str">
        <f aca="false">IF(V203="","",IF(V203&gt;=Benchmarks!$E$8,"Elite",IF(V203&gt;=Benchmarks!$D$8,"Strong",IF(V203&gt;=Benchmarks!$C$8,"Average","Needs work"))))</f>
        <v/>
      </c>
      <c r="AC203" s="73" t="str">
        <f aca="false">IF(COUNT(AG203:AI203)=0,"",AVERAGE(AG203:AI203))</f>
        <v/>
      </c>
      <c r="AD203" s="37" t="str">
        <f aca="false">IF(A203="","",IF(Q203="Short",IF(AH203="","Add % viewed to diagnose",IF(AND(AH203&gt;=3,N(AI203)&gt;=3),"Winner Short — expand it into a long-form video",IF(AH203&lt;=1,"Hook problem — viewers swipe away in the first seconds",IF(AI203=1,"Watched but no reaction — end on a question or opinion","Solid Short — keep iterating")))),IF(OR(AG203="",AH203=""),"Add CTR &amp; % viewed to diagnose",IF(AND(AG203&gt;=3,AH203&gt;=3),"WINNER — make a sequel, series or Shorts from it",IF(AND(AG203&gt;=3,AH203&lt;=2),"Click but leave — intro too slow or title over-promises",IF(AND(AG203&lt;=2,AH203&gt;=3),"Great video, weak packaging — A/B test title + thumbnail",IF(AND(AG203=1,AH203=1),"Topic miss — don't repeat this angle","Average — sharpen the hook and the title")))))))</f>
        <v/>
      </c>
      <c r="AE203" s="76" t="str">
        <f aca="false">IF(OR(A203="",N(E203)=0),"",Q203&amp;"-"&amp;(COUNTIFS($Q$5:$Q$204,Q203,$E$5:$E$204,"&gt;"&amp;E203)+COUNTIFS($Q$5:Q203,Q203,$E$5:E203,E203)))</f>
        <v/>
      </c>
      <c r="AF203" s="77" t="str">
        <f aca="false">IF(AND(Q203="Long",N(F203)&gt;=Benchmarks!$C$15,G203&lt;&gt;""),G203,"")</f>
        <v/>
      </c>
      <c r="AG203" s="78" t="str">
        <f aca="false">IF(Z203="Elite",4,IF(Z203="Strong",3,IF(Z203="Average",2,IF(Z203="Needs work",1,""))))</f>
        <v/>
      </c>
      <c r="AH203" s="78" t="str">
        <f aca="false">IF(AA203="Elite",4,IF(AA203="Strong",3,IF(AA203="Average",2,IF(AA203="Needs work",1,""))))</f>
        <v/>
      </c>
      <c r="AI203" s="78" t="str">
        <f aca="false">IF(AB203="Elite",4,IF(AB203="Strong",3,IF(AB203="Average",2,IF(AB203="Needs work",1,""))))</f>
        <v/>
      </c>
    </row>
    <row r="204" customFormat="false" ht="15" hidden="false" customHeight="false" outlineLevel="0" collapsed="false">
      <c r="A204" s="64"/>
      <c r="B204" s="65"/>
      <c r="C204" s="66"/>
      <c r="D204" s="67"/>
      <c r="E204" s="67"/>
      <c r="F204" s="67"/>
      <c r="G204" s="68"/>
      <c r="H204" s="69"/>
      <c r="I204" s="68"/>
      <c r="J204" s="70"/>
      <c r="K204" s="67"/>
      <c r="L204" s="67"/>
      <c r="M204" s="67"/>
      <c r="N204" s="67"/>
      <c r="O204" s="67"/>
      <c r="P204" s="71"/>
      <c r="Q204" s="72" t="str">
        <f aca="false">IF(A204="","",IF(C204&lt;&gt;"",C204,IF(AND(D204&lt;&gt;"",D204&lt;=180),"Short","Long")))</f>
        <v/>
      </c>
      <c r="R204" s="73" t="str">
        <f aca="false">IF(OR(A204="",D204=""),"",D204/60)</f>
        <v/>
      </c>
      <c r="S204" s="72" t="str">
        <f aca="false">IF(OR(A204="",B204=""),"",IF(AND(B204&gt;=DATE(2026,4,1),B204&lt;=DATE(2026,6,30)),"Yes","No"))</f>
        <v/>
      </c>
      <c r="T204" s="72" t="str">
        <f aca="false">IF(OR(A204="",B204=""),"",CHOOSE(WEEKDAY(B204),"Sun","Mon","Tue","Wed","Thu","Fri","Sat"))</f>
        <v/>
      </c>
      <c r="U204" s="72" t="str">
        <f aca="false">IF(OR(Q204&lt;&gt;"Long",D204=""),"",IF(D204&lt;480,"Under 8 min",IF(D204&lt;900,"8–15 min",IF(D204&lt;1500,"15–25 min","25+ min"))))</f>
        <v/>
      </c>
      <c r="V204" s="74" t="str">
        <f aca="false">IF(OR(A204="",N(E204)=0),"",(N(K204)+N(L204))/E204*100)</f>
        <v/>
      </c>
      <c r="W204" s="73" t="str">
        <f aca="false">IF(OR(A204="",N(E204)=0),"",N(L204)/E204*1000)</f>
        <v/>
      </c>
      <c r="X204" s="75" t="str">
        <f aca="false">IF(A204="","",N(N204)-N(O204))</f>
        <v/>
      </c>
      <c r="Y204" s="73" t="str">
        <f aca="false">IF(OR(A204="",N(E204)=0),"",X204/E204*1000)</f>
        <v/>
      </c>
      <c r="Z204" s="72" t="str">
        <f aca="false">IF(OR(A204="",G204=""),"",IF(Q204="Short","n/a (Short)",IF(G204&gt;=Benchmarks!$E$5,"Elite",IF(G204&gt;=Benchmarks!$D$5,"Strong",IF(G204&gt;=Benchmarks!$C$5,"Average","Needs work")))))</f>
        <v/>
      </c>
      <c r="AA204" s="72" t="str">
        <f aca="false">IF(OR(A204="",I204=""),"",IF(Q204="Short",IF(I204&gt;=Benchmarks!$E$7,"Elite",IF(I204&gt;=Benchmarks!$D$7,"Strong",IF(I204&gt;=Benchmarks!$C$7,"Average","Needs work"))),IF(I204&gt;=Benchmarks!$E$6,"Elite",IF(I204&gt;=Benchmarks!$D$6,"Strong",IF(I204&gt;=Benchmarks!$C$6,"Average","Needs work")))))</f>
        <v/>
      </c>
      <c r="AB204" s="72" t="str">
        <f aca="false">IF(V204="","",IF(V204&gt;=Benchmarks!$E$8,"Elite",IF(V204&gt;=Benchmarks!$D$8,"Strong",IF(V204&gt;=Benchmarks!$C$8,"Average","Needs work"))))</f>
        <v/>
      </c>
      <c r="AC204" s="73" t="str">
        <f aca="false">IF(COUNT(AG204:AI204)=0,"",AVERAGE(AG204:AI204))</f>
        <v/>
      </c>
      <c r="AD204" s="37" t="str">
        <f aca="false">IF(A204="","",IF(Q204="Short",IF(AH204="","Add % viewed to diagnose",IF(AND(AH204&gt;=3,N(AI204)&gt;=3),"Winner Short — expand it into a long-form video",IF(AH204&lt;=1,"Hook problem — viewers swipe away in the first seconds",IF(AI204=1,"Watched but no reaction — end on a question or opinion","Solid Short — keep iterating")))),IF(OR(AG204="",AH204=""),"Add CTR &amp; % viewed to diagnose",IF(AND(AG204&gt;=3,AH204&gt;=3),"WINNER — make a sequel, series or Shorts from it",IF(AND(AG204&gt;=3,AH204&lt;=2),"Click but leave — intro too slow or title over-promises",IF(AND(AG204&lt;=2,AH204&gt;=3),"Great video, weak packaging — A/B test title + thumbnail",IF(AND(AG204=1,AH204=1),"Topic miss — don't repeat this angle","Average — sharpen the hook and the title")))))))</f>
        <v/>
      </c>
      <c r="AE204" s="76" t="str">
        <f aca="false">IF(OR(A204="",N(E204)=0),"",Q204&amp;"-"&amp;(COUNTIFS($Q$5:$Q$204,Q204,$E$5:$E$204,"&gt;"&amp;E204)+COUNTIFS($Q$5:Q204,Q204,$E$5:E204,E204)))</f>
        <v/>
      </c>
      <c r="AF204" s="77" t="str">
        <f aca="false">IF(AND(Q204="Long",N(F204)&gt;=Benchmarks!$C$15,G204&lt;&gt;""),G204,"")</f>
        <v/>
      </c>
      <c r="AG204" s="78" t="str">
        <f aca="false">IF(Z204="Elite",4,IF(Z204="Strong",3,IF(Z204="Average",2,IF(Z204="Needs work",1,""))))</f>
        <v/>
      </c>
      <c r="AH204" s="78" t="str">
        <f aca="false">IF(AA204="Elite",4,IF(AA204="Strong",3,IF(AA204="Average",2,IF(AA204="Needs work",1,""))))</f>
        <v/>
      </c>
      <c r="AI204" s="78" t="str">
        <f aca="false">IF(AB204="Elite",4,IF(AB204="Strong",3,IF(AB204="Average",2,IF(AB204="Needs work",1,""))))</f>
        <v/>
      </c>
    </row>
  </sheetData>
  <autoFilter ref="A4:AI204"/>
  <mergeCells count="3">
    <mergeCell ref="A1:P1"/>
    <mergeCell ref="A3:P3"/>
    <mergeCell ref="Q3:AF3"/>
  </mergeCells>
  <conditionalFormatting sqref="Z5:AB204">
    <cfRule type="expression" priority="2" aboveAverage="0" equalAverage="0" bottom="0" percent="0" rank="0" text="" dxfId="0">
      <formula>ISNUMBER(SEARCH("Needs work",Z5))</formula>
    </cfRule>
    <cfRule type="expression" priority="3" aboveAverage="0" equalAverage="0" bottom="0" percent="0" rank="0" text="" dxfId="1">
      <formula>ISNUMBER(SEARCH("Average",Z5))</formula>
    </cfRule>
    <cfRule type="expression" priority="4" aboveAverage="0" equalAverage="0" bottom="0" percent="0" rank="0" text="" dxfId="2">
      <formula>ISNUMBER(SEARCH("Strong",Z5))</formula>
    </cfRule>
    <cfRule type="expression" priority="5" aboveAverage="0" equalAverage="0" bottom="0" percent="0" rank="0" text="" dxfId="3">
      <formula>ISNUMBER(SEARCH("Elite",Z5))</formula>
    </cfRule>
  </conditionalFormatting>
  <conditionalFormatting sqref="AD5:AD204">
    <cfRule type="expression" priority="6" aboveAverage="0" equalAverage="0" bottom="0" percent="0" rank="0" text="" dxfId="3">
      <formula>ISNUMBER(SEARCH("WINNER",AD5))</formula>
    </cfRule>
    <cfRule type="expression" priority="7" aboveAverage="0" equalAverage="0" bottom="0" percent="0" rank="0" text="" dxfId="3">
      <formula>ISNUMBER(SEARCH("Winner Short",AD5))</formula>
    </cfRule>
    <cfRule type="expression" priority="8" aboveAverage="0" equalAverage="0" bottom="0" percent="0" rank="0" text="" dxfId="1">
      <formula>ISNUMBER(SEARCH("weak packaging",AD5))</formula>
    </cfRule>
    <cfRule type="expression" priority="9" aboveAverage="0" equalAverage="0" bottom="0" percent="0" rank="0" text="" dxfId="1">
      <formula>ISNUMBER(SEARCH("Click but leave",AD5))</formula>
    </cfRule>
    <cfRule type="expression" priority="10" aboveAverage="0" equalAverage="0" bottom="0" percent="0" rank="0" text="" dxfId="0">
      <formula>ISNUMBER(SEARCH("Topic miss",AD5))</formula>
    </cfRule>
    <cfRule type="expression" priority="11" aboveAverage="0" equalAverage="0" bottom="0" percent="0" rank="0" text="" dxfId="0">
      <formula>ISNUMBER(SEARCH("Hook problem",AD5))</formula>
    </cfRule>
    <cfRule type="expression" priority="12" aboveAverage="0" equalAverage="0" bottom="0" percent="0" rank="0" text="" dxfId="1">
      <formula>ISNUMBER(SEARCH("no reaction",AD5))</formula>
    </cfRule>
  </conditionalFormatting>
  <conditionalFormatting sqref="AC5:AC204">
    <cfRule type="colorScale" priority="13">
      <colorScale>
        <cfvo type="num" val="1"/>
        <cfvo type="num" val="2.5"/>
        <cfvo type="num" val="4"/>
        <color rgb="FFF8696B"/>
        <color rgb="FFFFEB84"/>
        <color rgb="FF63BE7B"/>
      </colorScale>
    </cfRule>
  </conditionalFormatting>
  <conditionalFormatting sqref="E5:E204">
    <cfRule type="dataBar" priority="14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{3C62D6B5-B610-4DC5-86CA-8DDE9ECCDDF0}</x14:id>
        </ext>
      </extLst>
    </cfRule>
  </conditionalFormatting>
  <dataValidations count="1">
    <dataValidation allowBlank="true" error="Choose Long or Short (or leave blank to auto-detect)." errorStyle="stop" errorTitle="Format" operator="between" showDropDown="false" showErrorMessage="false" showInputMessage="false" sqref="C5:C204" type="list">
      <formula1>"Long,Short"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62D6B5-B610-4DC5-86CA-8DDE9ECCDDF0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E5:E204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4"/>
  </cols>
  <sheetData>
    <row r="1" customFormat="false" ht="36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184</v>
      </c>
    </row>
    <row r="4" customFormat="false" ht="39.75" hidden="false" customHeight="true" outlineLevel="0" collapsed="false">
      <c r="A4" s="15" t="s">
        <v>185</v>
      </c>
      <c r="B4" s="15" t="s">
        <v>34</v>
      </c>
      <c r="C4" s="15" t="s">
        <v>103</v>
      </c>
      <c r="D4" s="15" t="s">
        <v>164</v>
      </c>
      <c r="E4" s="15" t="s">
        <v>165</v>
      </c>
      <c r="F4" s="15" t="s">
        <v>114</v>
      </c>
      <c r="G4" s="15" t="s">
        <v>35</v>
      </c>
      <c r="H4" s="15" t="s">
        <v>186</v>
      </c>
      <c r="I4" s="15" t="s">
        <v>159</v>
      </c>
      <c r="J4" s="15" t="s">
        <v>187</v>
      </c>
      <c r="K4" s="15" t="s">
        <v>166</v>
      </c>
      <c r="L4" s="15" t="s">
        <v>188</v>
      </c>
      <c r="M4" s="15" t="s">
        <v>189</v>
      </c>
    </row>
    <row r="5" customFormat="false" ht="15" hidden="false" customHeight="false" outlineLevel="0" collapsed="false">
      <c r="A5" s="40" t="s">
        <v>190</v>
      </c>
      <c r="B5" s="67"/>
      <c r="C5" s="70"/>
      <c r="D5" s="67"/>
      <c r="E5" s="67"/>
      <c r="F5" s="79" t="str">
        <f aca="false">IF(AND(D5="",E5=""),"",N(D5)-N(E5))</f>
        <v/>
      </c>
      <c r="G5" s="67"/>
      <c r="H5" s="68"/>
      <c r="I5" s="69"/>
      <c r="J5" s="67"/>
      <c r="K5" s="71"/>
      <c r="L5" s="80" t="n">
        <f aca="false">COUNTIFS('Video Data'!$B$5:$B$204,"&gt;="&amp;DATE(2026,4,1),'Video Data'!$B$5:$B$204,"&lt;"&amp;DATE(2026,5,1),'Video Data'!$Q$5:$Q$204,"&lt;&gt;Short")</f>
        <v>0</v>
      </c>
      <c r="M5" s="80" t="n">
        <f aca="false">COUNTIFS('Video Data'!$B$5:$B$204,"&gt;="&amp;DATE(2026,4,1),'Video Data'!$B$5:$B$204,"&lt;"&amp;DATE(2026,5,1),'Video Data'!$Q$5:$Q$204,"Short")</f>
        <v>0</v>
      </c>
    </row>
    <row r="6" customFormat="false" ht="15" hidden="false" customHeight="false" outlineLevel="0" collapsed="false">
      <c r="A6" s="40" t="s">
        <v>191</v>
      </c>
      <c r="B6" s="67"/>
      <c r="C6" s="70"/>
      <c r="D6" s="67"/>
      <c r="E6" s="67"/>
      <c r="F6" s="79" t="str">
        <f aca="false">IF(AND(D6="",E6=""),"",N(D6)-N(E6))</f>
        <v/>
      </c>
      <c r="G6" s="67"/>
      <c r="H6" s="68"/>
      <c r="I6" s="69"/>
      <c r="J6" s="67"/>
      <c r="K6" s="71"/>
      <c r="L6" s="80" t="n">
        <f aca="false">COUNTIFS('Video Data'!$B$5:$B$204,"&gt;="&amp;DATE(2026,5,1),'Video Data'!$B$5:$B$204,"&lt;"&amp;DATE(2026,6,1),'Video Data'!$Q$5:$Q$204,"&lt;&gt;Short")</f>
        <v>0</v>
      </c>
      <c r="M6" s="80" t="n">
        <f aca="false">COUNTIFS('Video Data'!$B$5:$B$204,"&gt;="&amp;DATE(2026,5,1),'Video Data'!$B$5:$B$204,"&lt;"&amp;DATE(2026,6,1),'Video Data'!$Q$5:$Q$204,"Short")</f>
        <v>0</v>
      </c>
    </row>
    <row r="7" customFormat="false" ht="15" hidden="false" customHeight="false" outlineLevel="0" collapsed="false">
      <c r="A7" s="40" t="s">
        <v>192</v>
      </c>
      <c r="B7" s="67"/>
      <c r="C7" s="70"/>
      <c r="D7" s="67"/>
      <c r="E7" s="67"/>
      <c r="F7" s="79" t="str">
        <f aca="false">IF(AND(D7="",E7=""),"",N(D7)-N(E7))</f>
        <v/>
      </c>
      <c r="G7" s="67"/>
      <c r="H7" s="68"/>
      <c r="I7" s="69"/>
      <c r="J7" s="67"/>
      <c r="K7" s="71"/>
      <c r="L7" s="80" t="n">
        <f aca="false">COUNTIFS('Video Data'!$B$5:$B$204,"&gt;="&amp;DATE(2026,6,1),'Video Data'!$B$5:$B$204,"&lt;"&amp;DATE(2026,7,1),'Video Data'!$Q$5:$Q$204,"&lt;&gt;Short")</f>
        <v>0</v>
      </c>
      <c r="M7" s="80" t="n">
        <f aca="false">COUNTIFS('Video Data'!$B$5:$B$204,"&gt;="&amp;DATE(2026,6,1),'Video Data'!$B$5:$B$204,"&lt;"&amp;DATE(2026,7,1),'Video Data'!$Q$5:$Q$204,"Short")</f>
        <v>0</v>
      </c>
    </row>
    <row r="8" customFormat="false" ht="15" hidden="false" customHeight="false" outlineLevel="0" collapsed="false">
      <c r="A8" s="81" t="s">
        <v>193</v>
      </c>
      <c r="B8" s="82" t="n">
        <f aca="false">SUM(B5:B7)</f>
        <v>0</v>
      </c>
      <c r="C8" s="83" t="n">
        <f aca="false">SUM(C5:C7)</f>
        <v>0</v>
      </c>
      <c r="D8" s="82" t="n">
        <f aca="false">SUM(D5:D7)</f>
        <v>0</v>
      </c>
      <c r="E8" s="82" t="n">
        <f aca="false">SUM(E5:E7)</f>
        <v>0</v>
      </c>
      <c r="F8" s="82" t="n">
        <f aca="false">SUM(F5:F7)</f>
        <v>0</v>
      </c>
      <c r="G8" s="82" t="n">
        <f aca="false">SUM(G5:G7)</f>
        <v>0</v>
      </c>
      <c r="H8" s="84" t="str">
        <f aca="false">IF(SUM(G5:G7)=0,"",SUMPRODUCT(G5:G7,H5:H7)/SUM(G5:G7))</f>
        <v/>
      </c>
      <c r="I8" s="85" t="str">
        <f aca="false">IF(SUMPRODUCT(B5:B7,I5:I7)=0,"",SUMPRODUCT(B5:B7,I5:I7)/SUM(B5:B7))</f>
        <v/>
      </c>
      <c r="J8" s="82" t="n">
        <f aca="false">SUM(J5:J7)</f>
        <v>0</v>
      </c>
      <c r="K8" s="86" t="n">
        <f aca="false">SUM(K5:K7)</f>
        <v>0</v>
      </c>
      <c r="L8" s="87" t="n">
        <f aca="false">SUM(L5:L7)</f>
        <v>0</v>
      </c>
      <c r="M8" s="87" t="n">
        <f aca="false">SUM(M5:M7)</f>
        <v>0</v>
      </c>
    </row>
    <row r="9" customFormat="false" ht="15" hidden="false" customHeight="false" outlineLevel="0" collapsed="false">
      <c r="A9" s="40" t="s">
        <v>194</v>
      </c>
      <c r="B9" s="67"/>
      <c r="C9" s="70"/>
      <c r="D9" s="67"/>
      <c r="E9" s="67"/>
      <c r="F9" s="79" t="str">
        <f aca="false">IF(AND(D9="",E9=""),"",N(D9)-N(E9))</f>
        <v/>
      </c>
      <c r="G9" s="67"/>
      <c r="H9" s="68"/>
      <c r="I9" s="69"/>
      <c r="J9" s="67"/>
      <c r="K9" s="71"/>
      <c r="L9" s="88"/>
      <c r="M9" s="88"/>
    </row>
    <row r="10" customFormat="false" ht="15" hidden="false" customHeight="false" outlineLevel="0" collapsed="false">
      <c r="A10" s="40" t="s">
        <v>195</v>
      </c>
      <c r="B10" s="89" t="str">
        <f aca="false">IF(OR(N(B9)=0,B8=""),"",(B8-B9)/ABS(B9)*100)</f>
        <v/>
      </c>
      <c r="C10" s="89" t="str">
        <f aca="false">IF(OR(N(C9)=0,C8=""),"",(C8-C9)/ABS(C9)*100)</f>
        <v/>
      </c>
      <c r="D10" s="89" t="str">
        <f aca="false">IF(OR(N(D9)=0,D8=""),"",(D8-D9)/ABS(D9)*100)</f>
        <v/>
      </c>
      <c r="E10" s="89" t="str">
        <f aca="false">IF(OR(N(E9)=0,E8=""),"",(E8-E9)/ABS(E9)*100)</f>
        <v/>
      </c>
      <c r="F10" s="89" t="str">
        <f aca="false">IF(OR(N(F9)=0,F8=""),"",(F8-F9)/ABS(F9)*100)</f>
        <v/>
      </c>
      <c r="G10" s="89" t="str">
        <f aca="false">IF(OR(N(G9)=0,G8=""),"",(G8-G9)/ABS(G9)*100)</f>
        <v/>
      </c>
      <c r="H10" s="89" t="str">
        <f aca="false">IF(OR(N(H9)=0,H8=""),"",(H8-H9)/ABS(H9)*100)</f>
        <v/>
      </c>
      <c r="I10" s="89" t="str">
        <f aca="false">IF(OR(N(I9)=0,I8=""),"",(I8-I9)/ABS(I9)*100)</f>
        <v/>
      </c>
      <c r="J10" s="89" t="str">
        <f aca="false">IF(OR(N(J9)=0,J8=""),"",(J8-J9)/ABS(J9)*100)</f>
        <v/>
      </c>
      <c r="K10" s="89" t="str">
        <f aca="false">IF(OR(N(K9)=0,K8=""),"",(K8-K9)/ABS(K9)*100)</f>
        <v/>
      </c>
      <c r="L10" s="89" t="str">
        <f aca="false">IF(OR(N(L9)=0,L8=""),"",(L8-L9)/ABS(L9)*100)</f>
        <v/>
      </c>
      <c r="M10" s="89" t="str">
        <f aca="false">IF(OR(N(M9)=0,M8=""),"",(M8-M9)/ABS(M9)*100)</f>
        <v/>
      </c>
    </row>
    <row r="12" customFormat="false" ht="15" hidden="false" customHeight="false" outlineLevel="0" collapsed="false">
      <c r="A12" s="40" t="s">
        <v>196</v>
      </c>
      <c r="B12" s="89" t="str">
        <f aca="false">IF(OR(N(B5)=0,B6=""),"",(B6-B5)/ABS(B5)*100)</f>
        <v/>
      </c>
      <c r="C12" s="89" t="str">
        <f aca="false">IF(OR(N(C5)=0,C6=""),"",(C6-C5)/ABS(C5)*100)</f>
        <v/>
      </c>
      <c r="D12" s="89" t="str">
        <f aca="false">IF(OR(N(D5)=0,D6=""),"",(D6-D5)/ABS(D5)*100)</f>
        <v/>
      </c>
      <c r="E12" s="89" t="str">
        <f aca="false">IF(OR(N(E5)=0,E6=""),"",(E6-E5)/ABS(E5)*100)</f>
        <v/>
      </c>
      <c r="F12" s="89" t="str">
        <f aca="false">IF(OR(N(F5)=0,F6=""),"",(F6-F5)/ABS(F5)*100)</f>
        <v/>
      </c>
      <c r="G12" s="89" t="str">
        <f aca="false">IF(OR(N(G5)=0,G6=""),"",(G6-G5)/ABS(G5)*100)</f>
        <v/>
      </c>
      <c r="H12" s="89" t="str">
        <f aca="false">IF(OR(N(H5)=0,H6=""),"",(H6-H5)/ABS(H5)*100)</f>
        <v/>
      </c>
      <c r="I12" s="89" t="str">
        <f aca="false">IF(OR(N(I5)=0,I6=""),"",(I6-I5)/ABS(I5)*100)</f>
        <v/>
      </c>
      <c r="J12" s="89" t="str">
        <f aca="false">IF(OR(N(J5)=0,J6=""),"",(J6-J5)/ABS(J5)*100)</f>
        <v/>
      </c>
      <c r="K12" s="89" t="str">
        <f aca="false">IF(OR(N(K5)=0,K6=""),"",(K6-K5)/ABS(K5)*100)</f>
        <v/>
      </c>
      <c r="L12" s="89" t="str">
        <f aca="false">IF(OR(N(L5)=0,L6=""),"",(L6-L5)/ABS(L5)*100)</f>
        <v/>
      </c>
      <c r="M12" s="89" t="str">
        <f aca="false">IF(OR(N(M5)=0,M6=""),"",(M6-M5)/ABS(M5)*100)</f>
        <v/>
      </c>
    </row>
    <row r="13" customFormat="false" ht="15" hidden="false" customHeight="false" outlineLevel="0" collapsed="false">
      <c r="A13" s="40" t="s">
        <v>197</v>
      </c>
      <c r="B13" s="89" t="str">
        <f aca="false">IF(OR(N(B6)=0,B7=""),"",(B7-B6)/ABS(B6)*100)</f>
        <v/>
      </c>
      <c r="C13" s="89" t="str">
        <f aca="false">IF(OR(N(C6)=0,C7=""),"",(C7-C6)/ABS(C6)*100)</f>
        <v/>
      </c>
      <c r="D13" s="89" t="str">
        <f aca="false">IF(OR(N(D6)=0,D7=""),"",(D7-D6)/ABS(D6)*100)</f>
        <v/>
      </c>
      <c r="E13" s="89" t="str">
        <f aca="false">IF(OR(N(E6)=0,E7=""),"",(E7-E6)/ABS(E6)*100)</f>
        <v/>
      </c>
      <c r="F13" s="89" t="str">
        <f aca="false">IF(OR(N(F6)=0,F7=""),"",(F7-F6)/ABS(F6)*100)</f>
        <v/>
      </c>
      <c r="G13" s="89" t="str">
        <f aca="false">IF(OR(N(G6)=0,G7=""),"",(G7-G6)/ABS(G6)*100)</f>
        <v/>
      </c>
      <c r="H13" s="89" t="str">
        <f aca="false">IF(OR(N(H6)=0,H7=""),"",(H7-H6)/ABS(H6)*100)</f>
        <v/>
      </c>
      <c r="I13" s="89" t="str">
        <f aca="false">IF(OR(N(I6)=0,I7=""),"",(I7-I6)/ABS(I6)*100)</f>
        <v/>
      </c>
      <c r="J13" s="89" t="str">
        <f aca="false">IF(OR(N(J6)=0,J7=""),"",(J7-J6)/ABS(J6)*100)</f>
        <v/>
      </c>
      <c r="K13" s="89" t="str">
        <f aca="false">IF(OR(N(K6)=0,K7=""),"",(K7-K6)/ABS(K6)*100)</f>
        <v/>
      </c>
      <c r="L13" s="89" t="str">
        <f aca="false">IF(OR(N(L6)=0,L7=""),"",(L7-L6)/ABS(L6)*100)</f>
        <v/>
      </c>
      <c r="M13" s="89" t="str">
        <f aca="false">IF(OR(N(M6)=0,M7=""),"",(M7-M6)/ABS(M6)*100)</f>
        <v/>
      </c>
    </row>
    <row r="14" customFormat="false" ht="15" hidden="false" customHeight="false" outlineLevel="0" collapsed="false">
      <c r="A14" s="40" t="s">
        <v>198</v>
      </c>
      <c r="B14" s="89" t="str">
        <f aca="false">IF(OR(N(B5)=0,B7=""),"",(B7-B5)/ABS(B5)*100)</f>
        <v/>
      </c>
      <c r="C14" s="89" t="str">
        <f aca="false">IF(OR(N(C5)=0,C7=""),"",(C7-C5)/ABS(C5)*100)</f>
        <v/>
      </c>
      <c r="D14" s="89" t="str">
        <f aca="false">IF(OR(N(D5)=0,D7=""),"",(D7-D5)/ABS(D5)*100)</f>
        <v/>
      </c>
      <c r="E14" s="89" t="str">
        <f aca="false">IF(OR(N(E5)=0,E7=""),"",(E7-E5)/ABS(E5)*100)</f>
        <v/>
      </c>
      <c r="F14" s="89" t="str">
        <f aca="false">IF(OR(N(F5)=0,F7=""),"",(F7-F5)/ABS(F5)*100)</f>
        <v/>
      </c>
      <c r="G14" s="89" t="str">
        <f aca="false">IF(OR(N(G5)=0,G7=""),"",(G7-G5)/ABS(G5)*100)</f>
        <v/>
      </c>
      <c r="H14" s="89" t="str">
        <f aca="false">IF(OR(N(H5)=0,H7=""),"",(H7-H5)/ABS(H5)*100)</f>
        <v/>
      </c>
      <c r="I14" s="89" t="str">
        <f aca="false">IF(OR(N(I5)=0,I7=""),"",(I7-I5)/ABS(I5)*100)</f>
        <v/>
      </c>
      <c r="J14" s="89" t="str">
        <f aca="false">IF(OR(N(J5)=0,J7=""),"",(J7-J5)/ABS(J5)*100)</f>
        <v/>
      </c>
      <c r="K14" s="89" t="str">
        <f aca="false">IF(OR(N(K5)=0,K7=""),"",(K7-K5)/ABS(K5)*100)</f>
        <v/>
      </c>
      <c r="L14" s="89" t="str">
        <f aca="false">IF(OR(N(L5)=0,L7=""),"",(L7-L5)/ABS(L5)*100)</f>
        <v/>
      </c>
      <c r="M14" s="89" t="str">
        <f aca="false">IF(OR(N(M5)=0,M7=""),"",(M7-M5)/ABS(M5)*100)</f>
        <v/>
      </c>
    </row>
    <row r="16" customFormat="false" ht="15" hidden="false" customHeight="false" outlineLevel="0" collapsed="false">
      <c r="A16" s="2" t="s">
        <v>199</v>
      </c>
    </row>
  </sheetData>
  <mergeCells count="1">
    <mergeCell ref="A1:M1"/>
  </mergeCells>
  <conditionalFormatting sqref="B10:M10">
    <cfRule type="expression" priority="2" aboveAverage="0" equalAverage="0" bottom="0" percent="0" rank="0" text="" dxfId="2">
      <formula>AND(ISNUMBER(B10),B10&gt;0)</formula>
    </cfRule>
    <cfRule type="expression" priority="3" aboveAverage="0" equalAverage="0" bottom="0" percent="0" rank="0" text="" dxfId="0">
      <formula>AND(ISNUMBER(B10),B10&lt;0)</formula>
    </cfRule>
  </conditionalFormatting>
  <conditionalFormatting sqref="B12:M14">
    <cfRule type="expression" priority="4" aboveAverage="0" equalAverage="0" bottom="0" percent="0" rank="0" text="" dxfId="2">
      <formula>AND(ISNUMBER(B12),B12&gt;0)</formula>
    </cfRule>
    <cfRule type="expression" priority="5" aboveAverage="0" equalAverage="0" bottom="0" percent="0" rank="0" text="" dxfId="0">
      <formula>AND(ISNUMBER(B12),B12&lt;0)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6" min="5" style="0" width="12"/>
    <col collapsed="false" customWidth="true" hidden="false" outlineLevel="0" max="7" min="7" style="0" width="70"/>
  </cols>
  <sheetData>
    <row r="1" customFormat="false" ht="36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201</v>
      </c>
    </row>
    <row r="4" customFormat="false" ht="33.75" hidden="false" customHeight="true" outlineLevel="0" collapsed="false">
      <c r="A4" s="15" t="s">
        <v>202</v>
      </c>
      <c r="B4" s="15" t="s">
        <v>203</v>
      </c>
      <c r="C4" s="15" t="s">
        <v>204</v>
      </c>
      <c r="D4" s="15" t="s">
        <v>205</v>
      </c>
      <c r="E4" s="15" t="s">
        <v>206</v>
      </c>
      <c r="F4" s="15" t="s">
        <v>207</v>
      </c>
      <c r="G4" s="15" t="s">
        <v>208</v>
      </c>
    </row>
    <row r="5" customFormat="false" ht="27.75" hidden="false" customHeight="true" outlineLevel="0" collapsed="false">
      <c r="A5" s="40" t="s">
        <v>209</v>
      </c>
      <c r="B5" s="67"/>
      <c r="C5" s="70"/>
      <c r="D5" s="67"/>
      <c r="E5" s="90" t="str">
        <f aca="false">IF(OR(B5="",SUM($B$5:$B$16)=0),"",B5/SUM($B$5:$B$16)*100)</f>
        <v/>
      </c>
      <c r="F5" s="89" t="str">
        <f aca="false">IF(OR(N(D5)=0,B5=""),"",(B5-D5)/D5*100)</f>
        <v/>
      </c>
      <c r="G5" s="45" t="s">
        <v>210</v>
      </c>
    </row>
    <row r="6" customFormat="false" ht="27.75" hidden="false" customHeight="true" outlineLevel="0" collapsed="false">
      <c r="A6" s="40" t="s">
        <v>211</v>
      </c>
      <c r="B6" s="67"/>
      <c r="C6" s="70"/>
      <c r="D6" s="67"/>
      <c r="E6" s="90" t="str">
        <f aca="false">IF(OR(B6="",SUM($B$5:$B$16)=0),"",B6/SUM($B$5:$B$16)*100)</f>
        <v/>
      </c>
      <c r="F6" s="89" t="str">
        <f aca="false">IF(OR(N(D6)=0,B6=""),"",(B6-D6)/D6*100)</f>
        <v/>
      </c>
      <c r="G6" s="45" t="s">
        <v>212</v>
      </c>
    </row>
    <row r="7" customFormat="false" ht="27.75" hidden="false" customHeight="true" outlineLevel="0" collapsed="false">
      <c r="A7" s="40" t="s">
        <v>213</v>
      </c>
      <c r="B7" s="67"/>
      <c r="C7" s="70"/>
      <c r="D7" s="67"/>
      <c r="E7" s="90" t="str">
        <f aca="false">IF(OR(B7="",SUM($B$5:$B$16)=0),"",B7/SUM($B$5:$B$16)*100)</f>
        <v/>
      </c>
      <c r="F7" s="89" t="str">
        <f aca="false">IF(OR(N(D7)=0,B7=""),"",(B7-D7)/D7*100)</f>
        <v/>
      </c>
      <c r="G7" s="45" t="s">
        <v>214</v>
      </c>
    </row>
    <row r="8" customFormat="false" ht="27.75" hidden="false" customHeight="true" outlineLevel="0" collapsed="false">
      <c r="A8" s="40" t="s">
        <v>215</v>
      </c>
      <c r="B8" s="67"/>
      <c r="C8" s="70"/>
      <c r="D8" s="67"/>
      <c r="E8" s="90" t="str">
        <f aca="false">IF(OR(B8="",SUM($B$5:$B$16)=0),"",B8/SUM($B$5:$B$16)*100)</f>
        <v/>
      </c>
      <c r="F8" s="89" t="str">
        <f aca="false">IF(OR(N(D8)=0,B8=""),"",(B8-D8)/D8*100)</f>
        <v/>
      </c>
      <c r="G8" s="45" t="s">
        <v>216</v>
      </c>
    </row>
    <row r="9" customFormat="false" ht="27.75" hidden="false" customHeight="true" outlineLevel="0" collapsed="false">
      <c r="A9" s="40" t="s">
        <v>217</v>
      </c>
      <c r="B9" s="67"/>
      <c r="C9" s="70"/>
      <c r="D9" s="67"/>
      <c r="E9" s="90" t="str">
        <f aca="false">IF(OR(B9="",SUM($B$5:$B$16)=0),"",B9/SUM($B$5:$B$16)*100)</f>
        <v/>
      </c>
      <c r="F9" s="89" t="str">
        <f aca="false">IF(OR(N(D9)=0,B9=""),"",(B9-D9)/D9*100)</f>
        <v/>
      </c>
      <c r="G9" s="45" t="s">
        <v>218</v>
      </c>
    </row>
    <row r="10" customFormat="false" ht="27.75" hidden="false" customHeight="true" outlineLevel="0" collapsed="false">
      <c r="A10" s="40" t="s">
        <v>219</v>
      </c>
      <c r="B10" s="67"/>
      <c r="C10" s="70"/>
      <c r="D10" s="67"/>
      <c r="E10" s="90" t="str">
        <f aca="false">IF(OR(B10="",SUM($B$5:$B$16)=0),"",B10/SUM($B$5:$B$16)*100)</f>
        <v/>
      </c>
      <c r="F10" s="89" t="str">
        <f aca="false">IF(OR(N(D10)=0,B10=""),"",(B10-D10)/D10*100)</f>
        <v/>
      </c>
      <c r="G10" s="45" t="s">
        <v>220</v>
      </c>
    </row>
    <row r="11" customFormat="false" ht="27.75" hidden="false" customHeight="true" outlineLevel="0" collapsed="false">
      <c r="A11" s="40" t="s">
        <v>221</v>
      </c>
      <c r="B11" s="67"/>
      <c r="C11" s="70"/>
      <c r="D11" s="67"/>
      <c r="E11" s="90" t="str">
        <f aca="false">IF(OR(B11="",SUM($B$5:$B$16)=0),"",B11/SUM($B$5:$B$16)*100)</f>
        <v/>
      </c>
      <c r="F11" s="89" t="str">
        <f aca="false">IF(OR(N(D11)=0,B11=""),"",(B11-D11)/D11*100)</f>
        <v/>
      </c>
      <c r="G11" s="45" t="s">
        <v>222</v>
      </c>
    </row>
    <row r="12" customFormat="false" ht="27.75" hidden="false" customHeight="true" outlineLevel="0" collapsed="false">
      <c r="A12" s="40" t="s">
        <v>223</v>
      </c>
      <c r="B12" s="67"/>
      <c r="C12" s="70"/>
      <c r="D12" s="67"/>
      <c r="E12" s="90" t="str">
        <f aca="false">IF(OR(B12="",SUM($B$5:$B$16)=0),"",B12/SUM($B$5:$B$16)*100)</f>
        <v/>
      </c>
      <c r="F12" s="89" t="str">
        <f aca="false">IF(OR(N(D12)=0,B12=""),"",(B12-D12)/D12*100)</f>
        <v/>
      </c>
      <c r="G12" s="45" t="s">
        <v>224</v>
      </c>
    </row>
    <row r="13" customFormat="false" ht="27.75" hidden="false" customHeight="true" outlineLevel="0" collapsed="false">
      <c r="A13" s="40" t="s">
        <v>225</v>
      </c>
      <c r="B13" s="67"/>
      <c r="C13" s="70"/>
      <c r="D13" s="67"/>
      <c r="E13" s="90" t="str">
        <f aca="false">IF(OR(B13="",SUM($B$5:$B$16)=0),"",B13/SUM($B$5:$B$16)*100)</f>
        <v/>
      </c>
      <c r="F13" s="89" t="str">
        <f aca="false">IF(OR(N(D13)=0,B13=""),"",(B13-D13)/D13*100)</f>
        <v/>
      </c>
      <c r="G13" s="45" t="s">
        <v>226</v>
      </c>
    </row>
    <row r="14" customFormat="false" ht="27.75" hidden="false" customHeight="true" outlineLevel="0" collapsed="false">
      <c r="A14" s="40" t="s">
        <v>227</v>
      </c>
      <c r="B14" s="67"/>
      <c r="C14" s="70"/>
      <c r="D14" s="67"/>
      <c r="E14" s="90" t="str">
        <f aca="false">IF(OR(B14="",SUM($B$5:$B$16)=0),"",B14/SUM($B$5:$B$16)*100)</f>
        <v/>
      </c>
      <c r="F14" s="89" t="str">
        <f aca="false">IF(OR(N(D14)=0,B14=""),"",(B14-D14)/D14*100)</f>
        <v/>
      </c>
      <c r="G14" s="45" t="s">
        <v>228</v>
      </c>
    </row>
    <row r="15" customFormat="false" ht="27.75" hidden="false" customHeight="true" outlineLevel="0" collapsed="false">
      <c r="A15" s="40" t="s">
        <v>229</v>
      </c>
      <c r="B15" s="67"/>
      <c r="C15" s="70"/>
      <c r="D15" s="67"/>
      <c r="E15" s="90" t="str">
        <f aca="false">IF(OR(B15="",SUM($B$5:$B$16)=0),"",B15/SUM($B$5:$B$16)*100)</f>
        <v/>
      </c>
      <c r="F15" s="89" t="str">
        <f aca="false">IF(OR(N(D15)=0,B15=""),"",(B15-D15)/D15*100)</f>
        <v/>
      </c>
      <c r="G15" s="45" t="s">
        <v>230</v>
      </c>
    </row>
    <row r="16" customFormat="false" ht="27.75" hidden="false" customHeight="true" outlineLevel="0" collapsed="false">
      <c r="A16" s="40" t="s">
        <v>231</v>
      </c>
      <c r="B16" s="67"/>
      <c r="C16" s="70"/>
      <c r="D16" s="67"/>
      <c r="E16" s="90" t="str">
        <f aca="false">IF(OR(B16="",SUM($B$5:$B$16)=0),"",B16/SUM($B$5:$B$16)*100)</f>
        <v/>
      </c>
      <c r="F16" s="89" t="str">
        <f aca="false">IF(OR(N(D16)=0,B16=""),"",(B16-D16)/D16*100)</f>
        <v/>
      </c>
      <c r="G16" s="45" t="s">
        <v>232</v>
      </c>
    </row>
    <row r="17" customFormat="false" ht="15" hidden="false" customHeight="false" outlineLevel="0" collapsed="false">
      <c r="A17" s="81" t="s">
        <v>233</v>
      </c>
      <c r="B17" s="82" t="n">
        <f aca="false">SUM(B5:B16)</f>
        <v>0</v>
      </c>
      <c r="C17" s="82" t="n">
        <f aca="false">SUM(C5:C16)</f>
        <v>0</v>
      </c>
      <c r="D17" s="82" t="n">
        <f aca="false">SUM(D5:D16)</f>
        <v>0</v>
      </c>
    </row>
    <row r="18" customFormat="false" ht="15" hidden="false" customHeight="false" outlineLevel="0" collapsed="false">
      <c r="A18" s="3" t="s">
        <v>234</v>
      </c>
      <c r="B18" s="59" t="str">
        <f aca="false">IF(SUM(B5:B16)=0,"",INDEX(A5:A16,MATCH(MAX(B5:B16),B5:B16,0)))</f>
        <v/>
      </c>
    </row>
    <row r="19" customFormat="false" ht="15" hidden="false" customHeight="false" outlineLevel="0" collapsed="false">
      <c r="A19" s="3" t="s">
        <v>235</v>
      </c>
      <c r="B19" s="91" t="str">
        <f aca="false">IF(SUM(B5:B16)=0,"",MAX(B5:B16)/SUM(B5:B16)*100)</f>
        <v/>
      </c>
    </row>
    <row r="21" customFormat="false" ht="21.75" hidden="false" customHeight="true" outlineLevel="0" collapsed="false">
      <c r="A21" s="5" t="s">
        <v>236</v>
      </c>
      <c r="B21" s="5"/>
      <c r="C21" s="5"/>
      <c r="D21" s="5"/>
      <c r="E21" s="5"/>
      <c r="F21" s="5"/>
      <c r="G21" s="5"/>
    </row>
    <row r="22" customFormat="false" ht="27.75" hidden="false" customHeight="true" outlineLevel="0" collapsed="false">
      <c r="A22" s="15" t="s">
        <v>237</v>
      </c>
      <c r="B22" s="15" t="s">
        <v>238</v>
      </c>
      <c r="C22" s="15" t="s">
        <v>239</v>
      </c>
      <c r="G22" s="15" t="s">
        <v>240</v>
      </c>
    </row>
    <row r="23" customFormat="false" ht="15" hidden="false" customHeight="true" outlineLevel="0" collapsed="false">
      <c r="A23" s="40" t="s">
        <v>241</v>
      </c>
      <c r="B23" s="67"/>
      <c r="C23" s="90" t="str">
        <f aca="false">IF(OR(B23="",SUM($B$23:$B$25)=0),"",B23/SUM($B$23:$B$25)*100)</f>
        <v/>
      </c>
      <c r="G23" s="92" t="s">
        <v>242</v>
      </c>
    </row>
    <row r="24" customFormat="false" ht="15" hidden="false" customHeight="false" outlineLevel="0" collapsed="false">
      <c r="A24" s="40" t="s">
        <v>243</v>
      </c>
      <c r="B24" s="67"/>
      <c r="C24" s="90" t="str">
        <f aca="false">IF(OR(B24="",SUM($B$23:$B$25)=0),"",B24/SUM($B$23:$B$25)*100)</f>
        <v/>
      </c>
      <c r="G24" s="92"/>
    </row>
    <row r="25" customFormat="false" ht="15" hidden="false" customHeight="false" outlineLevel="0" collapsed="false">
      <c r="A25" s="40" t="s">
        <v>244</v>
      </c>
      <c r="B25" s="67"/>
      <c r="C25" s="90" t="str">
        <f aca="false">IF(OR(B25="",SUM($B$23:$B$25)=0),"",B25/SUM($B$23:$B$25)*100)</f>
        <v/>
      </c>
      <c r="G25" s="92"/>
    </row>
    <row r="26" customFormat="false" ht="15" hidden="false" customHeight="false" outlineLevel="0" collapsed="false">
      <c r="A26" s="3" t="s">
        <v>85</v>
      </c>
      <c r="B26" s="91" t="str">
        <f aca="false">IF(SUM(B23:B25)=0,"",(N(B24)+N(B25))/SUM(B23:B25)*100)</f>
        <v/>
      </c>
    </row>
    <row r="28" customFormat="false" ht="21.75" hidden="false" customHeight="true" outlineLevel="0" collapsed="false">
      <c r="A28" s="5" t="s">
        <v>245</v>
      </c>
      <c r="B28" s="5"/>
      <c r="C28" s="5"/>
      <c r="D28" s="5"/>
      <c r="E28" s="5"/>
      <c r="F28" s="5"/>
      <c r="G28" s="5"/>
    </row>
    <row r="29" customFormat="false" ht="27.75" hidden="false" customHeight="true" outlineLevel="0" collapsed="false">
      <c r="A29" s="15" t="s">
        <v>237</v>
      </c>
      <c r="B29" s="15" t="s">
        <v>238</v>
      </c>
      <c r="C29" s="15" t="s">
        <v>239</v>
      </c>
      <c r="G29" s="15" t="s">
        <v>240</v>
      </c>
    </row>
    <row r="30" customFormat="false" ht="15" hidden="false" customHeight="true" outlineLevel="0" collapsed="false">
      <c r="A30" s="40" t="s">
        <v>246</v>
      </c>
      <c r="B30" s="67"/>
      <c r="C30" s="90" t="str">
        <f aca="false">IF(OR(B30="",SUM($B$30:$B$34)=0),"",B30/SUM($B$30:$B$34)*100)</f>
        <v/>
      </c>
      <c r="G30" s="92" t="s">
        <v>247</v>
      </c>
    </row>
    <row r="31" customFormat="false" ht="15" hidden="false" customHeight="false" outlineLevel="0" collapsed="false">
      <c r="A31" s="40" t="s">
        <v>248</v>
      </c>
      <c r="B31" s="67"/>
      <c r="C31" s="90" t="str">
        <f aca="false">IF(OR(B31="",SUM($B$30:$B$34)=0),"",B31/SUM($B$30:$B$34)*100)</f>
        <v/>
      </c>
      <c r="G31" s="92"/>
    </row>
    <row r="32" customFormat="false" ht="15" hidden="false" customHeight="false" outlineLevel="0" collapsed="false">
      <c r="A32" s="40" t="s">
        <v>249</v>
      </c>
      <c r="B32" s="67"/>
      <c r="C32" s="90" t="str">
        <f aca="false">IF(OR(B32="",SUM($B$30:$B$34)=0),"",B32/SUM($B$30:$B$34)*100)</f>
        <v/>
      </c>
      <c r="G32" s="92"/>
    </row>
    <row r="33" customFormat="false" ht="15" hidden="false" customHeight="false" outlineLevel="0" collapsed="false">
      <c r="A33" s="40" t="s">
        <v>250</v>
      </c>
      <c r="B33" s="67"/>
      <c r="C33" s="90" t="str">
        <f aca="false">IF(OR(B33="",SUM($B$30:$B$34)=0),"",B33/SUM($B$30:$B$34)*100)</f>
        <v/>
      </c>
      <c r="G33" s="92"/>
    </row>
    <row r="34" customFormat="false" ht="15" hidden="false" customHeight="false" outlineLevel="0" collapsed="false">
      <c r="A34" s="40" t="s">
        <v>251</v>
      </c>
      <c r="B34" s="67"/>
      <c r="C34" s="90" t="str">
        <f aca="false">IF(OR(B34="",SUM($B$30:$B$34)=0),"",B34/SUM($B$30:$B$34)*100)</f>
        <v/>
      </c>
      <c r="G34" s="92"/>
    </row>
    <row r="36" customFormat="false" ht="21.75" hidden="false" customHeight="true" outlineLevel="0" collapsed="false">
      <c r="A36" s="5" t="s">
        <v>252</v>
      </c>
      <c r="B36" s="5"/>
      <c r="C36" s="5"/>
      <c r="D36" s="5"/>
      <c r="E36" s="5"/>
      <c r="F36" s="5"/>
      <c r="G36" s="5"/>
    </row>
    <row r="37" customFormat="false" ht="27.75" hidden="false" customHeight="true" outlineLevel="0" collapsed="false">
      <c r="A37" s="15" t="s">
        <v>237</v>
      </c>
      <c r="B37" s="15" t="s">
        <v>238</v>
      </c>
      <c r="C37" s="15" t="s">
        <v>239</v>
      </c>
      <c r="G37" s="15" t="s">
        <v>240</v>
      </c>
    </row>
    <row r="38" customFormat="false" ht="15" hidden="false" customHeight="true" outlineLevel="0" collapsed="false">
      <c r="A38" s="40" t="s">
        <v>253</v>
      </c>
      <c r="B38" s="67"/>
      <c r="C38" s="90" t="str">
        <f aca="false">IF(OR(B38="",SUM($B$38:$B$44)=0),"",B38/SUM($B$38:$B$44)*100)</f>
        <v/>
      </c>
      <c r="G38" s="92" t="s">
        <v>254</v>
      </c>
    </row>
    <row r="39" customFormat="false" ht="15" hidden="false" customHeight="false" outlineLevel="0" collapsed="false">
      <c r="A39" s="40" t="s">
        <v>255</v>
      </c>
      <c r="B39" s="67"/>
      <c r="C39" s="90" t="str">
        <f aca="false">IF(OR(B39="",SUM($B$38:$B$44)=0),"",B39/SUM($B$38:$B$44)*100)</f>
        <v/>
      </c>
      <c r="G39" s="92"/>
    </row>
    <row r="40" customFormat="false" ht="15" hidden="false" customHeight="false" outlineLevel="0" collapsed="false">
      <c r="A40" s="40" t="s">
        <v>256</v>
      </c>
      <c r="B40" s="67"/>
      <c r="C40" s="90" t="str">
        <f aca="false">IF(OR(B40="",SUM($B$38:$B$44)=0),"",B40/SUM($B$38:$B$44)*100)</f>
        <v/>
      </c>
      <c r="G40" s="92"/>
    </row>
    <row r="41" customFormat="false" ht="15" hidden="false" customHeight="false" outlineLevel="0" collapsed="false">
      <c r="A41" s="40" t="s">
        <v>257</v>
      </c>
      <c r="B41" s="67"/>
      <c r="C41" s="90" t="str">
        <f aca="false">IF(OR(B41="",SUM($B$38:$B$44)=0),"",B41/SUM($B$38:$B$44)*100)</f>
        <v/>
      </c>
      <c r="G41" s="92"/>
    </row>
    <row r="42" customFormat="false" ht="15" hidden="false" customHeight="false" outlineLevel="0" collapsed="false">
      <c r="A42" s="40" t="s">
        <v>258</v>
      </c>
      <c r="B42" s="67"/>
      <c r="C42" s="90" t="str">
        <f aca="false">IF(OR(B42="",SUM($B$38:$B$44)=0),"",B42/SUM($B$38:$B$44)*100)</f>
        <v/>
      </c>
      <c r="G42" s="92"/>
    </row>
    <row r="43" customFormat="false" ht="15" hidden="false" customHeight="false" outlineLevel="0" collapsed="false">
      <c r="A43" s="40" t="s">
        <v>259</v>
      </c>
      <c r="B43" s="67"/>
      <c r="C43" s="90" t="str">
        <f aca="false">IF(OR(B43="",SUM($B$38:$B$44)=0),"",B43/SUM($B$38:$B$44)*100)</f>
        <v/>
      </c>
      <c r="G43" s="92"/>
    </row>
    <row r="44" customFormat="false" ht="15" hidden="false" customHeight="false" outlineLevel="0" collapsed="false">
      <c r="A44" s="40" t="s">
        <v>260</v>
      </c>
      <c r="B44" s="67"/>
      <c r="C44" s="90" t="str">
        <f aca="false">IF(OR(B44="",SUM($B$38:$B$44)=0),"",B44/SUM($B$38:$B$44)*100)</f>
        <v/>
      </c>
      <c r="G44" s="92"/>
    </row>
    <row r="46" customFormat="false" ht="21.75" hidden="false" customHeight="true" outlineLevel="0" collapsed="false">
      <c r="A46" s="5" t="s">
        <v>261</v>
      </c>
      <c r="B46" s="5"/>
      <c r="C46" s="5"/>
      <c r="D46" s="5"/>
      <c r="E46" s="5"/>
      <c r="F46" s="5"/>
      <c r="G46" s="5"/>
    </row>
    <row r="47" customFormat="false" ht="21.75" hidden="false" customHeight="true" outlineLevel="0" collapsed="false">
      <c r="A47" s="15" t="s">
        <v>262</v>
      </c>
      <c r="B47" s="15" t="s">
        <v>203</v>
      </c>
      <c r="C47" s="15" t="s">
        <v>239</v>
      </c>
      <c r="G47" s="15" t="s">
        <v>240</v>
      </c>
    </row>
    <row r="48" customFormat="false" ht="15" hidden="false" customHeight="true" outlineLevel="0" collapsed="false">
      <c r="A48" s="66"/>
      <c r="B48" s="67"/>
      <c r="C48" s="90" t="str">
        <f aca="false">IF(OR(B48="",N($B$17)=0),"",B48/$B$17*100)</f>
        <v/>
      </c>
      <c r="G48" s="92" t="s">
        <v>263</v>
      </c>
    </row>
    <row r="49" customFormat="false" ht="15" hidden="false" customHeight="false" outlineLevel="0" collapsed="false">
      <c r="A49" s="66"/>
      <c r="B49" s="67"/>
      <c r="C49" s="90" t="str">
        <f aca="false">IF(OR(B49="",N($B$17)=0),"",B49/$B$17*100)</f>
        <v/>
      </c>
      <c r="G49" s="92"/>
    </row>
    <row r="50" customFormat="false" ht="15" hidden="false" customHeight="false" outlineLevel="0" collapsed="false">
      <c r="A50" s="66"/>
      <c r="B50" s="67"/>
      <c r="C50" s="90" t="str">
        <f aca="false">IF(OR(B50="",N($B$17)=0),"",B50/$B$17*100)</f>
        <v/>
      </c>
      <c r="G50" s="92"/>
    </row>
    <row r="51" customFormat="false" ht="15" hidden="false" customHeight="false" outlineLevel="0" collapsed="false">
      <c r="A51" s="66"/>
      <c r="B51" s="67"/>
      <c r="C51" s="90" t="str">
        <f aca="false">IF(OR(B51="",N($B$17)=0),"",B51/$B$17*100)</f>
        <v/>
      </c>
      <c r="G51" s="92"/>
    </row>
    <row r="52" customFormat="false" ht="15" hidden="false" customHeight="false" outlineLevel="0" collapsed="false">
      <c r="A52" s="66"/>
      <c r="B52" s="67"/>
      <c r="C52" s="90" t="str">
        <f aca="false">IF(OR(B52="",N($B$17)=0),"",B52/$B$17*100)</f>
        <v/>
      </c>
      <c r="G52" s="92"/>
    </row>
  </sheetData>
  <mergeCells count="9">
    <mergeCell ref="A1:G1"/>
    <mergeCell ref="A21:G21"/>
    <mergeCell ref="G23:G25"/>
    <mergeCell ref="A28:G28"/>
    <mergeCell ref="G30:G34"/>
    <mergeCell ref="A36:G36"/>
    <mergeCell ref="G38:G44"/>
    <mergeCell ref="A46:G46"/>
    <mergeCell ref="G48:G52"/>
  </mergeCells>
  <conditionalFormatting sqref="E5:E16">
    <cfRule type="dataBar" priority="2">
      <dataBar showValue="1" minLength="10" maxLength="90">
        <cfvo type="num" val="0"/>
        <cfvo type="num" val="100"/>
        <color rgb="FF5B9BD5"/>
      </dataBar>
      <extLst>
        <ext xmlns:x14="http://schemas.microsoft.com/office/spreadsheetml/2009/9/main" uri="{B025F937-C7B1-47D3-B67F-A62EFF666E3E}">
          <x14:id>{43DA56A2-29D2-49F2-9368-FB80DA927D79}</x14:id>
        </ext>
      </extLst>
    </cfRule>
  </conditionalFormatting>
  <conditionalFormatting sqref="F5:F16">
    <cfRule type="expression" priority="3" aboveAverage="0" equalAverage="0" bottom="0" percent="0" rank="0" text="" dxfId="2">
      <formula>AND(ISNUMBER(F5),F5&gt;0)</formula>
    </cfRule>
    <cfRule type="expression" priority="4" aboveAverage="0" equalAverage="0" bottom="0" percent="0" rank="0" text="" dxfId="0">
      <formula>AND(ISNUMBER(F5),F5&lt;0)</formula>
    </cfRule>
  </conditionalFormatting>
  <conditionalFormatting sqref="C23:C25">
    <cfRule type="dataBar" priority="5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{6761583E-9FAE-4B63-9F75-7E28396E3A1B}</x14:id>
        </ext>
      </extLst>
    </cfRule>
  </conditionalFormatting>
  <conditionalFormatting sqref="C30:C34">
    <cfRule type="dataBar" priority="6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{2E29ABA0-10B0-4691-95FB-1C78A045724B}</x14:id>
        </ext>
      </extLst>
    </cfRule>
  </conditionalFormatting>
  <conditionalFormatting sqref="C38:C44">
    <cfRule type="dataBar" priority="7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{D482A4B5-6350-41E2-8BA8-56EBE32B9458}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DA56A2-29D2-49F2-9368-FB80DA927D79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5B9BD5"/>
              <x14:axisColor rgb="FF000000"/>
            </x14:dataBar>
          </x14:cfRule>
          <xm:sqref>E5:E16</xm:sqref>
        </x14:conditionalFormatting>
        <x14:conditionalFormatting xmlns:xm="http://schemas.microsoft.com/office/excel/2006/main">
          <x14:cfRule type="dataBar" id="{6761583E-9FAE-4B63-9F75-7E28396E3A1B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C23:C25</xm:sqref>
        </x14:conditionalFormatting>
        <x14:conditionalFormatting xmlns:xm="http://schemas.microsoft.com/office/excel/2006/main">
          <x14:cfRule type="dataBar" id="{2E29ABA0-10B0-4691-95FB-1C78A045724B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C30:C34</xm:sqref>
        </x14:conditionalFormatting>
        <x14:conditionalFormatting xmlns:xm="http://schemas.microsoft.com/office/excel/2006/main">
          <x14:cfRule type="dataBar" id="{D482A4B5-6350-41E2-8BA8-56EBE32B9458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C38:C44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6" min="5" style="0" width="44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265</v>
      </c>
    </row>
    <row r="4" customFormat="false" ht="25.5" hidden="false" customHeight="true" outlineLevel="0" collapsed="false">
      <c r="A4" s="15" t="s">
        <v>121</v>
      </c>
      <c r="B4" s="15" t="s">
        <v>266</v>
      </c>
      <c r="C4" s="15" t="s">
        <v>267</v>
      </c>
      <c r="D4" s="15" t="s">
        <v>268</v>
      </c>
      <c r="E4" s="15" t="s">
        <v>269</v>
      </c>
      <c r="F4" s="15" t="s">
        <v>270</v>
      </c>
      <c r="G4" s="15" t="s">
        <v>271</v>
      </c>
      <c r="H4" s="15" t="s">
        <v>272</v>
      </c>
    </row>
    <row r="5" customFormat="false" ht="120" hidden="false" customHeight="true" outlineLevel="0" collapsed="false">
      <c r="A5" s="93" t="n">
        <v>1</v>
      </c>
      <c r="B5" s="94" t="s">
        <v>273</v>
      </c>
      <c r="C5" s="95" t="s">
        <v>274</v>
      </c>
      <c r="D5" s="94" t="s">
        <v>275</v>
      </c>
      <c r="E5" s="94" t="s">
        <v>276</v>
      </c>
      <c r="F5" s="94" t="s">
        <v>277</v>
      </c>
      <c r="G5" s="96" t="s">
        <v>278</v>
      </c>
      <c r="H5" s="97" t="s">
        <v>279</v>
      </c>
    </row>
    <row r="6" customFormat="false" ht="120" hidden="false" customHeight="true" outlineLevel="0" collapsed="false">
      <c r="A6" s="44" t="n">
        <v>2</v>
      </c>
      <c r="B6" s="98" t="s">
        <v>280</v>
      </c>
      <c r="C6" s="99" t="s">
        <v>281</v>
      </c>
      <c r="D6" s="98" t="s">
        <v>282</v>
      </c>
      <c r="E6" s="98" t="s">
        <v>283</v>
      </c>
      <c r="F6" s="98" t="s">
        <v>284</v>
      </c>
      <c r="G6" s="55" t="s">
        <v>285</v>
      </c>
      <c r="H6" s="45" t="s">
        <v>286</v>
      </c>
    </row>
    <row r="7" customFormat="false" ht="120" hidden="false" customHeight="true" outlineLevel="0" collapsed="false">
      <c r="A7" s="93" t="n">
        <v>3</v>
      </c>
      <c r="B7" s="94" t="s">
        <v>287</v>
      </c>
      <c r="C7" s="95" t="s">
        <v>288</v>
      </c>
      <c r="D7" s="94" t="s">
        <v>289</v>
      </c>
      <c r="E7" s="94" t="s">
        <v>290</v>
      </c>
      <c r="F7" s="94" t="s">
        <v>291</v>
      </c>
      <c r="G7" s="96" t="s">
        <v>278</v>
      </c>
      <c r="H7" s="97" t="s">
        <v>292</v>
      </c>
    </row>
    <row r="8" customFormat="false" ht="120" hidden="false" customHeight="true" outlineLevel="0" collapsed="false">
      <c r="A8" s="44" t="n">
        <v>4</v>
      </c>
      <c r="B8" s="98" t="s">
        <v>293</v>
      </c>
      <c r="C8" s="99" t="s">
        <v>294</v>
      </c>
      <c r="D8" s="98" t="s">
        <v>295</v>
      </c>
      <c r="E8" s="98" t="s">
        <v>296</v>
      </c>
      <c r="F8" s="98" t="s">
        <v>297</v>
      </c>
      <c r="G8" s="55" t="s">
        <v>285</v>
      </c>
      <c r="H8" s="45" t="s">
        <v>298</v>
      </c>
    </row>
    <row r="9" customFormat="false" ht="120" hidden="false" customHeight="true" outlineLevel="0" collapsed="false">
      <c r="A9" s="93" t="n">
        <v>5</v>
      </c>
      <c r="B9" s="94" t="s">
        <v>51</v>
      </c>
      <c r="C9" s="95" t="s">
        <v>299</v>
      </c>
      <c r="D9" s="94" t="s">
        <v>300</v>
      </c>
      <c r="E9" s="94" t="s">
        <v>301</v>
      </c>
      <c r="F9" s="94" t="s">
        <v>302</v>
      </c>
      <c r="G9" s="96" t="s">
        <v>278</v>
      </c>
      <c r="H9" s="97" t="s">
        <v>303</v>
      </c>
    </row>
    <row r="10" customFormat="false" ht="120" hidden="false" customHeight="true" outlineLevel="0" collapsed="false">
      <c r="A10" s="44" t="n">
        <v>6</v>
      </c>
      <c r="B10" s="98" t="s">
        <v>51</v>
      </c>
      <c r="C10" s="99" t="s">
        <v>304</v>
      </c>
      <c r="D10" s="98" t="s">
        <v>305</v>
      </c>
      <c r="E10" s="98" t="s">
        <v>306</v>
      </c>
      <c r="F10" s="98" t="s">
        <v>307</v>
      </c>
      <c r="G10" s="55" t="s">
        <v>278</v>
      </c>
      <c r="H10" s="45" t="s">
        <v>308</v>
      </c>
    </row>
    <row r="11" customFormat="false" ht="120" hidden="false" customHeight="true" outlineLevel="0" collapsed="false">
      <c r="A11" s="93" t="n">
        <v>7</v>
      </c>
      <c r="B11" s="94" t="s">
        <v>51</v>
      </c>
      <c r="C11" s="95" t="s">
        <v>309</v>
      </c>
      <c r="D11" s="94" t="s">
        <v>310</v>
      </c>
      <c r="E11" s="94" t="s">
        <v>311</v>
      </c>
      <c r="F11" s="94" t="s">
        <v>312</v>
      </c>
      <c r="G11" s="96" t="s">
        <v>278</v>
      </c>
      <c r="H11" s="97" t="s">
        <v>313</v>
      </c>
    </row>
    <row r="12" customFormat="false" ht="120" hidden="false" customHeight="true" outlineLevel="0" collapsed="false">
      <c r="A12" s="44" t="n">
        <v>8</v>
      </c>
      <c r="B12" s="98" t="s">
        <v>314</v>
      </c>
      <c r="C12" s="99" t="s">
        <v>315</v>
      </c>
      <c r="D12" s="98" t="s">
        <v>316</v>
      </c>
      <c r="E12" s="98" t="s">
        <v>317</v>
      </c>
      <c r="F12" s="98" t="s">
        <v>318</v>
      </c>
      <c r="G12" s="55" t="s">
        <v>278</v>
      </c>
      <c r="H12" s="45" t="s">
        <v>319</v>
      </c>
    </row>
    <row r="13" customFormat="false" ht="120" hidden="false" customHeight="true" outlineLevel="0" collapsed="false">
      <c r="A13" s="93" t="n">
        <v>9</v>
      </c>
      <c r="B13" s="94" t="s">
        <v>320</v>
      </c>
      <c r="C13" s="95" t="s">
        <v>321</v>
      </c>
      <c r="D13" s="94" t="s">
        <v>322</v>
      </c>
      <c r="E13" s="94" t="s">
        <v>323</v>
      </c>
      <c r="F13" s="94" t="s">
        <v>324</v>
      </c>
      <c r="G13" s="96" t="s">
        <v>278</v>
      </c>
      <c r="H13" s="97" t="s">
        <v>325</v>
      </c>
    </row>
    <row r="14" customFormat="false" ht="120" hidden="false" customHeight="true" outlineLevel="0" collapsed="false">
      <c r="A14" s="44" t="n">
        <v>10</v>
      </c>
      <c r="B14" s="98" t="s">
        <v>320</v>
      </c>
      <c r="C14" s="99" t="s">
        <v>326</v>
      </c>
      <c r="D14" s="98" t="s">
        <v>327</v>
      </c>
      <c r="E14" s="98" t="s">
        <v>328</v>
      </c>
      <c r="F14" s="98" t="s">
        <v>329</v>
      </c>
      <c r="G14" s="55" t="s">
        <v>278</v>
      </c>
      <c r="H14" s="45" t="s">
        <v>330</v>
      </c>
    </row>
    <row r="15" customFormat="false" ht="120" hidden="false" customHeight="true" outlineLevel="0" collapsed="false">
      <c r="A15" s="93" t="n">
        <v>11</v>
      </c>
      <c r="B15" s="94" t="s">
        <v>331</v>
      </c>
      <c r="C15" s="95" t="s">
        <v>332</v>
      </c>
      <c r="D15" s="94" t="s">
        <v>333</v>
      </c>
      <c r="E15" s="94" t="s">
        <v>334</v>
      </c>
      <c r="F15" s="94" t="s">
        <v>335</v>
      </c>
      <c r="G15" s="96" t="s">
        <v>278</v>
      </c>
      <c r="H15" s="97" t="s">
        <v>336</v>
      </c>
    </row>
    <row r="16" customFormat="false" ht="120" hidden="false" customHeight="true" outlineLevel="0" collapsed="false">
      <c r="A16" s="44" t="n">
        <v>12</v>
      </c>
      <c r="B16" s="98" t="s">
        <v>337</v>
      </c>
      <c r="C16" s="99" t="s">
        <v>338</v>
      </c>
      <c r="D16" s="98" t="s">
        <v>339</v>
      </c>
      <c r="E16" s="98" t="s">
        <v>340</v>
      </c>
      <c r="F16" s="98" t="s">
        <v>341</v>
      </c>
      <c r="G16" s="55" t="s">
        <v>278</v>
      </c>
      <c r="H16" s="45" t="s">
        <v>342</v>
      </c>
    </row>
    <row r="17" customFormat="false" ht="120" hidden="false" customHeight="true" outlineLevel="0" collapsed="false">
      <c r="A17" s="93" t="n">
        <v>13</v>
      </c>
      <c r="B17" s="94" t="s">
        <v>343</v>
      </c>
      <c r="C17" s="95" t="s">
        <v>344</v>
      </c>
      <c r="D17" s="94" t="s">
        <v>345</v>
      </c>
      <c r="E17" s="94" t="s">
        <v>346</v>
      </c>
      <c r="F17" s="94" t="s">
        <v>347</v>
      </c>
      <c r="G17" s="96" t="s">
        <v>278</v>
      </c>
      <c r="H17" s="97" t="s">
        <v>348</v>
      </c>
    </row>
    <row r="18" customFormat="false" ht="120" hidden="false" customHeight="true" outlineLevel="0" collapsed="false">
      <c r="A18" s="44" t="n">
        <v>14</v>
      </c>
      <c r="B18" s="98" t="s">
        <v>349</v>
      </c>
      <c r="C18" s="99" t="s">
        <v>350</v>
      </c>
      <c r="D18" s="98" t="s">
        <v>351</v>
      </c>
      <c r="E18" s="98" t="s">
        <v>352</v>
      </c>
      <c r="F18" s="98" t="s">
        <v>353</v>
      </c>
      <c r="G18" s="55" t="s">
        <v>278</v>
      </c>
      <c r="H18" s="45" t="s">
        <v>354</v>
      </c>
    </row>
    <row r="19" customFormat="false" ht="120" hidden="false" customHeight="true" outlineLevel="0" collapsed="false">
      <c r="A19" s="93" t="n">
        <v>15</v>
      </c>
      <c r="B19" s="94" t="s">
        <v>355</v>
      </c>
      <c r="C19" s="95" t="s">
        <v>356</v>
      </c>
      <c r="D19" s="94" t="s">
        <v>357</v>
      </c>
      <c r="E19" s="94" t="s">
        <v>358</v>
      </c>
      <c r="F19" s="94" t="s">
        <v>359</v>
      </c>
      <c r="G19" s="96" t="s">
        <v>360</v>
      </c>
      <c r="H19" s="97" t="s">
        <v>361</v>
      </c>
    </row>
  </sheetData>
  <mergeCells count="1">
    <mergeCell ref="A1:H1"/>
  </mergeCells>
  <conditionalFormatting sqref="G5:G19">
    <cfRule type="expression" priority="2" aboveAverage="0" equalAverage="0" bottom="0" percent="0" rank="0" text="" dxfId="2">
      <formula>ISNUMBER(SEARCH("High",G5))</formula>
    </cfRule>
    <cfRule type="expression" priority="3" aboveAverage="0" equalAverage="0" bottom="0" percent="0" rank="0" text="" dxfId="1">
      <formula>ISNUMBER(SEARCH("Medium",G5))</formula>
    </cfRule>
    <cfRule type="expression" priority="4" aboveAverage="0" equalAverage="0" bottom="0" percent="0" rank="0" text="" dxfId="16">
      <formula>ISNUMBER(SEARCH("Strategist",G5))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1" min="10" style="0" width="14"/>
  </cols>
  <sheetData>
    <row r="1" customFormat="false" ht="36" hidden="false" customHeight="true" outlineLevel="0" collapsed="false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363</v>
      </c>
    </row>
    <row r="4" customFormat="false" ht="25.5" hidden="false" customHeight="true" outlineLevel="0" collapsed="false">
      <c r="A4" s="15" t="s">
        <v>121</v>
      </c>
      <c r="B4" s="15" t="s">
        <v>364</v>
      </c>
      <c r="C4" s="15" t="s">
        <v>365</v>
      </c>
      <c r="D4" s="15" t="s">
        <v>366</v>
      </c>
      <c r="E4" s="15" t="s">
        <v>367</v>
      </c>
      <c r="F4" s="15" t="s">
        <v>368</v>
      </c>
      <c r="G4" s="15" t="s">
        <v>369</v>
      </c>
      <c r="H4" s="15" t="s">
        <v>370</v>
      </c>
      <c r="I4" s="15" t="s">
        <v>371</v>
      </c>
      <c r="J4" s="15" t="s">
        <v>372</v>
      </c>
      <c r="K4" s="15" t="s">
        <v>373</v>
      </c>
    </row>
    <row r="5" customFormat="false" ht="48" hidden="false" customHeight="true" outlineLevel="0" collapsed="false">
      <c r="A5" s="55" t="n">
        <v>1</v>
      </c>
      <c r="B5" s="36" t="s">
        <v>374</v>
      </c>
      <c r="C5" s="98" t="s">
        <v>293</v>
      </c>
      <c r="D5" s="100" t="s">
        <v>375</v>
      </c>
      <c r="E5" s="98" t="s">
        <v>376</v>
      </c>
      <c r="F5" s="98" t="s">
        <v>79</v>
      </c>
      <c r="G5" s="98" t="s">
        <v>377</v>
      </c>
      <c r="H5" s="98" t="s">
        <v>378</v>
      </c>
      <c r="I5" s="98" t="s">
        <v>379</v>
      </c>
      <c r="J5" s="101" t="s">
        <v>380</v>
      </c>
      <c r="K5" s="101" t="s">
        <v>381</v>
      </c>
    </row>
    <row r="6" customFormat="false" ht="48" hidden="false" customHeight="true" outlineLevel="0" collapsed="false">
      <c r="A6" s="55" t="n">
        <v>2</v>
      </c>
      <c r="B6" s="36" t="s">
        <v>374</v>
      </c>
      <c r="C6" s="98" t="s">
        <v>293</v>
      </c>
      <c r="D6" s="100" t="s">
        <v>382</v>
      </c>
      <c r="E6" s="98" t="s">
        <v>383</v>
      </c>
      <c r="F6" s="98" t="s">
        <v>384</v>
      </c>
      <c r="G6" s="98" t="s">
        <v>385</v>
      </c>
      <c r="H6" s="98" t="s">
        <v>386</v>
      </c>
      <c r="I6" s="98" t="s">
        <v>387</v>
      </c>
      <c r="J6" s="101" t="s">
        <v>380</v>
      </c>
      <c r="K6" s="101" t="s">
        <v>381</v>
      </c>
    </row>
    <row r="7" customFormat="false" ht="48" hidden="false" customHeight="true" outlineLevel="0" collapsed="false">
      <c r="A7" s="55" t="n">
        <v>3</v>
      </c>
      <c r="B7" s="36" t="s">
        <v>374</v>
      </c>
      <c r="C7" s="98" t="s">
        <v>388</v>
      </c>
      <c r="D7" s="100" t="s">
        <v>389</v>
      </c>
      <c r="E7" s="98" t="s">
        <v>390</v>
      </c>
      <c r="F7" s="98" t="s">
        <v>80</v>
      </c>
      <c r="G7" s="98" t="s">
        <v>391</v>
      </c>
      <c r="H7" s="98" t="s">
        <v>378</v>
      </c>
      <c r="I7" s="98" t="s">
        <v>392</v>
      </c>
      <c r="J7" s="101" t="s">
        <v>380</v>
      </c>
      <c r="K7" s="101" t="s">
        <v>381</v>
      </c>
    </row>
    <row r="8" customFormat="false" ht="48" hidden="false" customHeight="true" outlineLevel="0" collapsed="false">
      <c r="A8" s="55" t="n">
        <v>4</v>
      </c>
      <c r="B8" s="36" t="s">
        <v>374</v>
      </c>
      <c r="C8" s="98" t="s">
        <v>388</v>
      </c>
      <c r="D8" s="100" t="s">
        <v>393</v>
      </c>
      <c r="E8" s="98" t="s">
        <v>394</v>
      </c>
      <c r="F8" s="98" t="s">
        <v>395</v>
      </c>
      <c r="G8" s="98" t="s">
        <v>396</v>
      </c>
      <c r="H8" s="98" t="s">
        <v>397</v>
      </c>
      <c r="I8" s="98" t="s">
        <v>398</v>
      </c>
      <c r="J8" s="101" t="s">
        <v>380</v>
      </c>
      <c r="K8" s="101" t="s">
        <v>381</v>
      </c>
    </row>
    <row r="9" customFormat="false" ht="48" hidden="false" customHeight="true" outlineLevel="0" collapsed="false">
      <c r="A9" s="55" t="n">
        <v>5</v>
      </c>
      <c r="B9" s="36" t="s">
        <v>374</v>
      </c>
      <c r="C9" s="98" t="s">
        <v>399</v>
      </c>
      <c r="D9" s="100" t="s">
        <v>400</v>
      </c>
      <c r="E9" s="98" t="s">
        <v>401</v>
      </c>
      <c r="F9" s="98" t="s">
        <v>402</v>
      </c>
      <c r="G9" s="98" t="s">
        <v>403</v>
      </c>
      <c r="H9" s="98" t="s">
        <v>404</v>
      </c>
      <c r="I9" s="98" t="s">
        <v>405</v>
      </c>
      <c r="J9" s="101" t="s">
        <v>380</v>
      </c>
      <c r="K9" s="101" t="s">
        <v>381</v>
      </c>
    </row>
    <row r="10" customFormat="false" ht="48" hidden="false" customHeight="true" outlineLevel="0" collapsed="false">
      <c r="A10" s="55" t="n">
        <v>6</v>
      </c>
      <c r="B10" s="36" t="s">
        <v>374</v>
      </c>
      <c r="C10" s="98" t="s">
        <v>280</v>
      </c>
      <c r="D10" s="100" t="s">
        <v>406</v>
      </c>
      <c r="E10" s="98" t="s">
        <v>407</v>
      </c>
      <c r="F10" s="98" t="s">
        <v>408</v>
      </c>
      <c r="G10" s="98" t="s">
        <v>409</v>
      </c>
      <c r="H10" s="98" t="s">
        <v>409</v>
      </c>
      <c r="I10" s="98" t="s">
        <v>410</v>
      </c>
      <c r="J10" s="101" t="s">
        <v>380</v>
      </c>
      <c r="K10" s="101" t="s">
        <v>381</v>
      </c>
    </row>
    <row r="11" customFormat="false" ht="48" hidden="false" customHeight="true" outlineLevel="0" collapsed="false">
      <c r="A11" s="55" t="n">
        <v>7</v>
      </c>
      <c r="B11" s="36" t="s">
        <v>411</v>
      </c>
      <c r="C11" s="98" t="s">
        <v>412</v>
      </c>
      <c r="D11" s="100" t="s">
        <v>413</v>
      </c>
      <c r="E11" s="98" t="s">
        <v>414</v>
      </c>
      <c r="F11" s="98" t="s">
        <v>415</v>
      </c>
      <c r="G11" s="98" t="s">
        <v>416</v>
      </c>
      <c r="H11" s="98" t="s">
        <v>417</v>
      </c>
      <c r="I11" s="98" t="s">
        <v>418</v>
      </c>
      <c r="J11" s="101" t="s">
        <v>380</v>
      </c>
      <c r="K11" s="101" t="s">
        <v>381</v>
      </c>
    </row>
    <row r="12" customFormat="false" ht="48" hidden="false" customHeight="true" outlineLevel="0" collapsed="false">
      <c r="A12" s="55" t="n">
        <v>8</v>
      </c>
      <c r="B12" s="36" t="s">
        <v>411</v>
      </c>
      <c r="C12" s="98" t="s">
        <v>412</v>
      </c>
      <c r="D12" s="100" t="s">
        <v>419</v>
      </c>
      <c r="E12" s="98" t="s">
        <v>420</v>
      </c>
      <c r="F12" s="98" t="s">
        <v>421</v>
      </c>
      <c r="G12" s="98" t="s">
        <v>422</v>
      </c>
      <c r="H12" s="98" t="s">
        <v>423</v>
      </c>
      <c r="I12" s="98" t="s">
        <v>49</v>
      </c>
      <c r="J12" s="101" t="s">
        <v>380</v>
      </c>
      <c r="K12" s="101" t="s">
        <v>381</v>
      </c>
    </row>
    <row r="13" customFormat="false" ht="48" hidden="false" customHeight="true" outlineLevel="0" collapsed="false">
      <c r="A13" s="55" t="n">
        <v>9</v>
      </c>
      <c r="B13" s="36" t="s">
        <v>411</v>
      </c>
      <c r="C13" s="98" t="s">
        <v>424</v>
      </c>
      <c r="D13" s="100" t="s">
        <v>425</v>
      </c>
      <c r="E13" s="98" t="s">
        <v>426</v>
      </c>
      <c r="F13" s="98" t="s">
        <v>427</v>
      </c>
      <c r="G13" s="98" t="s">
        <v>428</v>
      </c>
      <c r="H13" s="98" t="s">
        <v>429</v>
      </c>
      <c r="I13" s="98" t="s">
        <v>430</v>
      </c>
      <c r="J13" s="101" t="s">
        <v>380</v>
      </c>
      <c r="K13" s="101" t="s">
        <v>381</v>
      </c>
    </row>
    <row r="14" customFormat="false" ht="48" hidden="false" customHeight="true" outlineLevel="0" collapsed="false">
      <c r="A14" s="55" t="n">
        <v>10</v>
      </c>
      <c r="B14" s="36" t="s">
        <v>411</v>
      </c>
      <c r="C14" s="98" t="s">
        <v>89</v>
      </c>
      <c r="D14" s="100" t="s">
        <v>431</v>
      </c>
      <c r="E14" s="98" t="s">
        <v>432</v>
      </c>
      <c r="F14" s="98" t="s">
        <v>433</v>
      </c>
      <c r="G14" s="98" t="s">
        <v>434</v>
      </c>
      <c r="H14" s="98" t="s">
        <v>378</v>
      </c>
      <c r="I14" s="98" t="s">
        <v>435</v>
      </c>
      <c r="J14" s="101" t="s">
        <v>380</v>
      </c>
      <c r="K14" s="101" t="s">
        <v>381</v>
      </c>
    </row>
    <row r="15" customFormat="false" ht="48" hidden="false" customHeight="true" outlineLevel="0" collapsed="false">
      <c r="A15" s="55" t="n">
        <v>11</v>
      </c>
      <c r="B15" s="36" t="s">
        <v>411</v>
      </c>
      <c r="C15" s="98" t="s">
        <v>436</v>
      </c>
      <c r="D15" s="100" t="s">
        <v>437</v>
      </c>
      <c r="E15" s="98" t="s">
        <v>438</v>
      </c>
      <c r="F15" s="98" t="s">
        <v>439</v>
      </c>
      <c r="G15" s="98" t="s">
        <v>440</v>
      </c>
      <c r="H15" s="98" t="s">
        <v>378</v>
      </c>
      <c r="I15" s="98" t="s">
        <v>441</v>
      </c>
      <c r="J15" s="101" t="s">
        <v>380</v>
      </c>
      <c r="K15" s="101" t="s">
        <v>381</v>
      </c>
    </row>
    <row r="16" customFormat="false" ht="48" hidden="false" customHeight="true" outlineLevel="0" collapsed="false">
      <c r="A16" s="55" t="n">
        <v>12</v>
      </c>
      <c r="B16" s="36" t="s">
        <v>411</v>
      </c>
      <c r="C16" s="98" t="s">
        <v>442</v>
      </c>
      <c r="D16" s="100" t="s">
        <v>443</v>
      </c>
      <c r="E16" s="98" t="s">
        <v>444</v>
      </c>
      <c r="F16" s="98" t="s">
        <v>445</v>
      </c>
      <c r="G16" s="98" t="s">
        <v>446</v>
      </c>
      <c r="H16" s="98" t="s">
        <v>447</v>
      </c>
      <c r="I16" s="98" t="s">
        <v>448</v>
      </c>
      <c r="J16" s="101" t="s">
        <v>380</v>
      </c>
      <c r="K16" s="101" t="s">
        <v>381</v>
      </c>
    </row>
    <row r="17" customFormat="false" ht="48" hidden="false" customHeight="true" outlineLevel="0" collapsed="false">
      <c r="A17" s="55" t="n">
        <v>13</v>
      </c>
      <c r="B17" s="36" t="s">
        <v>449</v>
      </c>
      <c r="C17" s="98" t="s">
        <v>442</v>
      </c>
      <c r="D17" s="100" t="s">
        <v>450</v>
      </c>
      <c r="E17" s="98" t="s">
        <v>451</v>
      </c>
      <c r="F17" s="98" t="s">
        <v>452</v>
      </c>
      <c r="G17" s="98" t="s">
        <v>453</v>
      </c>
      <c r="H17" s="98" t="s">
        <v>423</v>
      </c>
      <c r="I17" s="98" t="s">
        <v>454</v>
      </c>
      <c r="J17" s="101" t="s">
        <v>380</v>
      </c>
      <c r="K17" s="101" t="s">
        <v>381</v>
      </c>
    </row>
    <row r="18" customFormat="false" ht="48" hidden="false" customHeight="true" outlineLevel="0" collapsed="false">
      <c r="A18" s="55" t="n">
        <v>14</v>
      </c>
      <c r="B18" s="36" t="s">
        <v>449</v>
      </c>
      <c r="C18" s="98" t="s">
        <v>455</v>
      </c>
      <c r="D18" s="100" t="s">
        <v>456</v>
      </c>
      <c r="E18" s="98" t="s">
        <v>457</v>
      </c>
      <c r="F18" s="98" t="s">
        <v>458</v>
      </c>
      <c r="G18" s="98" t="s">
        <v>459</v>
      </c>
      <c r="H18" s="98" t="s">
        <v>417</v>
      </c>
      <c r="I18" s="98" t="s">
        <v>460</v>
      </c>
      <c r="J18" s="101" t="s">
        <v>380</v>
      </c>
      <c r="K18" s="101" t="s">
        <v>381</v>
      </c>
    </row>
    <row r="19" customFormat="false" ht="48" hidden="false" customHeight="true" outlineLevel="0" collapsed="false">
      <c r="A19" s="55" t="n">
        <v>15</v>
      </c>
      <c r="B19" s="36" t="s">
        <v>449</v>
      </c>
      <c r="C19" s="98" t="s">
        <v>461</v>
      </c>
      <c r="D19" s="100" t="s">
        <v>462</v>
      </c>
      <c r="E19" s="98" t="s">
        <v>463</v>
      </c>
      <c r="F19" s="98" t="s">
        <v>464</v>
      </c>
      <c r="G19" s="98" t="s">
        <v>465</v>
      </c>
      <c r="H19" s="98" t="s">
        <v>417</v>
      </c>
      <c r="I19" s="98" t="s">
        <v>466</v>
      </c>
      <c r="J19" s="101" t="s">
        <v>380</v>
      </c>
      <c r="K19" s="101" t="s">
        <v>381</v>
      </c>
    </row>
    <row r="20" customFormat="false" ht="48" hidden="false" customHeight="true" outlineLevel="0" collapsed="false">
      <c r="A20" s="55" t="n">
        <v>16</v>
      </c>
      <c r="B20" s="36" t="s">
        <v>449</v>
      </c>
      <c r="C20" s="98" t="s">
        <v>467</v>
      </c>
      <c r="D20" s="100" t="s">
        <v>468</v>
      </c>
      <c r="E20" s="98" t="s">
        <v>469</v>
      </c>
      <c r="F20" s="98" t="s">
        <v>470</v>
      </c>
      <c r="G20" s="98" t="s">
        <v>471</v>
      </c>
      <c r="H20" s="98" t="s">
        <v>472</v>
      </c>
      <c r="I20" s="98" t="s">
        <v>473</v>
      </c>
      <c r="J20" s="101" t="s">
        <v>380</v>
      </c>
      <c r="K20" s="101" t="s">
        <v>381</v>
      </c>
    </row>
    <row r="22" customFormat="false" ht="15" hidden="false" customHeight="false" outlineLevel="0" collapsed="false">
      <c r="D22" s="3" t="s">
        <v>474</v>
      </c>
      <c r="E22" s="59" t="str">
        <f aca="false">COUNTIF(K5:K20,"Done")&amp;" of "&amp;COUNTA(D5:D20)&amp;" actions done ("&amp;TEXT(COUNTIF(K5:K20,"Done")/COUNTA(D5:D20),"0%")&amp;")"</f>
        <v>0 of 16 actions done (0%)</v>
      </c>
    </row>
  </sheetData>
  <autoFilter ref="A4:K20"/>
  <mergeCells count="1">
    <mergeCell ref="A1:K1"/>
  </mergeCells>
  <conditionalFormatting sqref="B5:B20">
    <cfRule type="expression" priority="2" aboveAverage="0" equalAverage="0" bottom="0" percent="0" rank="0" text="" dxfId="0">
      <formula>B5="P1"</formula>
    </cfRule>
    <cfRule type="expression" priority="3" aboveAverage="0" equalAverage="0" bottom="0" percent="0" rank="0" text="" dxfId="1">
      <formula>B5="P2"</formula>
    </cfRule>
    <cfRule type="expression" priority="4" aboveAverage="0" equalAverage="0" bottom="0" percent="0" rank="0" text="" dxfId="16">
      <formula>B5="P3"</formula>
    </cfRule>
  </conditionalFormatting>
  <conditionalFormatting sqref="K5:K20">
    <cfRule type="expression" priority="5" aboveAverage="0" equalAverage="0" bottom="0" percent="0" rank="0" text="" dxfId="2">
      <formula>K5="Done"</formula>
    </cfRule>
    <cfRule type="expression" priority="6" aboveAverage="0" equalAverage="0" bottom="0" percent="0" rank="0" text="" dxfId="1">
      <formula>K5="In progress"</formula>
    </cfRule>
    <cfRule type="expression" priority="7" aboveAverage="0" equalAverage="0" bottom="0" percent="0" rank="0" text="" dxfId="23">
      <formula>K5="Not started"</formula>
    </cfRule>
    <cfRule type="expression" priority="8" aboveAverage="0" equalAverage="0" bottom="0" percent="0" rank="0" text="" dxfId="24">
      <formula>K5="Dropped"</formula>
    </cfRule>
  </conditionalFormatting>
  <dataValidations count="1">
    <dataValidation allowBlank="true" errorStyle="stop" operator="between" showDropDown="false" showErrorMessage="false" showInputMessage="false" sqref="K5:K20" type="list">
      <formula1>"Not started,In progress,Done,Dropped"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44"/>
  </cols>
  <sheetData>
    <row r="1" customFormat="false" ht="36" hidden="false" customHeight="true" outlineLevel="0" collapsed="false">
      <c r="A1" s="1" t="s">
        <v>475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476</v>
      </c>
    </row>
    <row r="4" customFormat="false" ht="30" hidden="false" customHeight="true" outlineLevel="0" collapsed="false">
      <c r="A4" s="15" t="s">
        <v>72</v>
      </c>
      <c r="B4" s="15" t="s">
        <v>477</v>
      </c>
      <c r="C4" s="15" t="s">
        <v>478</v>
      </c>
      <c r="D4" s="15" t="s">
        <v>479</v>
      </c>
      <c r="E4" s="15" t="s">
        <v>480</v>
      </c>
      <c r="F4" s="15" t="s">
        <v>481</v>
      </c>
      <c r="G4" s="15" t="s">
        <v>482</v>
      </c>
      <c r="H4" s="15" t="s">
        <v>240</v>
      </c>
    </row>
    <row r="5" customFormat="false" ht="30" hidden="false" customHeight="true" outlineLevel="0" collapsed="false">
      <c r="A5" s="40" t="s">
        <v>103</v>
      </c>
      <c r="B5" s="46" t="n">
        <f aca="false">Dashboard!E6</f>
        <v>0</v>
      </c>
      <c r="C5" s="42" t="s">
        <v>483</v>
      </c>
      <c r="D5" s="102" t="n">
        <v>15</v>
      </c>
      <c r="E5" s="103" t="str">
        <f aca="false">IF(N(B5)=0,"",IF(C5="pts",B5+D5,B5*(1+D5/100)))</f>
        <v/>
      </c>
      <c r="F5" s="104"/>
      <c r="G5" s="105" t="str">
        <f aca="false">IF(OR(F5="",N(E5)=0),"",F5/E5*100)</f>
        <v/>
      </c>
      <c r="H5" s="45" t="s">
        <v>484</v>
      </c>
    </row>
    <row r="6" customFormat="false" ht="30" hidden="false" customHeight="true" outlineLevel="0" collapsed="false">
      <c r="A6" s="40" t="s">
        <v>114</v>
      </c>
      <c r="B6" s="46" t="n">
        <f aca="false">Dashboard!H6</f>
        <v>0</v>
      </c>
      <c r="C6" s="42" t="s">
        <v>483</v>
      </c>
      <c r="D6" s="102" t="n">
        <v>20</v>
      </c>
      <c r="E6" s="103" t="str">
        <f aca="false">IF(N(B6)=0,"",IF(C6="pts",B6+D6,B6*(1+D6/100)))</f>
        <v/>
      </c>
      <c r="F6" s="104"/>
      <c r="G6" s="105" t="str">
        <f aca="false">IF(OR(F6="",N(E6)=0),"",F6/E6*100)</f>
        <v/>
      </c>
      <c r="H6" s="45"/>
    </row>
    <row r="7" customFormat="false" ht="30" hidden="false" customHeight="true" outlineLevel="0" collapsed="false">
      <c r="A7" s="40" t="s">
        <v>35</v>
      </c>
      <c r="B7" s="46" t="n">
        <f aca="false">Dashboard!B10</f>
        <v>0</v>
      </c>
      <c r="C7" s="42" t="s">
        <v>483</v>
      </c>
      <c r="D7" s="102" t="n">
        <v>15</v>
      </c>
      <c r="E7" s="103" t="str">
        <f aca="false">IF(N(B7)=0,"",IF(C7="pts",B7+D7,B7*(1+D7/100)))</f>
        <v/>
      </c>
      <c r="F7" s="104"/>
      <c r="G7" s="105" t="str">
        <f aca="false">IF(OR(F7="",N(E7)=0),"",F7/E7*100)</f>
        <v/>
      </c>
      <c r="H7" s="45" t="s">
        <v>485</v>
      </c>
    </row>
    <row r="8" customFormat="false" ht="30" hidden="false" customHeight="true" outlineLevel="0" collapsed="false">
      <c r="A8" s="40" t="s">
        <v>486</v>
      </c>
      <c r="B8" s="50" t="str">
        <f aca="false">Dashboard!E10</f>
        <v/>
      </c>
      <c r="C8" s="42" t="s">
        <v>487</v>
      </c>
      <c r="D8" s="106" t="n">
        <v>0.5</v>
      </c>
      <c r="E8" s="34" t="str">
        <f aca="false">IF(N(B8)=0,"",IF(C8="pts",B8+D8,B8*(1+D8/100)))</f>
        <v/>
      </c>
      <c r="F8" s="107"/>
      <c r="G8" s="105" t="str">
        <f aca="false">IF(OR(F8="",N(E8)=0),"",F8/E8*100)</f>
        <v/>
      </c>
      <c r="H8" s="45" t="s">
        <v>488</v>
      </c>
    </row>
    <row r="9" customFormat="false" ht="30" hidden="false" customHeight="true" outlineLevel="0" collapsed="false">
      <c r="A9" s="40" t="s">
        <v>489</v>
      </c>
      <c r="B9" s="50" t="str">
        <f aca="false">Dashboard!H10</f>
        <v/>
      </c>
      <c r="C9" s="42" t="s">
        <v>487</v>
      </c>
      <c r="D9" s="106" t="n">
        <v>3</v>
      </c>
      <c r="E9" s="34" t="str">
        <f aca="false">IF(N(B9)=0,"",IF(C9="pts",B9+D9,B9*(1+D9/100)))</f>
        <v/>
      </c>
      <c r="F9" s="107"/>
      <c r="G9" s="105" t="str">
        <f aca="false">IF(OR(F9="",N(E9)=0),"",F9/E9*100)</f>
        <v/>
      </c>
      <c r="H9" s="45"/>
    </row>
    <row r="10" customFormat="false" ht="30" hidden="false" customHeight="true" outlineLevel="0" collapsed="false">
      <c r="A10" s="40" t="s">
        <v>172</v>
      </c>
      <c r="B10" s="51" t="str">
        <f aca="false">Dashboard!K10</f>
        <v/>
      </c>
      <c r="C10" s="42" t="s">
        <v>487</v>
      </c>
      <c r="D10" s="106" t="n">
        <v>0.5</v>
      </c>
      <c r="E10" s="38" t="str">
        <f aca="false">IF(N(B10)=0,"",IF(C10="pts",B10+D10,B10*(1+D10/100)))</f>
        <v/>
      </c>
      <c r="F10" s="108"/>
      <c r="G10" s="105" t="str">
        <f aca="false">IF(OR(F10="",N(E10)=0),"",F10/E10*100)</f>
        <v/>
      </c>
      <c r="H10" s="45"/>
    </row>
    <row r="11" customFormat="false" ht="30" hidden="false" customHeight="true" outlineLevel="0" collapsed="false">
      <c r="A11" s="40" t="s">
        <v>34</v>
      </c>
      <c r="B11" s="46" t="n">
        <f aca="false">Dashboard!B6</f>
        <v>0</v>
      </c>
      <c r="C11" s="42" t="s">
        <v>483</v>
      </c>
      <c r="D11" s="102" t="n">
        <v>15</v>
      </c>
      <c r="E11" s="103" t="str">
        <f aca="false">IF(N(B11)=0,"",IF(C11="pts",B11+D11,B11*(1+D11/100)))</f>
        <v/>
      </c>
      <c r="F11" s="104"/>
      <c r="G11" s="105" t="str">
        <f aca="false">IF(OR(F11="",N(E11)=0),"",F11/E11*100)</f>
        <v/>
      </c>
      <c r="H11" s="45" t="s">
        <v>490</v>
      </c>
    </row>
    <row r="12" customFormat="false" ht="30" hidden="false" customHeight="true" outlineLevel="0" collapsed="false">
      <c r="A12" s="40" t="s">
        <v>188</v>
      </c>
      <c r="B12" s="41" t="n">
        <f aca="false">'Monthly Trend'!L8</f>
        <v>0</v>
      </c>
      <c r="C12" s="42" t="s">
        <v>483</v>
      </c>
      <c r="D12" s="102" t="n">
        <v>0</v>
      </c>
      <c r="E12" s="109" t="str">
        <f aca="false">IF(N(B12)=0,"",IF(C12="pts",B12+D12,B12*(1+D12/100)))</f>
        <v/>
      </c>
      <c r="F12" s="110"/>
      <c r="G12" s="105" t="str">
        <f aca="false">IF(OR(F12="",N(E12)=0),"",F12/E12*100)</f>
        <v/>
      </c>
      <c r="H12" s="45" t="s">
        <v>491</v>
      </c>
    </row>
    <row r="13" customFormat="false" ht="30" hidden="false" customHeight="true" outlineLevel="0" collapsed="false">
      <c r="A13" s="40" t="s">
        <v>189</v>
      </c>
      <c r="B13" s="41" t="n">
        <f aca="false">'Monthly Trend'!M8</f>
        <v>0</v>
      </c>
      <c r="C13" s="42" t="s">
        <v>483</v>
      </c>
      <c r="D13" s="102" t="n">
        <v>0</v>
      </c>
      <c r="E13" s="109" t="str">
        <f aca="false">IF(N(B13)=0,"",IF(C13="pts",B13+D13,B13*(1+D13/100)))</f>
        <v/>
      </c>
      <c r="F13" s="110"/>
      <c r="G13" s="105" t="str">
        <f aca="false">IF(OR(F13="",N(E13)=0),"",F13/E13*100)</f>
        <v/>
      </c>
      <c r="H13" s="45"/>
    </row>
    <row r="14" customFormat="false" ht="30" hidden="false" customHeight="true" outlineLevel="0" collapsed="false">
      <c r="A14" s="40" t="s">
        <v>492</v>
      </c>
      <c r="B14" s="53" t="n">
        <f aca="false">Dashboard!K6</f>
        <v>0</v>
      </c>
      <c r="C14" s="42" t="s">
        <v>483</v>
      </c>
      <c r="D14" s="102" t="n">
        <v>15</v>
      </c>
      <c r="E14" s="111" t="str">
        <f aca="false">IF(N(B14)=0,"",IF(C14="pts",B14+D14,B14*(1+D14/100)))</f>
        <v/>
      </c>
      <c r="F14" s="112"/>
      <c r="G14" s="105" t="str">
        <f aca="false">IF(OR(F14="",N(E14)=0),"",F14/E14*100)</f>
        <v/>
      </c>
      <c r="H14" s="45"/>
    </row>
    <row r="16" customFormat="false" ht="15" hidden="false" customHeight="false" outlineLevel="0" collapsed="false">
      <c r="A16" s="2" t="s">
        <v>493</v>
      </c>
    </row>
  </sheetData>
  <mergeCells count="1">
    <mergeCell ref="A1:H1"/>
  </mergeCells>
  <conditionalFormatting sqref="G5:G14">
    <cfRule type="expression" priority="2" aboveAverage="0" equalAverage="0" bottom="0" percent="0" rank="0" text="" dxfId="2">
      <formula>AND(ISNUMBER(G5),G5&gt;=100)</formula>
    </cfRule>
    <cfRule type="expression" priority="3" aboveAverage="0" equalAverage="0" bottom="0" percent="0" rank="0" text="" dxfId="1">
      <formula>AND(ISNUMBER(G5),G5&gt;=90,G5&lt;100)</formula>
    </cfRule>
    <cfRule type="expression" priority="4" aboveAverage="0" equalAverage="0" bottom="0" percent="0" rank="0" text="" dxfId="0">
      <formula>AND(ISNUMBER(G5),G5&lt;90)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16"/>
  </cols>
  <sheetData>
    <row r="1" customFormat="false" ht="36" hidden="false" customHeight="true" outlineLevel="0" collapsed="false">
      <c r="A1" s="1" t="s">
        <v>494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495</v>
      </c>
    </row>
    <row r="4" customFormat="false" ht="30" hidden="false" customHeight="true" outlineLevel="0" collapsed="false">
      <c r="A4" s="15" t="s">
        <v>72</v>
      </c>
      <c r="B4" s="15" t="s">
        <v>496</v>
      </c>
      <c r="C4" s="15" t="s">
        <v>74</v>
      </c>
      <c r="D4" s="15" t="s">
        <v>75</v>
      </c>
      <c r="E4" s="15" t="s">
        <v>76</v>
      </c>
      <c r="F4" s="15" t="s">
        <v>497</v>
      </c>
      <c r="G4" s="15" t="s">
        <v>498</v>
      </c>
      <c r="H4" s="15" t="s">
        <v>271</v>
      </c>
    </row>
    <row r="5" customFormat="false" ht="63.75" hidden="false" customHeight="true" outlineLevel="0" collapsed="false">
      <c r="A5" s="100" t="s">
        <v>499</v>
      </c>
      <c r="B5" s="98" t="s">
        <v>500</v>
      </c>
      <c r="C5" s="113" t="n">
        <v>4</v>
      </c>
      <c r="D5" s="113" t="n">
        <v>6</v>
      </c>
      <c r="E5" s="113" t="n">
        <v>9</v>
      </c>
      <c r="F5" s="98" t="s">
        <v>501</v>
      </c>
      <c r="G5" s="45" t="s">
        <v>502</v>
      </c>
      <c r="H5" s="55" t="s">
        <v>278</v>
      </c>
    </row>
    <row r="6" customFormat="false" ht="63.75" hidden="false" customHeight="true" outlineLevel="0" collapsed="false">
      <c r="A6" s="100" t="s">
        <v>503</v>
      </c>
      <c r="B6" s="98" t="s">
        <v>504</v>
      </c>
      <c r="C6" s="113" t="n">
        <v>25</v>
      </c>
      <c r="D6" s="113" t="n">
        <v>35</v>
      </c>
      <c r="E6" s="113" t="n">
        <v>50</v>
      </c>
      <c r="F6" s="98" t="s">
        <v>505</v>
      </c>
      <c r="G6" s="45" t="s">
        <v>506</v>
      </c>
      <c r="H6" s="55" t="s">
        <v>278</v>
      </c>
    </row>
    <row r="7" customFormat="false" ht="63.75" hidden="false" customHeight="true" outlineLevel="0" collapsed="false">
      <c r="A7" s="100" t="s">
        <v>507</v>
      </c>
      <c r="B7" s="98" t="s">
        <v>508</v>
      </c>
      <c r="C7" s="113" t="n">
        <v>50</v>
      </c>
      <c r="D7" s="113" t="n">
        <v>70</v>
      </c>
      <c r="E7" s="113" t="n">
        <v>90</v>
      </c>
      <c r="F7" s="98" t="s">
        <v>509</v>
      </c>
      <c r="G7" s="45" t="s">
        <v>510</v>
      </c>
      <c r="H7" s="55" t="s">
        <v>278</v>
      </c>
    </row>
    <row r="8" customFormat="false" ht="63.75" hidden="false" customHeight="true" outlineLevel="0" collapsed="false">
      <c r="A8" s="100" t="s">
        <v>511</v>
      </c>
      <c r="B8" s="98" t="s">
        <v>512</v>
      </c>
      <c r="C8" s="113" t="n">
        <v>2.5</v>
      </c>
      <c r="D8" s="113" t="n">
        <v>3.5</v>
      </c>
      <c r="E8" s="113" t="n">
        <v>5</v>
      </c>
      <c r="F8" s="98" t="s">
        <v>513</v>
      </c>
      <c r="G8" s="45" t="s">
        <v>514</v>
      </c>
      <c r="H8" s="55" t="s">
        <v>278</v>
      </c>
    </row>
    <row r="9" customFormat="false" ht="63.75" hidden="false" customHeight="true" outlineLevel="0" collapsed="false">
      <c r="A9" s="100" t="s">
        <v>83</v>
      </c>
      <c r="B9" s="98" t="s">
        <v>515</v>
      </c>
      <c r="C9" s="113" t="n">
        <v>1</v>
      </c>
      <c r="D9" s="113" t="n">
        <v>3</v>
      </c>
      <c r="E9" s="113" t="n">
        <v>6</v>
      </c>
      <c r="F9" s="98" t="s">
        <v>516</v>
      </c>
      <c r="G9" s="45" t="s">
        <v>517</v>
      </c>
      <c r="H9" s="55" t="s">
        <v>518</v>
      </c>
    </row>
    <row r="10" customFormat="false" ht="63.75" hidden="false" customHeight="true" outlineLevel="0" collapsed="false">
      <c r="A10" s="100" t="s">
        <v>519</v>
      </c>
      <c r="B10" s="98" t="s">
        <v>520</v>
      </c>
      <c r="C10" s="113" t="n">
        <v>2</v>
      </c>
      <c r="D10" s="113" t="n">
        <v>5</v>
      </c>
      <c r="E10" s="113" t="n">
        <v>10</v>
      </c>
      <c r="F10" s="98" t="s">
        <v>521</v>
      </c>
      <c r="G10" s="45" t="s">
        <v>517</v>
      </c>
      <c r="H10" s="55" t="s">
        <v>518</v>
      </c>
    </row>
    <row r="11" customFormat="false" ht="63.75" hidden="false" customHeight="true" outlineLevel="0" collapsed="false">
      <c r="A11" s="100" t="s">
        <v>522</v>
      </c>
      <c r="B11" s="98" t="s">
        <v>523</v>
      </c>
      <c r="C11" s="113" t="n">
        <v>20</v>
      </c>
      <c r="D11" s="113" t="n">
        <v>35</v>
      </c>
      <c r="E11" s="113" t="n">
        <v>50</v>
      </c>
      <c r="F11" s="98" t="s">
        <v>524</v>
      </c>
      <c r="G11" s="45" t="s">
        <v>525</v>
      </c>
      <c r="H11" s="55" t="s">
        <v>518</v>
      </c>
    </row>
    <row r="13" customFormat="false" ht="15" hidden="false" customHeight="false" outlineLevel="0" collapsed="false">
      <c r="A13" s="2" t="s">
        <v>526</v>
      </c>
    </row>
    <row r="15" customFormat="false" ht="15" hidden="false" customHeight="false" outlineLevel="0" collapsed="false">
      <c r="A15" s="3" t="s">
        <v>527</v>
      </c>
      <c r="C15" s="67" t="n">
        <v>1000</v>
      </c>
      <c r="D15" s="2" t="s">
        <v>528</v>
      </c>
    </row>
    <row r="17" customFormat="false" ht="15" hidden="false" customHeight="false" outlineLevel="0" collapsed="false">
      <c r="A17" s="2" t="s">
        <v>529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2026-10-15T13:08:21Z</dcterms:created>
  <dc:creator>openpyxl</dc:creator>
  <dc:description/>
  <dc:language>en-US</dc:language>
  <cp:lastModifiedBy/>
  <dcterms:modified xsi:type="dcterms:W3CDTF">2026-10-15T13:08:26Z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